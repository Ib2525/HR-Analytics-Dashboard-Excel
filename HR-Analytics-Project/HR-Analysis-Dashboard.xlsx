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My Projects\"/>
    </mc:Choice>
  </mc:AlternateContent>
  <xr:revisionPtr revIDLastSave="0" documentId="13_ncr:1_{1EF63E63-DDF3-4DBA-B0EF-0B14F70BA727}" xr6:coauthVersionLast="47" xr6:coauthVersionMax="47" xr10:uidLastSave="{00000000-0000-0000-0000-000000000000}"/>
  <bookViews>
    <workbookView xWindow="-120" yWindow="-120" windowWidth="29040" windowHeight="15720" firstSheet="3" activeTab="4" xr2:uid="{5AC1E5B5-B37E-48D6-ABCC-9C149DD903EA}"/>
  </bookViews>
  <sheets>
    <sheet name="Sheet5" sheetId="13" state="hidden" r:id="rId1"/>
    <sheet name="Basic" sheetId="1" state="hidden" r:id="rId2"/>
    <sheet name="Dashboard Required" sheetId="8" state="hidden" r:id="rId3"/>
    <sheet name="Sheet1" sheetId="14" r:id="rId4"/>
    <sheet name="Sheet3" sheetId="11" r:id="rId5"/>
    <sheet name="Sheet6" sheetId="16" state="hidden" r:id="rId6"/>
    <sheet name="MAIN DASH" sheetId="12" r:id="rId7"/>
    <sheet name="SEC DASH" sheetId="22" r:id="rId8"/>
  </sheets>
  <externalReferences>
    <externalReference r:id="rId9"/>
  </externalReferences>
  <definedNames>
    <definedName name="_xlnm._FilterDatabase" localSheetId="1" hidden="1">Basic!$A$1:$T$301</definedName>
    <definedName name="_xlchart.v5.0" hidden="1">Sheet3!$L$100:$L$104</definedName>
    <definedName name="_xlchart.v5.1" hidden="1">Sheet3!$L$99</definedName>
    <definedName name="_xlchart.v5.2" hidden="1">Sheet3!$M$100:$M$104</definedName>
    <definedName name="_xlchart.v5.3" hidden="1">Sheet3!$M$99</definedName>
    <definedName name="_xlchart.v5.4" hidden="1">Sheet3!$L$100:$L$104</definedName>
    <definedName name="_xlchart.v5.5" hidden="1">Sheet3!$L$99</definedName>
    <definedName name="_xlchart.v5.6" hidden="1">Sheet3!$M$100:$M$104</definedName>
    <definedName name="_xlchart.v5.7" hidden="1">Sheet3!$M$99</definedName>
    <definedName name="ee" hidden="1">{"FirstQ",#N/A,FALSE,"Budget2000";"SecondQ",#N/A,FALSE,"Budget2000";"Summary",#N/A,FALSE,"Budget2000"}</definedName>
    <definedName name="k" hidden="1">{"FirstQ",#N/A,FALSE,"Budget2000";"SecondQ",#N/A,FALSE,"Budget2000";"Summary",#N/A,FALSE,"Budget2000"}</definedName>
    <definedName name="NativeTimeline_Hiring_Date">#N/A</definedName>
    <definedName name="q" hidden="1">{"FirstQ",#N/A,FALSE,"Budget2000";"SecondQ",#N/A,FALSE,"Budget2000";"Summary",#N/A,FALSE,"Budget2000"}</definedName>
    <definedName name="rr" hidden="1">{"FirstQ",#N/A,FALSE,"Budget2000";"SecondQ",#N/A,FALSE,"Budget2000"}</definedName>
    <definedName name="rrr" hidden="1">{"AllDetail",#N/A,FALSE,"Research Budget";"1stQuarter",#N/A,FALSE,"Research Budget";"2nd Quarter",#N/A,FALSE,"Research Budget";"Summary",#N/A,FALSE,"Research Budget"}</definedName>
    <definedName name="RRRR" hidden="1">{"FirstQ",#N/A,FALSE,"Budget2000";"SecondQ",#N/A,FALSE,"Budget2000"}</definedName>
    <definedName name="Slicer_Country">#N/A</definedName>
    <definedName name="Slicer_Department">#N/A</definedName>
    <definedName name="Slicer_Gender">#N/A</definedName>
    <definedName name="t">INDEX(([1]Lookup!XEX24:XEX1048570,[1]Lookup!XEW24:XEW1048570,[1]Lookup!XEY24:XEY1048570),,,2)</definedName>
    <definedName name="wrn.AllData." hidden="1">{"FirstQ",#N/A,FALSE,"Budget2000";"SecondQ",#N/A,FALSE,"Budget2000";"Summary",#N/A,FALSE,"Budget2000"}</definedName>
    <definedName name="wrn.FirstHalf." hidden="1">{"FirstQ",#N/A,FALSE,"Budget2000";"SecondQ",#N/A,FALSE,"Budget2000"}</definedName>
    <definedName name="x" hidden="1">{"FirstQ",#N/A,FALSE,"Budget2000";"SecondQ",#N/A,FALSE,"Budget2000";"Summary",#N/A,FALSE,"Budget2000"}</definedName>
    <definedName name="xxxxxxxxxxxxxxxxxxx" hidden="1">{"AllDetail",#N/A,FALSE,"Research Budget";"1stQuarter",#N/A,FALSE,"Research Budget";"2nd Quarter",#N/A,FALSE,"Research Budget";"Summary",#N/A,FALSE,"Research Budget"}</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4" l="1"/>
  <c r="E11" i="14"/>
  <c r="C11" i="14"/>
  <c r="B11" i="14"/>
  <c r="L99" i="11"/>
  <c r="M99" i="11"/>
  <c r="L100" i="11"/>
  <c r="M100" i="11"/>
  <c r="L101" i="11"/>
  <c r="M101" i="11"/>
  <c r="L102" i="11"/>
  <c r="M102" i="11"/>
  <c r="L103" i="11"/>
  <c r="M103" i="11"/>
  <c r="L104" i="11"/>
  <c r="M104" i="11"/>
  <c r="A1" i="14"/>
  <c r="B1" i="14"/>
  <c r="A2" i="14"/>
  <c r="B2" i="14"/>
  <c r="A3" i="14"/>
  <c r="B3" i="14"/>
  <c r="A4" i="14"/>
  <c r="B4" i="14"/>
  <c r="A5" i="14"/>
  <c r="B5" i="14"/>
  <c r="A6" i="14"/>
  <c r="B6" i="14"/>
  <c r="V28" i="1"/>
  <c r="V48" i="1"/>
  <c r="V49" i="1"/>
  <c r="V56" i="1"/>
  <c r="V76" i="1"/>
  <c r="V77" i="1"/>
  <c r="V78" i="1"/>
  <c r="V80" i="1"/>
  <c r="V97" i="1"/>
  <c r="V99" i="1"/>
  <c r="V105" i="1"/>
  <c r="V106" i="1"/>
  <c r="V125" i="1"/>
  <c r="V127" i="1"/>
  <c r="V132" i="1"/>
  <c r="V133" i="1"/>
  <c r="V134" i="1"/>
  <c r="V153" i="1"/>
  <c r="V155" i="1"/>
  <c r="V156" i="1"/>
  <c r="V168" i="1"/>
  <c r="V183" i="1"/>
  <c r="V224" i="1"/>
  <c r="V244" i="1"/>
  <c r="V245" i="1"/>
  <c r="V252" i="1"/>
  <c r="V272" i="1"/>
  <c r="V273" i="1"/>
  <c r="V274" i="1"/>
  <c r="V276" i="1"/>
  <c r="V293" i="1"/>
  <c r="V295" i="1"/>
  <c r="V301" i="1"/>
  <c r="V2" i="1"/>
  <c r="U3" i="1"/>
  <c r="U8" i="1"/>
  <c r="U21" i="1"/>
  <c r="U23" i="1"/>
  <c r="U24" i="1"/>
  <c r="U28" i="1"/>
  <c r="U77" i="1"/>
  <c r="U78" i="1"/>
  <c r="U79" i="1"/>
  <c r="U80" i="1"/>
  <c r="U89" i="1"/>
  <c r="U105" i="1"/>
  <c r="U117" i="1"/>
  <c r="U118" i="1"/>
  <c r="U140" i="1"/>
  <c r="U148" i="1"/>
  <c r="U168" i="1"/>
  <c r="U169" i="1"/>
  <c r="U170" i="1"/>
  <c r="U173" i="1"/>
  <c r="U174" i="1"/>
  <c r="U190" i="1"/>
  <c r="U191" i="1"/>
  <c r="U199" i="1"/>
  <c r="U217" i="1"/>
  <c r="U220" i="1"/>
  <c r="U224" i="1"/>
  <c r="U273" i="1"/>
  <c r="U274" i="1"/>
  <c r="U275" i="1"/>
  <c r="U276" i="1"/>
  <c r="U285" i="1"/>
  <c r="U301" i="1"/>
  <c r="T3" i="1"/>
  <c r="V3" i="1" s="1"/>
  <c r="T7" i="1"/>
  <c r="T8" i="1"/>
  <c r="V8" i="1" s="1"/>
  <c r="T12" i="1"/>
  <c r="T13" i="1"/>
  <c r="U13" i="1" s="1"/>
  <c r="T14" i="1"/>
  <c r="U14" i="1" s="1"/>
  <c r="T16" i="1"/>
  <c r="U16" i="1" s="1"/>
  <c r="T26" i="1"/>
  <c r="U26" i="1" s="1"/>
  <c r="T31" i="1"/>
  <c r="V31" i="1" s="1"/>
  <c r="T35" i="1"/>
  <c r="T36" i="1"/>
  <c r="V36" i="1" s="1"/>
  <c r="T40" i="1"/>
  <c r="T41" i="1"/>
  <c r="U41" i="1" s="1"/>
  <c r="T44" i="1"/>
  <c r="U44" i="1" s="1"/>
  <c r="T59" i="1"/>
  <c r="V59" i="1" s="1"/>
  <c r="T63" i="1"/>
  <c r="T64" i="1"/>
  <c r="V64" i="1" s="1"/>
  <c r="T66" i="1"/>
  <c r="V66" i="1" s="1"/>
  <c r="T68" i="1"/>
  <c r="T69" i="1"/>
  <c r="U69" i="1" s="1"/>
  <c r="T70" i="1"/>
  <c r="U70" i="1" s="1"/>
  <c r="T86" i="1"/>
  <c r="V86" i="1" s="1"/>
  <c r="T87" i="1"/>
  <c r="V87" i="1" s="1"/>
  <c r="T91" i="1"/>
  <c r="T92" i="1"/>
  <c r="V92" i="1" s="1"/>
  <c r="T97" i="1"/>
  <c r="U97" i="1" s="1"/>
  <c r="T113" i="1"/>
  <c r="U113" i="1" s="1"/>
  <c r="T115" i="1"/>
  <c r="V115" i="1" s="1"/>
  <c r="T116" i="1"/>
  <c r="V116" i="1" s="1"/>
  <c r="T119" i="1"/>
  <c r="T120" i="1"/>
  <c r="V120" i="1" s="1"/>
  <c r="T122" i="1"/>
  <c r="V122" i="1" s="1"/>
  <c r="T124" i="1"/>
  <c r="T125" i="1"/>
  <c r="U125" i="1" s="1"/>
  <c r="T143" i="1"/>
  <c r="V143" i="1" s="1"/>
  <c r="T147" i="1"/>
  <c r="T148" i="1"/>
  <c r="V148" i="1" s="1"/>
  <c r="T153" i="1"/>
  <c r="U153" i="1" s="1"/>
  <c r="T156" i="1"/>
  <c r="U156" i="1" s="1"/>
  <c r="T166" i="1"/>
  <c r="U166" i="1" s="1"/>
  <c r="T169" i="1"/>
  <c r="V169" i="1" s="1"/>
  <c r="T170" i="1"/>
  <c r="V170" i="1" s="1"/>
  <c r="T171" i="1"/>
  <c r="V171" i="1" s="1"/>
  <c r="T172" i="1"/>
  <c r="V172" i="1" s="1"/>
  <c r="T175" i="1"/>
  <c r="T176" i="1"/>
  <c r="V176" i="1" s="1"/>
  <c r="T180" i="1"/>
  <c r="T181" i="1"/>
  <c r="U181" i="1" s="1"/>
  <c r="T197" i="1"/>
  <c r="V197" i="1" s="1"/>
  <c r="T199" i="1"/>
  <c r="V199" i="1" s="1"/>
  <c r="T203" i="1"/>
  <c r="T204" i="1"/>
  <c r="V204" i="1" s="1"/>
  <c r="T208" i="1"/>
  <c r="T209" i="1"/>
  <c r="U209" i="1" s="1"/>
  <c r="T210" i="1"/>
  <c r="U210" i="1" s="1"/>
  <c r="T212" i="1"/>
  <c r="U212" i="1" s="1"/>
  <c r="T222" i="1"/>
  <c r="U222" i="1" s="1"/>
  <c r="T227" i="1"/>
  <c r="V227" i="1" s="1"/>
  <c r="T231" i="1"/>
  <c r="T232" i="1"/>
  <c r="V232" i="1" s="1"/>
  <c r="T236" i="1"/>
  <c r="T237" i="1"/>
  <c r="U237" i="1" s="1"/>
  <c r="T240" i="1"/>
  <c r="U240" i="1" s="1"/>
  <c r="T255" i="1"/>
  <c r="V255" i="1" s="1"/>
  <c r="T259" i="1"/>
  <c r="T260" i="1"/>
  <c r="V260" i="1" s="1"/>
  <c r="T262" i="1"/>
  <c r="U262" i="1" s="1"/>
  <c r="T264" i="1"/>
  <c r="T265" i="1"/>
  <c r="U265" i="1" s="1"/>
  <c r="T266" i="1"/>
  <c r="U266" i="1" s="1"/>
  <c r="T282" i="1"/>
  <c r="V282" i="1" s="1"/>
  <c r="T283" i="1"/>
  <c r="V283" i="1" s="1"/>
  <c r="T287" i="1"/>
  <c r="T288" i="1"/>
  <c r="V288" i="1" s="1"/>
  <c r="T293" i="1"/>
  <c r="U293" i="1" s="1"/>
  <c r="S3" i="1"/>
  <c r="S4" i="1"/>
  <c r="S5" i="1"/>
  <c r="T5" i="1" s="1"/>
  <c r="V5" i="1" s="1"/>
  <c r="S6" i="1"/>
  <c r="T6" i="1" s="1"/>
  <c r="V6" i="1" s="1"/>
  <c r="S7" i="1"/>
  <c r="S8" i="1"/>
  <c r="S9" i="1"/>
  <c r="T9" i="1" s="1"/>
  <c r="S10" i="1"/>
  <c r="T10" i="1" s="1"/>
  <c r="S11" i="1"/>
  <c r="T11" i="1" s="1"/>
  <c r="S12" i="1"/>
  <c r="S13" i="1"/>
  <c r="S14" i="1"/>
  <c r="S15" i="1"/>
  <c r="T15" i="1" s="1"/>
  <c r="U15" i="1" s="1"/>
  <c r="S16" i="1"/>
  <c r="S17" i="1"/>
  <c r="S18" i="1"/>
  <c r="T18" i="1" s="1"/>
  <c r="S19" i="1"/>
  <c r="S20" i="1"/>
  <c r="T20" i="1" s="1"/>
  <c r="U20" i="1" s="1"/>
  <c r="S21" i="1"/>
  <c r="T21" i="1" s="1"/>
  <c r="V21" i="1" s="1"/>
  <c r="S22" i="1"/>
  <c r="T22" i="1" s="1"/>
  <c r="V22" i="1" s="1"/>
  <c r="S23" i="1"/>
  <c r="T23" i="1" s="1"/>
  <c r="V23" i="1" s="1"/>
  <c r="S24" i="1"/>
  <c r="T24" i="1" s="1"/>
  <c r="V24" i="1" s="1"/>
  <c r="S25" i="1"/>
  <c r="S26" i="1"/>
  <c r="S27" i="1"/>
  <c r="S28" i="1"/>
  <c r="S29" i="1"/>
  <c r="S30" i="1"/>
  <c r="S31" i="1"/>
  <c r="S32" i="1"/>
  <c r="S33" i="1"/>
  <c r="T33" i="1" s="1"/>
  <c r="V33" i="1" s="1"/>
  <c r="S34" i="1"/>
  <c r="T34" i="1" s="1"/>
  <c r="V34" i="1" s="1"/>
  <c r="S35" i="1"/>
  <c r="S36" i="1"/>
  <c r="S37" i="1"/>
  <c r="T37" i="1" s="1"/>
  <c r="S38" i="1"/>
  <c r="T38" i="1" s="1"/>
  <c r="S39" i="1"/>
  <c r="T39" i="1" s="1"/>
  <c r="S40" i="1"/>
  <c r="S41" i="1"/>
  <c r="S42" i="1"/>
  <c r="S43" i="1"/>
  <c r="T43" i="1" s="1"/>
  <c r="U43" i="1" s="1"/>
  <c r="S44" i="1"/>
  <c r="S45" i="1"/>
  <c r="T45" i="1" s="1"/>
  <c r="S46" i="1"/>
  <c r="T46" i="1" s="1"/>
  <c r="S47" i="1"/>
  <c r="S48" i="1"/>
  <c r="T48" i="1" s="1"/>
  <c r="U48" i="1" s="1"/>
  <c r="S49" i="1"/>
  <c r="T49" i="1" s="1"/>
  <c r="U49" i="1" s="1"/>
  <c r="S50" i="1"/>
  <c r="T50" i="1" s="1"/>
  <c r="V50" i="1" s="1"/>
  <c r="S51" i="1"/>
  <c r="T51" i="1" s="1"/>
  <c r="V51" i="1" s="1"/>
  <c r="S52" i="1"/>
  <c r="T52" i="1" s="1"/>
  <c r="U52" i="1" s="1"/>
  <c r="S53" i="1"/>
  <c r="S54" i="1"/>
  <c r="T54" i="1" s="1"/>
  <c r="S55" i="1"/>
  <c r="S56" i="1"/>
  <c r="S57" i="1"/>
  <c r="S58" i="1"/>
  <c r="S59" i="1"/>
  <c r="S60" i="1"/>
  <c r="S61" i="1"/>
  <c r="T61" i="1" s="1"/>
  <c r="V61" i="1" s="1"/>
  <c r="S62" i="1"/>
  <c r="T62" i="1" s="1"/>
  <c r="V62" i="1" s="1"/>
  <c r="S63" i="1"/>
  <c r="S64" i="1"/>
  <c r="S65" i="1"/>
  <c r="T65" i="1" s="1"/>
  <c r="S66" i="1"/>
  <c r="S67" i="1"/>
  <c r="T67" i="1" s="1"/>
  <c r="S68" i="1"/>
  <c r="S69" i="1"/>
  <c r="S70" i="1"/>
  <c r="S71" i="1"/>
  <c r="T71" i="1" s="1"/>
  <c r="U71" i="1" s="1"/>
  <c r="S72" i="1"/>
  <c r="T72" i="1" s="1"/>
  <c r="S73" i="1"/>
  <c r="T73" i="1" s="1"/>
  <c r="S74" i="1"/>
  <c r="T74" i="1" s="1"/>
  <c r="S75" i="1"/>
  <c r="S76" i="1"/>
  <c r="T76" i="1" s="1"/>
  <c r="U76" i="1" s="1"/>
  <c r="S77" i="1"/>
  <c r="T77" i="1" s="1"/>
  <c r="S78" i="1"/>
  <c r="T78" i="1" s="1"/>
  <c r="S79" i="1"/>
  <c r="T79" i="1" s="1"/>
  <c r="V79" i="1" s="1"/>
  <c r="S80" i="1"/>
  <c r="T80" i="1" s="1"/>
  <c r="S81" i="1"/>
  <c r="S82" i="1"/>
  <c r="S83" i="1"/>
  <c r="S84" i="1"/>
  <c r="S85" i="1"/>
  <c r="S86" i="1"/>
  <c r="S87" i="1"/>
  <c r="S88" i="1"/>
  <c r="S89" i="1"/>
  <c r="T89" i="1" s="1"/>
  <c r="V89" i="1" s="1"/>
  <c r="S90" i="1"/>
  <c r="T90" i="1" s="1"/>
  <c r="V90" i="1" s="1"/>
  <c r="S91" i="1"/>
  <c r="S92" i="1"/>
  <c r="S93" i="1"/>
  <c r="T93" i="1" s="1"/>
  <c r="S94" i="1"/>
  <c r="T94" i="1" s="1"/>
  <c r="S95" i="1"/>
  <c r="T95" i="1" s="1"/>
  <c r="S96" i="1"/>
  <c r="T96" i="1" s="1"/>
  <c r="S97" i="1"/>
  <c r="S98" i="1"/>
  <c r="S99" i="1"/>
  <c r="T99" i="1" s="1"/>
  <c r="U99" i="1" s="1"/>
  <c r="S100" i="1"/>
  <c r="T100" i="1" s="1"/>
  <c r="S101" i="1"/>
  <c r="T101" i="1" s="1"/>
  <c r="S102" i="1"/>
  <c r="T102" i="1" s="1"/>
  <c r="S103" i="1"/>
  <c r="S104" i="1"/>
  <c r="T104" i="1" s="1"/>
  <c r="U104" i="1" s="1"/>
  <c r="S105" i="1"/>
  <c r="T105" i="1" s="1"/>
  <c r="S106" i="1"/>
  <c r="T106" i="1" s="1"/>
  <c r="U106" i="1" s="1"/>
  <c r="S107" i="1"/>
  <c r="T107" i="1" s="1"/>
  <c r="U107" i="1" s="1"/>
  <c r="S108" i="1"/>
  <c r="T108" i="1" s="1"/>
  <c r="V108" i="1" s="1"/>
  <c r="S109" i="1"/>
  <c r="S110" i="1"/>
  <c r="S111" i="1"/>
  <c r="S112" i="1"/>
  <c r="S113" i="1"/>
  <c r="S114" i="1"/>
  <c r="S115" i="1"/>
  <c r="S116" i="1"/>
  <c r="S117" i="1"/>
  <c r="T117" i="1" s="1"/>
  <c r="V117" i="1" s="1"/>
  <c r="S118" i="1"/>
  <c r="T118" i="1" s="1"/>
  <c r="V118" i="1" s="1"/>
  <c r="S119" i="1"/>
  <c r="S120" i="1"/>
  <c r="S121" i="1"/>
  <c r="T121" i="1" s="1"/>
  <c r="S122" i="1"/>
  <c r="S123" i="1"/>
  <c r="T123" i="1" s="1"/>
  <c r="S124" i="1"/>
  <c r="S125" i="1"/>
  <c r="S126" i="1"/>
  <c r="S127" i="1"/>
  <c r="T127" i="1" s="1"/>
  <c r="U127" i="1" s="1"/>
  <c r="S128" i="1"/>
  <c r="T128" i="1" s="1"/>
  <c r="S129" i="1"/>
  <c r="T129" i="1" s="1"/>
  <c r="S130" i="1"/>
  <c r="T130" i="1" s="1"/>
  <c r="S131" i="1"/>
  <c r="S132" i="1"/>
  <c r="T132" i="1" s="1"/>
  <c r="U132" i="1" s="1"/>
  <c r="S133" i="1"/>
  <c r="T133" i="1" s="1"/>
  <c r="U133" i="1" s="1"/>
  <c r="S134" i="1"/>
  <c r="T134" i="1" s="1"/>
  <c r="U134" i="1" s="1"/>
  <c r="S135" i="1"/>
  <c r="T135" i="1" s="1"/>
  <c r="V135" i="1" s="1"/>
  <c r="S136" i="1"/>
  <c r="T136" i="1" s="1"/>
  <c r="V136" i="1" s="1"/>
  <c r="S137" i="1"/>
  <c r="S138" i="1"/>
  <c r="S139" i="1"/>
  <c r="S140" i="1"/>
  <c r="S141" i="1"/>
  <c r="S142" i="1"/>
  <c r="S143" i="1"/>
  <c r="S144" i="1"/>
  <c r="S145" i="1"/>
  <c r="T145" i="1" s="1"/>
  <c r="V145" i="1" s="1"/>
  <c r="S146" i="1"/>
  <c r="T146" i="1" s="1"/>
  <c r="V146" i="1" s="1"/>
  <c r="S147" i="1"/>
  <c r="S148" i="1"/>
  <c r="S149" i="1"/>
  <c r="T149" i="1" s="1"/>
  <c r="S150" i="1"/>
  <c r="T150" i="1" s="1"/>
  <c r="S151" i="1"/>
  <c r="T151" i="1" s="1"/>
  <c r="S152" i="1"/>
  <c r="T152" i="1" s="1"/>
  <c r="S153" i="1"/>
  <c r="S154" i="1"/>
  <c r="S155" i="1"/>
  <c r="T155" i="1" s="1"/>
  <c r="U155" i="1" s="1"/>
  <c r="S156" i="1"/>
  <c r="S157" i="1"/>
  <c r="T157" i="1" s="1"/>
  <c r="S158" i="1"/>
  <c r="T158" i="1" s="1"/>
  <c r="S159" i="1"/>
  <c r="S160" i="1"/>
  <c r="T160" i="1" s="1"/>
  <c r="U160" i="1" s="1"/>
  <c r="S161" i="1"/>
  <c r="T161" i="1" s="1"/>
  <c r="V161" i="1" s="1"/>
  <c r="S162" i="1"/>
  <c r="T162" i="1" s="1"/>
  <c r="V162" i="1" s="1"/>
  <c r="S163" i="1"/>
  <c r="T163" i="1" s="1"/>
  <c r="U163" i="1" s="1"/>
  <c r="S164" i="1"/>
  <c r="T164" i="1" s="1"/>
  <c r="U164" i="1" s="1"/>
  <c r="S165" i="1"/>
  <c r="S166" i="1"/>
  <c r="S167" i="1"/>
  <c r="S168" i="1"/>
  <c r="S169" i="1"/>
  <c r="S170" i="1"/>
  <c r="S171" i="1"/>
  <c r="S172" i="1"/>
  <c r="S173" i="1"/>
  <c r="T173" i="1" s="1"/>
  <c r="V173" i="1" s="1"/>
  <c r="S174" i="1"/>
  <c r="T174" i="1" s="1"/>
  <c r="V174" i="1" s="1"/>
  <c r="S175" i="1"/>
  <c r="S176" i="1"/>
  <c r="S177" i="1"/>
  <c r="T177" i="1" s="1"/>
  <c r="S178" i="1"/>
  <c r="T178" i="1" s="1"/>
  <c r="S179" i="1"/>
  <c r="T179" i="1" s="1"/>
  <c r="S180" i="1"/>
  <c r="S181" i="1"/>
  <c r="S182" i="1"/>
  <c r="S183" i="1"/>
  <c r="T183" i="1" s="1"/>
  <c r="U183" i="1" s="1"/>
  <c r="S184" i="1"/>
  <c r="T184" i="1" s="1"/>
  <c r="S185" i="1"/>
  <c r="T185" i="1" s="1"/>
  <c r="S186" i="1"/>
  <c r="T186" i="1" s="1"/>
  <c r="S187" i="1"/>
  <c r="S188" i="1"/>
  <c r="T188" i="1" s="1"/>
  <c r="U188" i="1" s="1"/>
  <c r="S189" i="1"/>
  <c r="T189" i="1" s="1"/>
  <c r="V189" i="1" s="1"/>
  <c r="S190" i="1"/>
  <c r="T190" i="1" s="1"/>
  <c r="V190" i="1" s="1"/>
  <c r="S191" i="1"/>
  <c r="T191" i="1" s="1"/>
  <c r="V191" i="1" s="1"/>
  <c r="S192" i="1"/>
  <c r="T192" i="1" s="1"/>
  <c r="V192" i="1" s="1"/>
  <c r="S193" i="1"/>
  <c r="S194" i="1"/>
  <c r="S195" i="1"/>
  <c r="S196" i="1"/>
  <c r="S197" i="1"/>
  <c r="S198" i="1"/>
  <c r="S199" i="1"/>
  <c r="S200" i="1"/>
  <c r="S201" i="1"/>
  <c r="T201" i="1" s="1"/>
  <c r="V201" i="1" s="1"/>
  <c r="S202" i="1"/>
  <c r="T202" i="1" s="1"/>
  <c r="V202" i="1" s="1"/>
  <c r="S203" i="1"/>
  <c r="S204" i="1"/>
  <c r="S205" i="1"/>
  <c r="T205" i="1" s="1"/>
  <c r="S206" i="1"/>
  <c r="T206" i="1" s="1"/>
  <c r="S207" i="1"/>
  <c r="T207" i="1" s="1"/>
  <c r="S208" i="1"/>
  <c r="S209" i="1"/>
  <c r="S210" i="1"/>
  <c r="S211" i="1"/>
  <c r="T211" i="1" s="1"/>
  <c r="U211" i="1" s="1"/>
  <c r="S212" i="1"/>
  <c r="S213" i="1"/>
  <c r="S214" i="1"/>
  <c r="S215" i="1"/>
  <c r="S216" i="1"/>
  <c r="T216" i="1" s="1"/>
  <c r="U216" i="1" s="1"/>
  <c r="S217" i="1"/>
  <c r="T217" i="1" s="1"/>
  <c r="V217" i="1" s="1"/>
  <c r="S218" i="1"/>
  <c r="T218" i="1" s="1"/>
  <c r="U218" i="1" s="1"/>
  <c r="S219" i="1"/>
  <c r="T219" i="1" s="1"/>
  <c r="U219" i="1" s="1"/>
  <c r="S220" i="1"/>
  <c r="T220" i="1" s="1"/>
  <c r="V220" i="1" s="1"/>
  <c r="S221" i="1"/>
  <c r="S222" i="1"/>
  <c r="S223" i="1"/>
  <c r="S224" i="1"/>
  <c r="S225" i="1"/>
  <c r="S226" i="1"/>
  <c r="S227" i="1"/>
  <c r="S228" i="1"/>
  <c r="S229" i="1"/>
  <c r="T229" i="1" s="1"/>
  <c r="V229" i="1" s="1"/>
  <c r="S230" i="1"/>
  <c r="T230" i="1" s="1"/>
  <c r="V230" i="1" s="1"/>
  <c r="S231" i="1"/>
  <c r="S232" i="1"/>
  <c r="S233" i="1"/>
  <c r="T233" i="1" s="1"/>
  <c r="S234" i="1"/>
  <c r="T234" i="1" s="1"/>
  <c r="S235" i="1"/>
  <c r="T235" i="1" s="1"/>
  <c r="S236" i="1"/>
  <c r="S237" i="1"/>
  <c r="S238" i="1"/>
  <c r="S239" i="1"/>
  <c r="T239" i="1" s="1"/>
  <c r="U239" i="1" s="1"/>
  <c r="S240" i="1"/>
  <c r="S241" i="1"/>
  <c r="T241" i="1" s="1"/>
  <c r="S242" i="1"/>
  <c r="T242" i="1" s="1"/>
  <c r="S243" i="1"/>
  <c r="S244" i="1"/>
  <c r="T244" i="1" s="1"/>
  <c r="U244" i="1" s="1"/>
  <c r="S245" i="1"/>
  <c r="T245" i="1" s="1"/>
  <c r="U245" i="1" s="1"/>
  <c r="S246" i="1"/>
  <c r="T246" i="1" s="1"/>
  <c r="V246" i="1" s="1"/>
  <c r="S247" i="1"/>
  <c r="T247" i="1" s="1"/>
  <c r="V247" i="1" s="1"/>
  <c r="S248" i="1"/>
  <c r="T248" i="1" s="1"/>
  <c r="V248" i="1" s="1"/>
  <c r="S249" i="1"/>
  <c r="S250" i="1"/>
  <c r="T250" i="1" s="1"/>
  <c r="S251" i="1"/>
  <c r="S252" i="1"/>
  <c r="S253" i="1"/>
  <c r="S254" i="1"/>
  <c r="S255" i="1"/>
  <c r="S256" i="1"/>
  <c r="S257" i="1"/>
  <c r="T257" i="1" s="1"/>
  <c r="V257" i="1" s="1"/>
  <c r="S258" i="1"/>
  <c r="T258" i="1" s="1"/>
  <c r="V258" i="1" s="1"/>
  <c r="S259" i="1"/>
  <c r="S260" i="1"/>
  <c r="S261" i="1"/>
  <c r="T261" i="1" s="1"/>
  <c r="S262" i="1"/>
  <c r="S263" i="1"/>
  <c r="T263" i="1" s="1"/>
  <c r="S264" i="1"/>
  <c r="S265" i="1"/>
  <c r="S266" i="1"/>
  <c r="S267" i="1"/>
  <c r="T267" i="1" s="1"/>
  <c r="U267" i="1" s="1"/>
  <c r="S268" i="1"/>
  <c r="T268" i="1" s="1"/>
  <c r="S269" i="1"/>
  <c r="T269" i="1" s="1"/>
  <c r="S270" i="1"/>
  <c r="T270" i="1" s="1"/>
  <c r="S271" i="1"/>
  <c r="S272" i="1"/>
  <c r="T272" i="1" s="1"/>
  <c r="U272" i="1" s="1"/>
  <c r="S273" i="1"/>
  <c r="T273" i="1" s="1"/>
  <c r="S274" i="1"/>
  <c r="T274" i="1" s="1"/>
  <c r="S275" i="1"/>
  <c r="T275" i="1" s="1"/>
  <c r="V275" i="1" s="1"/>
  <c r="S276" i="1"/>
  <c r="T276" i="1" s="1"/>
  <c r="S277" i="1"/>
  <c r="S278" i="1"/>
  <c r="S279" i="1"/>
  <c r="S280" i="1"/>
  <c r="S281" i="1"/>
  <c r="S282" i="1"/>
  <c r="S283" i="1"/>
  <c r="S284" i="1"/>
  <c r="S285" i="1"/>
  <c r="T285" i="1" s="1"/>
  <c r="V285" i="1" s="1"/>
  <c r="S286" i="1"/>
  <c r="T286" i="1" s="1"/>
  <c r="V286" i="1" s="1"/>
  <c r="S287" i="1"/>
  <c r="S288" i="1"/>
  <c r="S289" i="1"/>
  <c r="T289" i="1" s="1"/>
  <c r="S290" i="1"/>
  <c r="T290" i="1" s="1"/>
  <c r="S291" i="1"/>
  <c r="T291" i="1" s="1"/>
  <c r="S292" i="1"/>
  <c r="T292" i="1" s="1"/>
  <c r="S293" i="1"/>
  <c r="S294" i="1"/>
  <c r="S295" i="1"/>
  <c r="T295" i="1" s="1"/>
  <c r="U295" i="1" s="1"/>
  <c r="S296" i="1"/>
  <c r="T296" i="1" s="1"/>
  <c r="S297" i="1"/>
  <c r="T297" i="1" s="1"/>
  <c r="S298" i="1"/>
  <c r="T298" i="1" s="1"/>
  <c r="S299" i="1"/>
  <c r="S300" i="1"/>
  <c r="T300" i="1" s="1"/>
  <c r="U300" i="1" s="1"/>
  <c r="S301" i="1"/>
  <c r="T301" i="1" s="1"/>
  <c r="S2" i="1"/>
  <c r="T2" i="1" s="1"/>
  <c r="U2" i="1" s="1"/>
  <c r="R3" i="1"/>
  <c r="R4" i="1"/>
  <c r="T4" i="1" s="1"/>
  <c r="R5" i="1"/>
  <c r="R6" i="1"/>
  <c r="R7" i="1"/>
  <c r="R8" i="1"/>
  <c r="R9" i="1"/>
  <c r="R10" i="1"/>
  <c r="R11" i="1"/>
  <c r="R12" i="1"/>
  <c r="R13" i="1"/>
  <c r="R14" i="1"/>
  <c r="R15" i="1"/>
  <c r="R16" i="1"/>
  <c r="R17" i="1"/>
  <c r="T17" i="1" s="1"/>
  <c r="R18" i="1"/>
  <c r="R19" i="1"/>
  <c r="R20" i="1"/>
  <c r="R21" i="1"/>
  <c r="R22" i="1"/>
  <c r="R23" i="1"/>
  <c r="R24" i="1"/>
  <c r="R25" i="1"/>
  <c r="R26" i="1"/>
  <c r="R27" i="1"/>
  <c r="R28" i="1"/>
  <c r="T28" i="1" s="1"/>
  <c r="R29" i="1"/>
  <c r="T29" i="1" s="1"/>
  <c r="R30" i="1"/>
  <c r="T30" i="1" s="1"/>
  <c r="R31" i="1"/>
  <c r="R32" i="1"/>
  <c r="T32" i="1" s="1"/>
  <c r="R33" i="1"/>
  <c r="R34" i="1"/>
  <c r="R35" i="1"/>
  <c r="R36" i="1"/>
  <c r="R37" i="1"/>
  <c r="R38" i="1"/>
  <c r="R39" i="1"/>
  <c r="R40" i="1"/>
  <c r="R41" i="1"/>
  <c r="R42" i="1"/>
  <c r="T42" i="1" s="1"/>
  <c r="R43" i="1"/>
  <c r="R44" i="1"/>
  <c r="R45" i="1"/>
  <c r="R46" i="1"/>
  <c r="R47" i="1"/>
  <c r="R48" i="1"/>
  <c r="R49" i="1"/>
  <c r="R50" i="1"/>
  <c r="R51" i="1"/>
  <c r="R52" i="1"/>
  <c r="R53" i="1"/>
  <c r="R54" i="1"/>
  <c r="R55" i="1"/>
  <c r="R56" i="1"/>
  <c r="T56" i="1" s="1"/>
  <c r="U56" i="1" s="1"/>
  <c r="R57" i="1"/>
  <c r="T57" i="1" s="1"/>
  <c r="R58" i="1"/>
  <c r="T58" i="1" s="1"/>
  <c r="R59" i="1"/>
  <c r="R60" i="1"/>
  <c r="T60" i="1" s="1"/>
  <c r="R61" i="1"/>
  <c r="R62" i="1"/>
  <c r="R63" i="1"/>
  <c r="R64" i="1"/>
  <c r="R65" i="1"/>
  <c r="R66" i="1"/>
  <c r="R67" i="1"/>
  <c r="R68" i="1"/>
  <c r="R69" i="1"/>
  <c r="R70" i="1"/>
  <c r="R71" i="1"/>
  <c r="R72" i="1"/>
  <c r="R73" i="1"/>
  <c r="R74" i="1"/>
  <c r="R75" i="1"/>
  <c r="R76" i="1"/>
  <c r="R77" i="1"/>
  <c r="R78" i="1"/>
  <c r="R79" i="1"/>
  <c r="R80" i="1"/>
  <c r="R81" i="1"/>
  <c r="R82" i="1"/>
  <c r="T82" i="1" s="1"/>
  <c r="R83" i="1"/>
  <c r="R84" i="1"/>
  <c r="T84" i="1" s="1"/>
  <c r="V84" i="1" s="1"/>
  <c r="R85" i="1"/>
  <c r="T85" i="1" s="1"/>
  <c r="R86" i="1"/>
  <c r="R87" i="1"/>
  <c r="R88" i="1"/>
  <c r="T88" i="1" s="1"/>
  <c r="R89" i="1"/>
  <c r="R90" i="1"/>
  <c r="R91" i="1"/>
  <c r="R92" i="1"/>
  <c r="R93" i="1"/>
  <c r="R94" i="1"/>
  <c r="R95" i="1"/>
  <c r="R96" i="1"/>
  <c r="R97" i="1"/>
  <c r="R98" i="1"/>
  <c r="T98" i="1" s="1"/>
  <c r="R99" i="1"/>
  <c r="R100" i="1"/>
  <c r="R101" i="1"/>
  <c r="R102" i="1"/>
  <c r="R103" i="1"/>
  <c r="R104" i="1"/>
  <c r="R105" i="1"/>
  <c r="R106" i="1"/>
  <c r="R107" i="1"/>
  <c r="R108" i="1"/>
  <c r="R109" i="1"/>
  <c r="R110" i="1"/>
  <c r="T110" i="1" s="1"/>
  <c r="R111" i="1"/>
  <c r="R112" i="1"/>
  <c r="T112" i="1" s="1"/>
  <c r="V112" i="1" s="1"/>
  <c r="R113" i="1"/>
  <c r="R114" i="1"/>
  <c r="T114" i="1" s="1"/>
  <c r="R115" i="1"/>
  <c r="R116" i="1"/>
  <c r="R117" i="1"/>
  <c r="R118" i="1"/>
  <c r="R119" i="1"/>
  <c r="R120" i="1"/>
  <c r="R121" i="1"/>
  <c r="R122" i="1"/>
  <c r="R123" i="1"/>
  <c r="R124" i="1"/>
  <c r="R125" i="1"/>
  <c r="R126" i="1"/>
  <c r="T126" i="1" s="1"/>
  <c r="R127" i="1"/>
  <c r="R128" i="1"/>
  <c r="R129" i="1"/>
  <c r="R130" i="1"/>
  <c r="R131" i="1"/>
  <c r="R132" i="1"/>
  <c r="R133" i="1"/>
  <c r="R134" i="1"/>
  <c r="R135" i="1"/>
  <c r="R136" i="1"/>
  <c r="R137" i="1"/>
  <c r="R138" i="1"/>
  <c r="T138" i="1" s="1"/>
  <c r="R139" i="1"/>
  <c r="R140" i="1"/>
  <c r="T140" i="1" s="1"/>
  <c r="V140" i="1" s="1"/>
  <c r="R141" i="1"/>
  <c r="T141" i="1" s="1"/>
  <c r="R142" i="1"/>
  <c r="T142" i="1" s="1"/>
  <c r="R143" i="1"/>
  <c r="R144" i="1"/>
  <c r="T144" i="1" s="1"/>
  <c r="R145" i="1"/>
  <c r="R146" i="1"/>
  <c r="R147" i="1"/>
  <c r="R148" i="1"/>
  <c r="R149" i="1"/>
  <c r="R150" i="1"/>
  <c r="R151" i="1"/>
  <c r="R152" i="1"/>
  <c r="R153" i="1"/>
  <c r="R154" i="1"/>
  <c r="T154" i="1" s="1"/>
  <c r="R155" i="1"/>
  <c r="R156" i="1"/>
  <c r="R157" i="1"/>
  <c r="R158" i="1"/>
  <c r="R159" i="1"/>
  <c r="R160" i="1"/>
  <c r="R161" i="1"/>
  <c r="R162" i="1"/>
  <c r="R163" i="1"/>
  <c r="R164" i="1"/>
  <c r="R165" i="1"/>
  <c r="R166" i="1"/>
  <c r="R167" i="1"/>
  <c r="R168" i="1"/>
  <c r="T168" i="1" s="1"/>
  <c r="R169" i="1"/>
  <c r="R170" i="1"/>
  <c r="R171" i="1"/>
  <c r="R172" i="1"/>
  <c r="R173" i="1"/>
  <c r="R174" i="1"/>
  <c r="R175" i="1"/>
  <c r="R176" i="1"/>
  <c r="R177" i="1"/>
  <c r="R178" i="1"/>
  <c r="R179" i="1"/>
  <c r="R180" i="1"/>
  <c r="R181" i="1"/>
  <c r="R182" i="1"/>
  <c r="T182" i="1" s="1"/>
  <c r="R183" i="1"/>
  <c r="R184" i="1"/>
  <c r="R185" i="1"/>
  <c r="R186" i="1"/>
  <c r="R187" i="1"/>
  <c r="R188" i="1"/>
  <c r="R189" i="1"/>
  <c r="R190" i="1"/>
  <c r="R191" i="1"/>
  <c r="R192" i="1"/>
  <c r="R193" i="1"/>
  <c r="R194" i="1"/>
  <c r="T194" i="1" s="1"/>
  <c r="R195" i="1"/>
  <c r="R196" i="1"/>
  <c r="T196" i="1" s="1"/>
  <c r="V196" i="1" s="1"/>
  <c r="R197" i="1"/>
  <c r="R198" i="1"/>
  <c r="T198" i="1" s="1"/>
  <c r="R199" i="1"/>
  <c r="R200" i="1"/>
  <c r="T200" i="1" s="1"/>
  <c r="R201" i="1"/>
  <c r="R202" i="1"/>
  <c r="R203" i="1"/>
  <c r="R204" i="1"/>
  <c r="R205" i="1"/>
  <c r="R206" i="1"/>
  <c r="R207" i="1"/>
  <c r="R208" i="1"/>
  <c r="R209" i="1"/>
  <c r="R210" i="1"/>
  <c r="R211" i="1"/>
  <c r="R212" i="1"/>
  <c r="R213" i="1"/>
  <c r="T213" i="1" s="1"/>
  <c r="R214" i="1"/>
  <c r="T214" i="1" s="1"/>
  <c r="R215" i="1"/>
  <c r="R216" i="1"/>
  <c r="R217" i="1"/>
  <c r="R218" i="1"/>
  <c r="R219" i="1"/>
  <c r="R220" i="1"/>
  <c r="R221" i="1"/>
  <c r="R222" i="1"/>
  <c r="R223" i="1"/>
  <c r="R224" i="1"/>
  <c r="T224" i="1" s="1"/>
  <c r="R225" i="1"/>
  <c r="T225" i="1" s="1"/>
  <c r="R226" i="1"/>
  <c r="T226" i="1" s="1"/>
  <c r="R227" i="1"/>
  <c r="R228" i="1"/>
  <c r="T228" i="1" s="1"/>
  <c r="R229" i="1"/>
  <c r="R230" i="1"/>
  <c r="R231" i="1"/>
  <c r="R232" i="1"/>
  <c r="R233" i="1"/>
  <c r="R234" i="1"/>
  <c r="R235" i="1"/>
  <c r="R236" i="1"/>
  <c r="R237" i="1"/>
  <c r="R238" i="1"/>
  <c r="T238" i="1" s="1"/>
  <c r="R239" i="1"/>
  <c r="R240" i="1"/>
  <c r="R241" i="1"/>
  <c r="R242" i="1"/>
  <c r="R243" i="1"/>
  <c r="R244" i="1"/>
  <c r="R245" i="1"/>
  <c r="R246" i="1"/>
  <c r="R247" i="1"/>
  <c r="R248" i="1"/>
  <c r="R249" i="1"/>
  <c r="R250" i="1"/>
  <c r="R251" i="1"/>
  <c r="R252" i="1"/>
  <c r="T252" i="1" s="1"/>
  <c r="U252" i="1" s="1"/>
  <c r="R253" i="1"/>
  <c r="T253" i="1" s="1"/>
  <c r="R254" i="1"/>
  <c r="T254" i="1" s="1"/>
  <c r="R255" i="1"/>
  <c r="R256" i="1"/>
  <c r="T256" i="1" s="1"/>
  <c r="R257" i="1"/>
  <c r="R258" i="1"/>
  <c r="R259" i="1"/>
  <c r="R260" i="1"/>
  <c r="R261" i="1"/>
  <c r="R262" i="1"/>
  <c r="R263" i="1"/>
  <c r="R264" i="1"/>
  <c r="R265" i="1"/>
  <c r="R266" i="1"/>
  <c r="R267" i="1"/>
  <c r="R268" i="1"/>
  <c r="R269" i="1"/>
  <c r="R270" i="1"/>
  <c r="R271" i="1"/>
  <c r="R272" i="1"/>
  <c r="R273" i="1"/>
  <c r="R274" i="1"/>
  <c r="R275" i="1"/>
  <c r="R276" i="1"/>
  <c r="R277" i="1"/>
  <c r="R278" i="1"/>
  <c r="T278" i="1" s="1"/>
  <c r="R279" i="1"/>
  <c r="R280" i="1"/>
  <c r="T280" i="1" s="1"/>
  <c r="V280" i="1" s="1"/>
  <c r="R281" i="1"/>
  <c r="T281" i="1" s="1"/>
  <c r="R282" i="1"/>
  <c r="R283" i="1"/>
  <c r="R284" i="1"/>
  <c r="T284" i="1" s="1"/>
  <c r="R285" i="1"/>
  <c r="R286" i="1"/>
  <c r="R287" i="1"/>
  <c r="R288" i="1"/>
  <c r="R289" i="1"/>
  <c r="R290" i="1"/>
  <c r="R291" i="1"/>
  <c r="R292" i="1"/>
  <c r="R293" i="1"/>
  <c r="R294" i="1"/>
  <c r="T294" i="1" s="1"/>
  <c r="R295" i="1"/>
  <c r="R296" i="1"/>
  <c r="R297" i="1"/>
  <c r="R298" i="1"/>
  <c r="R299" i="1"/>
  <c r="R300" i="1"/>
  <c r="R301" i="1"/>
  <c r="R2" i="1"/>
  <c r="P3" i="1"/>
  <c r="P4" i="1"/>
  <c r="P5" i="1"/>
  <c r="P6" i="1"/>
  <c r="P9" i="1"/>
  <c r="P10" i="1"/>
  <c r="P24" i="1"/>
  <c r="P25" i="1"/>
  <c r="P26" i="1"/>
  <c r="P27" i="1"/>
  <c r="P28" i="1"/>
  <c r="P31" i="1"/>
  <c r="P32" i="1"/>
  <c r="P33" i="1"/>
  <c r="P34" i="1"/>
  <c r="P35" i="1"/>
  <c r="P36" i="1"/>
  <c r="P37" i="1"/>
  <c r="P38" i="1"/>
  <c r="P42" i="1"/>
  <c r="P50" i="1"/>
  <c r="P52" i="1"/>
  <c r="P53" i="1"/>
  <c r="P54" i="1"/>
  <c r="P55" i="1"/>
  <c r="P56" i="1"/>
  <c r="P59" i="1"/>
  <c r="P60" i="1"/>
  <c r="P61" i="1"/>
  <c r="P62" i="1"/>
  <c r="P65" i="1"/>
  <c r="P66" i="1"/>
  <c r="P70" i="1"/>
  <c r="P78" i="1"/>
  <c r="P80" i="1"/>
  <c r="P81" i="1"/>
  <c r="P82" i="1"/>
  <c r="P83" i="1"/>
  <c r="P84" i="1"/>
  <c r="P87" i="1"/>
  <c r="P88" i="1"/>
  <c r="P93" i="1"/>
  <c r="P94" i="1"/>
  <c r="P98" i="1"/>
  <c r="P108" i="1"/>
  <c r="P109" i="1"/>
  <c r="P110" i="1"/>
  <c r="P111" i="1"/>
  <c r="P112" i="1"/>
  <c r="P115" i="1"/>
  <c r="P121" i="1"/>
  <c r="P122" i="1"/>
  <c r="P126" i="1"/>
  <c r="P134" i="1"/>
  <c r="P136" i="1"/>
  <c r="P137" i="1"/>
  <c r="P138" i="1"/>
  <c r="P139" i="1"/>
  <c r="P140" i="1"/>
  <c r="P143" i="1"/>
  <c r="P144" i="1"/>
  <c r="P145" i="1"/>
  <c r="P149" i="1"/>
  <c r="P150" i="1"/>
  <c r="P164" i="1"/>
  <c r="P165" i="1"/>
  <c r="P166" i="1"/>
  <c r="P167" i="1"/>
  <c r="P168" i="1"/>
  <c r="P171" i="1"/>
  <c r="P172" i="1"/>
  <c r="P173" i="1"/>
  <c r="P174" i="1"/>
  <c r="P175" i="1"/>
  <c r="P176" i="1"/>
  <c r="P177" i="1"/>
  <c r="P178" i="1"/>
  <c r="P182" i="1"/>
  <c r="P192" i="1"/>
  <c r="P193" i="1"/>
  <c r="P194" i="1"/>
  <c r="P195" i="1"/>
  <c r="P196" i="1"/>
  <c r="P199" i="1"/>
  <c r="P200" i="1"/>
  <c r="P201" i="1"/>
  <c r="P205" i="1"/>
  <c r="P206" i="1"/>
  <c r="P210" i="1"/>
  <c r="P218" i="1"/>
  <c r="P220" i="1"/>
  <c r="P221" i="1"/>
  <c r="P222" i="1"/>
  <c r="P223" i="1"/>
  <c r="P224" i="1"/>
  <c r="P227" i="1"/>
  <c r="P233" i="1"/>
  <c r="P234" i="1"/>
  <c r="P238" i="1"/>
  <c r="P246" i="1"/>
  <c r="P248" i="1"/>
  <c r="P249" i="1"/>
  <c r="P250" i="1"/>
  <c r="P251" i="1"/>
  <c r="P252" i="1"/>
  <c r="P255" i="1"/>
  <c r="P261" i="1"/>
  <c r="P262" i="1"/>
  <c r="P266" i="1"/>
  <c r="P274" i="1"/>
  <c r="P276" i="1"/>
  <c r="P277" i="1"/>
  <c r="P278" i="1"/>
  <c r="P279" i="1"/>
  <c r="P280" i="1"/>
  <c r="P283" i="1"/>
  <c r="P284" i="1"/>
  <c r="P285" i="1"/>
  <c r="P289" i="1"/>
  <c r="P290" i="1"/>
  <c r="O3" i="1"/>
  <c r="O4" i="1"/>
  <c r="O5" i="1"/>
  <c r="O6" i="1"/>
  <c r="O7" i="1"/>
  <c r="P7" i="1" s="1"/>
  <c r="O8" i="1"/>
  <c r="P8" i="1" s="1"/>
  <c r="O9" i="1"/>
  <c r="O10" i="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O25" i="1"/>
  <c r="O26" i="1"/>
  <c r="O27" i="1"/>
  <c r="O28" i="1"/>
  <c r="O29" i="1"/>
  <c r="P29" i="1" s="1"/>
  <c r="O30" i="1"/>
  <c r="P30" i="1" s="1"/>
  <c r="O31" i="1"/>
  <c r="O32" i="1"/>
  <c r="O33" i="1"/>
  <c r="O34" i="1"/>
  <c r="O35" i="1"/>
  <c r="O36" i="1"/>
  <c r="O37" i="1"/>
  <c r="O38" i="1"/>
  <c r="O39" i="1"/>
  <c r="P39" i="1" s="1"/>
  <c r="O40" i="1"/>
  <c r="P40" i="1" s="1"/>
  <c r="O41" i="1"/>
  <c r="P41" i="1" s="1"/>
  <c r="O42" i="1"/>
  <c r="O43" i="1"/>
  <c r="P43" i="1" s="1"/>
  <c r="O44" i="1"/>
  <c r="P44" i="1" s="1"/>
  <c r="O45" i="1"/>
  <c r="P45" i="1" s="1"/>
  <c r="O46" i="1"/>
  <c r="P46" i="1" s="1"/>
  <c r="O47" i="1"/>
  <c r="P47" i="1" s="1"/>
  <c r="O48" i="1"/>
  <c r="P48" i="1" s="1"/>
  <c r="O49" i="1"/>
  <c r="P49" i="1" s="1"/>
  <c r="O50" i="1"/>
  <c r="O51" i="1"/>
  <c r="P51" i="1" s="1"/>
  <c r="O52" i="1"/>
  <c r="O53" i="1"/>
  <c r="O54" i="1"/>
  <c r="O55" i="1"/>
  <c r="O56" i="1"/>
  <c r="O57" i="1"/>
  <c r="P57" i="1" s="1"/>
  <c r="O58" i="1"/>
  <c r="P58" i="1" s="1"/>
  <c r="O59" i="1"/>
  <c r="O60" i="1"/>
  <c r="O61" i="1"/>
  <c r="O62" i="1"/>
  <c r="O63" i="1"/>
  <c r="P63" i="1" s="1"/>
  <c r="O64" i="1"/>
  <c r="P64" i="1" s="1"/>
  <c r="O65" i="1"/>
  <c r="O66" i="1"/>
  <c r="O67" i="1"/>
  <c r="P67" i="1" s="1"/>
  <c r="O68" i="1"/>
  <c r="P68" i="1" s="1"/>
  <c r="O69" i="1"/>
  <c r="P69" i="1" s="1"/>
  <c r="O70" i="1"/>
  <c r="O71" i="1"/>
  <c r="P71" i="1" s="1"/>
  <c r="O72" i="1"/>
  <c r="P72" i="1" s="1"/>
  <c r="O73" i="1"/>
  <c r="P73" i="1" s="1"/>
  <c r="O74" i="1"/>
  <c r="P74" i="1" s="1"/>
  <c r="O75" i="1"/>
  <c r="P75" i="1" s="1"/>
  <c r="O76" i="1"/>
  <c r="P76" i="1" s="1"/>
  <c r="O77" i="1"/>
  <c r="P77" i="1" s="1"/>
  <c r="O78" i="1"/>
  <c r="O79" i="1"/>
  <c r="P79" i="1" s="1"/>
  <c r="O80" i="1"/>
  <c r="O81" i="1"/>
  <c r="O82" i="1"/>
  <c r="O83" i="1"/>
  <c r="O84" i="1"/>
  <c r="O85" i="1"/>
  <c r="P85" i="1" s="1"/>
  <c r="O86" i="1"/>
  <c r="P86" i="1" s="1"/>
  <c r="O87" i="1"/>
  <c r="O88" i="1"/>
  <c r="O89" i="1"/>
  <c r="P89" i="1" s="1"/>
  <c r="O90" i="1"/>
  <c r="P90" i="1" s="1"/>
  <c r="O91" i="1"/>
  <c r="P91" i="1" s="1"/>
  <c r="O92" i="1"/>
  <c r="P92" i="1" s="1"/>
  <c r="O93" i="1"/>
  <c r="O94" i="1"/>
  <c r="O95" i="1"/>
  <c r="P95" i="1" s="1"/>
  <c r="O96" i="1"/>
  <c r="P96" i="1" s="1"/>
  <c r="O97" i="1"/>
  <c r="P97" i="1" s="1"/>
  <c r="O98" i="1"/>
  <c r="O99" i="1"/>
  <c r="P99" i="1" s="1"/>
  <c r="O100" i="1"/>
  <c r="P100" i="1" s="1"/>
  <c r="O101" i="1"/>
  <c r="P101" i="1" s="1"/>
  <c r="O102" i="1"/>
  <c r="P102" i="1" s="1"/>
  <c r="O103" i="1"/>
  <c r="P103" i="1" s="1"/>
  <c r="O104" i="1"/>
  <c r="P104" i="1" s="1"/>
  <c r="O105" i="1"/>
  <c r="P105" i="1" s="1"/>
  <c r="O106" i="1"/>
  <c r="P106" i="1" s="1"/>
  <c r="O107" i="1"/>
  <c r="P107" i="1" s="1"/>
  <c r="O108" i="1"/>
  <c r="O109" i="1"/>
  <c r="O110" i="1"/>
  <c r="O111" i="1"/>
  <c r="O112" i="1"/>
  <c r="O113" i="1"/>
  <c r="P113" i="1" s="1"/>
  <c r="O114" i="1"/>
  <c r="P114" i="1" s="1"/>
  <c r="O115" i="1"/>
  <c r="O116" i="1"/>
  <c r="P116" i="1" s="1"/>
  <c r="O117" i="1"/>
  <c r="P117" i="1" s="1"/>
  <c r="O118" i="1"/>
  <c r="P118" i="1" s="1"/>
  <c r="O119" i="1"/>
  <c r="P119" i="1" s="1"/>
  <c r="O120" i="1"/>
  <c r="P120" i="1" s="1"/>
  <c r="O121" i="1"/>
  <c r="O122" i="1"/>
  <c r="O123" i="1"/>
  <c r="P123" i="1" s="1"/>
  <c r="O124" i="1"/>
  <c r="P124" i="1" s="1"/>
  <c r="O125" i="1"/>
  <c r="P125" i="1" s="1"/>
  <c r="O126" i="1"/>
  <c r="O127" i="1"/>
  <c r="P127" i="1" s="1"/>
  <c r="O128" i="1"/>
  <c r="P128" i="1" s="1"/>
  <c r="O129" i="1"/>
  <c r="P129" i="1" s="1"/>
  <c r="O130" i="1"/>
  <c r="P130" i="1" s="1"/>
  <c r="O131" i="1"/>
  <c r="P131" i="1" s="1"/>
  <c r="O132" i="1"/>
  <c r="P132" i="1" s="1"/>
  <c r="O133" i="1"/>
  <c r="P133" i="1" s="1"/>
  <c r="O134" i="1"/>
  <c r="O135" i="1"/>
  <c r="P135" i="1" s="1"/>
  <c r="O136" i="1"/>
  <c r="O137" i="1"/>
  <c r="O138" i="1"/>
  <c r="O139" i="1"/>
  <c r="O140" i="1"/>
  <c r="O141" i="1"/>
  <c r="P141" i="1" s="1"/>
  <c r="O142" i="1"/>
  <c r="P142" i="1" s="1"/>
  <c r="O143" i="1"/>
  <c r="O144" i="1"/>
  <c r="O145" i="1"/>
  <c r="O146" i="1"/>
  <c r="P146" i="1" s="1"/>
  <c r="O147" i="1"/>
  <c r="P147" i="1" s="1"/>
  <c r="O148" i="1"/>
  <c r="P148" i="1" s="1"/>
  <c r="O149" i="1"/>
  <c r="O150" i="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O165" i="1"/>
  <c r="O166" i="1"/>
  <c r="O167" i="1"/>
  <c r="O168" i="1"/>
  <c r="O169" i="1"/>
  <c r="P169" i="1" s="1"/>
  <c r="O170" i="1"/>
  <c r="P170" i="1" s="1"/>
  <c r="O171" i="1"/>
  <c r="O172" i="1"/>
  <c r="O173" i="1"/>
  <c r="O174" i="1"/>
  <c r="O175" i="1"/>
  <c r="O176" i="1"/>
  <c r="O177" i="1"/>
  <c r="O178" i="1"/>
  <c r="O179" i="1"/>
  <c r="P179" i="1" s="1"/>
  <c r="O180" i="1"/>
  <c r="P180" i="1" s="1"/>
  <c r="O181" i="1"/>
  <c r="P181" i="1" s="1"/>
  <c r="O182" i="1"/>
  <c r="O183" i="1"/>
  <c r="P183" i="1" s="1"/>
  <c r="O184" i="1"/>
  <c r="P184" i="1" s="1"/>
  <c r="O185" i="1"/>
  <c r="P185" i="1" s="1"/>
  <c r="O186" i="1"/>
  <c r="P186" i="1" s="1"/>
  <c r="O187" i="1"/>
  <c r="P187" i="1" s="1"/>
  <c r="O188" i="1"/>
  <c r="P188" i="1" s="1"/>
  <c r="O189" i="1"/>
  <c r="P189" i="1" s="1"/>
  <c r="O190" i="1"/>
  <c r="P190" i="1" s="1"/>
  <c r="O191" i="1"/>
  <c r="P191" i="1" s="1"/>
  <c r="O192" i="1"/>
  <c r="O193" i="1"/>
  <c r="O194" i="1"/>
  <c r="O195" i="1"/>
  <c r="O196" i="1"/>
  <c r="O197" i="1"/>
  <c r="P197" i="1" s="1"/>
  <c r="O198" i="1"/>
  <c r="P198" i="1" s="1"/>
  <c r="O199" i="1"/>
  <c r="O200" i="1"/>
  <c r="O201" i="1"/>
  <c r="O202" i="1"/>
  <c r="P202" i="1" s="1"/>
  <c r="O203" i="1"/>
  <c r="P203" i="1" s="1"/>
  <c r="O204" i="1"/>
  <c r="P204" i="1" s="1"/>
  <c r="O205" i="1"/>
  <c r="O206" i="1"/>
  <c r="O207" i="1"/>
  <c r="P207" i="1" s="1"/>
  <c r="O208" i="1"/>
  <c r="P208" i="1" s="1"/>
  <c r="O209" i="1"/>
  <c r="P209" i="1" s="1"/>
  <c r="O210" i="1"/>
  <c r="O211" i="1"/>
  <c r="P211" i="1" s="1"/>
  <c r="O212" i="1"/>
  <c r="P212" i="1" s="1"/>
  <c r="O213" i="1"/>
  <c r="P213" i="1" s="1"/>
  <c r="O214" i="1"/>
  <c r="P214" i="1" s="1"/>
  <c r="O215" i="1"/>
  <c r="P215" i="1" s="1"/>
  <c r="O216" i="1"/>
  <c r="P216" i="1" s="1"/>
  <c r="O217" i="1"/>
  <c r="P217" i="1" s="1"/>
  <c r="O218" i="1"/>
  <c r="O219" i="1"/>
  <c r="P219" i="1" s="1"/>
  <c r="O220" i="1"/>
  <c r="O221" i="1"/>
  <c r="O222" i="1"/>
  <c r="O223" i="1"/>
  <c r="O224" i="1"/>
  <c r="O225" i="1"/>
  <c r="P225" i="1" s="1"/>
  <c r="O226" i="1"/>
  <c r="P226" i="1" s="1"/>
  <c r="O227" i="1"/>
  <c r="O228" i="1"/>
  <c r="P228" i="1" s="1"/>
  <c r="O229" i="1"/>
  <c r="P229" i="1" s="1"/>
  <c r="O230" i="1"/>
  <c r="P230" i="1" s="1"/>
  <c r="O231" i="1"/>
  <c r="P231" i="1" s="1"/>
  <c r="O232" i="1"/>
  <c r="P232" i="1" s="1"/>
  <c r="O233" i="1"/>
  <c r="O234" i="1"/>
  <c r="O235" i="1"/>
  <c r="P235" i="1" s="1"/>
  <c r="O236" i="1"/>
  <c r="P236" i="1" s="1"/>
  <c r="O237" i="1"/>
  <c r="P237" i="1" s="1"/>
  <c r="O238" i="1"/>
  <c r="O239" i="1"/>
  <c r="P239" i="1" s="1"/>
  <c r="O240" i="1"/>
  <c r="P240" i="1" s="1"/>
  <c r="O241" i="1"/>
  <c r="P241" i="1" s="1"/>
  <c r="O242" i="1"/>
  <c r="P242" i="1" s="1"/>
  <c r="O243" i="1"/>
  <c r="P243" i="1" s="1"/>
  <c r="O244" i="1"/>
  <c r="P244" i="1" s="1"/>
  <c r="O245" i="1"/>
  <c r="P245" i="1" s="1"/>
  <c r="O246" i="1"/>
  <c r="O247" i="1"/>
  <c r="P247" i="1" s="1"/>
  <c r="O248" i="1"/>
  <c r="O249" i="1"/>
  <c r="O250" i="1"/>
  <c r="O251" i="1"/>
  <c r="O252" i="1"/>
  <c r="O253" i="1"/>
  <c r="P253" i="1" s="1"/>
  <c r="O254" i="1"/>
  <c r="P254" i="1" s="1"/>
  <c r="O255" i="1"/>
  <c r="O256" i="1"/>
  <c r="P256" i="1" s="1"/>
  <c r="O257" i="1"/>
  <c r="P257" i="1" s="1"/>
  <c r="O258" i="1"/>
  <c r="P258" i="1" s="1"/>
  <c r="O259" i="1"/>
  <c r="P259" i="1" s="1"/>
  <c r="O260" i="1"/>
  <c r="P260" i="1" s="1"/>
  <c r="O261" i="1"/>
  <c r="O262" i="1"/>
  <c r="O263" i="1"/>
  <c r="P263" i="1" s="1"/>
  <c r="O264" i="1"/>
  <c r="P264" i="1" s="1"/>
  <c r="O265" i="1"/>
  <c r="P265" i="1" s="1"/>
  <c r="O266" i="1"/>
  <c r="O267" i="1"/>
  <c r="P267" i="1" s="1"/>
  <c r="O268" i="1"/>
  <c r="P268" i="1" s="1"/>
  <c r="O269" i="1"/>
  <c r="P269" i="1" s="1"/>
  <c r="O270" i="1"/>
  <c r="P270" i="1" s="1"/>
  <c r="O271" i="1"/>
  <c r="P271" i="1" s="1"/>
  <c r="O272" i="1"/>
  <c r="P272" i="1" s="1"/>
  <c r="O273" i="1"/>
  <c r="P273" i="1" s="1"/>
  <c r="O274" i="1"/>
  <c r="O275" i="1"/>
  <c r="P275" i="1" s="1"/>
  <c r="O276" i="1"/>
  <c r="O277" i="1"/>
  <c r="O278" i="1"/>
  <c r="O279" i="1"/>
  <c r="O280" i="1"/>
  <c r="O281" i="1"/>
  <c r="P281" i="1" s="1"/>
  <c r="O282" i="1"/>
  <c r="P282" i="1" s="1"/>
  <c r="O283" i="1"/>
  <c r="O284" i="1"/>
  <c r="O285" i="1"/>
  <c r="O286" i="1"/>
  <c r="P286" i="1" s="1"/>
  <c r="O287" i="1"/>
  <c r="P287" i="1" s="1"/>
  <c r="O288" i="1"/>
  <c r="P288" i="1" s="1"/>
  <c r="O289" i="1"/>
  <c r="O290" i="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O2" i="1"/>
  <c r="P2" i="1" s="1"/>
  <c r="U250" i="1" l="1"/>
  <c r="V250" i="1"/>
  <c r="V284" i="1"/>
  <c r="U284" i="1"/>
  <c r="V256" i="1"/>
  <c r="U256" i="1"/>
  <c r="V228" i="1"/>
  <c r="U228" i="1"/>
  <c r="V200" i="1"/>
  <c r="U200" i="1"/>
  <c r="V144" i="1"/>
  <c r="U144" i="1"/>
  <c r="V88" i="1"/>
  <c r="U88" i="1"/>
  <c r="V60" i="1"/>
  <c r="U60" i="1"/>
  <c r="V32" i="1"/>
  <c r="U32" i="1"/>
  <c r="V4" i="1"/>
  <c r="U4" i="1"/>
  <c r="U198" i="1"/>
  <c r="V198" i="1"/>
  <c r="V58" i="1"/>
  <c r="U58" i="1"/>
  <c r="U82" i="1"/>
  <c r="V82" i="1"/>
  <c r="V158" i="1"/>
  <c r="U158" i="1"/>
  <c r="U157" i="1"/>
  <c r="V157" i="1"/>
  <c r="U296" i="1"/>
  <c r="V296" i="1"/>
  <c r="U268" i="1"/>
  <c r="V268" i="1"/>
  <c r="U184" i="1"/>
  <c r="V184" i="1"/>
  <c r="U128" i="1"/>
  <c r="V128" i="1"/>
  <c r="U100" i="1"/>
  <c r="V100" i="1"/>
  <c r="U72" i="1"/>
  <c r="V72" i="1"/>
  <c r="V142" i="1"/>
  <c r="U142" i="1"/>
  <c r="V85" i="1"/>
  <c r="U85" i="1"/>
  <c r="U110" i="1"/>
  <c r="V110" i="1"/>
  <c r="V298" i="1"/>
  <c r="U298" i="1"/>
  <c r="V242" i="1"/>
  <c r="U242" i="1"/>
  <c r="V130" i="1"/>
  <c r="U130" i="1"/>
  <c r="V74" i="1"/>
  <c r="U74" i="1"/>
  <c r="U297" i="1"/>
  <c r="V297" i="1"/>
  <c r="U45" i="1"/>
  <c r="V45" i="1"/>
  <c r="V254" i="1"/>
  <c r="U254" i="1"/>
  <c r="V114" i="1"/>
  <c r="U114" i="1"/>
  <c r="V253" i="1"/>
  <c r="U253" i="1"/>
  <c r="V225" i="1"/>
  <c r="U225" i="1"/>
  <c r="U141" i="1"/>
  <c r="V141" i="1"/>
  <c r="V57" i="1"/>
  <c r="U57" i="1"/>
  <c r="U138" i="1"/>
  <c r="V138" i="1"/>
  <c r="V270" i="1"/>
  <c r="U270" i="1"/>
  <c r="V186" i="1"/>
  <c r="U186" i="1"/>
  <c r="V102" i="1"/>
  <c r="U102" i="1"/>
  <c r="U241" i="1"/>
  <c r="V241" i="1"/>
  <c r="U185" i="1"/>
  <c r="V185" i="1"/>
  <c r="U73" i="1"/>
  <c r="V73" i="1"/>
  <c r="U292" i="1"/>
  <c r="V292" i="1"/>
  <c r="U152" i="1"/>
  <c r="V152" i="1"/>
  <c r="U96" i="1"/>
  <c r="V96" i="1"/>
  <c r="U269" i="1"/>
  <c r="V269" i="1"/>
  <c r="U54" i="1"/>
  <c r="V54" i="1"/>
  <c r="U226" i="1"/>
  <c r="V226" i="1"/>
  <c r="V46" i="1"/>
  <c r="U46" i="1"/>
  <c r="U263" i="1"/>
  <c r="V263" i="1"/>
  <c r="U126" i="1"/>
  <c r="V126" i="1"/>
  <c r="U194" i="1"/>
  <c r="V194" i="1"/>
  <c r="V205" i="1"/>
  <c r="U205" i="1"/>
  <c r="U101" i="1"/>
  <c r="V101" i="1"/>
  <c r="U235" i="1"/>
  <c r="V235" i="1"/>
  <c r="U179" i="1"/>
  <c r="V179" i="1"/>
  <c r="U123" i="1"/>
  <c r="V123" i="1"/>
  <c r="U67" i="1"/>
  <c r="V67" i="1"/>
  <c r="U11" i="1"/>
  <c r="V11" i="1"/>
  <c r="V214" i="1"/>
  <c r="U214" i="1"/>
  <c r="V290" i="1"/>
  <c r="U290" i="1"/>
  <c r="U206" i="1"/>
  <c r="V206" i="1"/>
  <c r="U150" i="1"/>
  <c r="V150" i="1"/>
  <c r="V94" i="1"/>
  <c r="U94" i="1"/>
  <c r="V10" i="1"/>
  <c r="U10" i="1"/>
  <c r="U213" i="1"/>
  <c r="V213" i="1"/>
  <c r="U17" i="1"/>
  <c r="V17" i="1"/>
  <c r="V261" i="1"/>
  <c r="U261" i="1"/>
  <c r="V177" i="1"/>
  <c r="U177" i="1"/>
  <c r="V121" i="1"/>
  <c r="U121" i="1"/>
  <c r="V65" i="1"/>
  <c r="U65" i="1"/>
  <c r="V9" i="1"/>
  <c r="U9" i="1"/>
  <c r="U238" i="1"/>
  <c r="V238" i="1"/>
  <c r="U154" i="1"/>
  <c r="V154" i="1"/>
  <c r="U42" i="1"/>
  <c r="V42" i="1"/>
  <c r="V30" i="1"/>
  <c r="U30" i="1"/>
  <c r="V281" i="1"/>
  <c r="U281" i="1"/>
  <c r="V29" i="1"/>
  <c r="U29" i="1"/>
  <c r="U278" i="1"/>
  <c r="V278" i="1"/>
  <c r="V18" i="1"/>
  <c r="U18" i="1"/>
  <c r="U129" i="1"/>
  <c r="V129" i="1"/>
  <c r="U291" i="1"/>
  <c r="V291" i="1"/>
  <c r="U207" i="1"/>
  <c r="V207" i="1"/>
  <c r="U151" i="1"/>
  <c r="V151" i="1"/>
  <c r="U95" i="1"/>
  <c r="V95" i="1"/>
  <c r="U39" i="1"/>
  <c r="V39" i="1"/>
  <c r="V234" i="1"/>
  <c r="U234" i="1"/>
  <c r="V178" i="1"/>
  <c r="U178" i="1"/>
  <c r="V38" i="1"/>
  <c r="U38" i="1"/>
  <c r="V289" i="1"/>
  <c r="U289" i="1"/>
  <c r="V233" i="1"/>
  <c r="U233" i="1"/>
  <c r="V149" i="1"/>
  <c r="U149" i="1"/>
  <c r="V93" i="1"/>
  <c r="U93" i="1"/>
  <c r="V37" i="1"/>
  <c r="U37" i="1"/>
  <c r="U294" i="1"/>
  <c r="V294" i="1"/>
  <c r="U182" i="1"/>
  <c r="V182" i="1"/>
  <c r="U98" i="1"/>
  <c r="V98" i="1"/>
  <c r="V147" i="1"/>
  <c r="U147" i="1"/>
  <c r="V209" i="1"/>
  <c r="V107" i="1"/>
  <c r="U248" i="1"/>
  <c r="U247" i="1"/>
  <c r="U197" i="1"/>
  <c r="U145" i="1"/>
  <c r="U51" i="1"/>
  <c r="U236" i="1"/>
  <c r="V236" i="1"/>
  <c r="U40" i="1"/>
  <c r="V40" i="1"/>
  <c r="U246" i="1"/>
  <c r="U196" i="1"/>
  <c r="U50" i="1"/>
  <c r="V300" i="1"/>
  <c r="V104" i="1"/>
  <c r="V52" i="1"/>
  <c r="V287" i="1"/>
  <c r="U287" i="1"/>
  <c r="V91" i="1"/>
  <c r="U91" i="1"/>
  <c r="U288" i="1"/>
  <c r="U143" i="1"/>
  <c r="U92" i="1"/>
  <c r="U146" i="1"/>
  <c r="T299" i="1"/>
  <c r="T271" i="1"/>
  <c r="T243" i="1"/>
  <c r="T215" i="1"/>
  <c r="T187" i="1"/>
  <c r="T159" i="1"/>
  <c r="T131" i="1"/>
  <c r="T103" i="1"/>
  <c r="T75" i="1"/>
  <c r="T47" i="1"/>
  <c r="T19" i="1"/>
  <c r="U286" i="1"/>
  <c r="U192" i="1"/>
  <c r="U90" i="1"/>
  <c r="V231" i="1"/>
  <c r="U231" i="1"/>
  <c r="V35" i="1"/>
  <c r="U35" i="1"/>
  <c r="U283" i="1"/>
  <c r="U232" i="1"/>
  <c r="U189" i="1"/>
  <c r="U87" i="1"/>
  <c r="U36" i="1"/>
  <c r="U282" i="1"/>
  <c r="U230" i="1"/>
  <c r="U136" i="1"/>
  <c r="U86" i="1"/>
  <c r="U34" i="1"/>
  <c r="V240" i="1"/>
  <c r="V44" i="1"/>
  <c r="U229" i="1"/>
  <c r="U135" i="1"/>
  <c r="U33" i="1"/>
  <c r="V239" i="1"/>
  <c r="V43" i="1"/>
  <c r="U124" i="1"/>
  <c r="V124" i="1"/>
  <c r="U280" i="1"/>
  <c r="U84" i="1"/>
  <c r="V188" i="1"/>
  <c r="U180" i="1"/>
  <c r="V180" i="1"/>
  <c r="V175" i="1"/>
  <c r="U175" i="1"/>
  <c r="U227" i="1"/>
  <c r="U176" i="1"/>
  <c r="U31" i="1"/>
  <c r="V237" i="1"/>
  <c r="V41" i="1"/>
  <c r="U122" i="1"/>
  <c r="U264" i="1"/>
  <c r="V264" i="1"/>
  <c r="U68" i="1"/>
  <c r="V68" i="1"/>
  <c r="U172" i="1"/>
  <c r="V119" i="1"/>
  <c r="U119" i="1"/>
  <c r="U171" i="1"/>
  <c r="U120" i="1"/>
  <c r="V181" i="1"/>
  <c r="V26" i="1"/>
  <c r="U66" i="1"/>
  <c r="U208" i="1"/>
  <c r="V208" i="1"/>
  <c r="V63" i="1"/>
  <c r="U63" i="1"/>
  <c r="U62" i="1"/>
  <c r="V20" i="1"/>
  <c r="U162" i="1"/>
  <c r="U112" i="1"/>
  <c r="V266" i="1"/>
  <c r="V216" i="1"/>
  <c r="V164" i="1"/>
  <c r="V113" i="1"/>
  <c r="V70" i="1"/>
  <c r="V222" i="1"/>
  <c r="V218" i="1"/>
  <c r="V265" i="1"/>
  <c r="V163" i="1"/>
  <c r="V69" i="1"/>
  <c r="V16" i="1"/>
  <c r="U12" i="1"/>
  <c r="V12" i="1"/>
  <c r="U116" i="1"/>
  <c r="U22" i="1"/>
  <c r="V259" i="1"/>
  <c r="U259" i="1"/>
  <c r="V219" i="1"/>
  <c r="V166" i="1"/>
  <c r="V203" i="1"/>
  <c r="U203" i="1"/>
  <c r="V7" i="1"/>
  <c r="U7" i="1"/>
  <c r="U255" i="1"/>
  <c r="U204" i="1"/>
  <c r="U161" i="1"/>
  <c r="U59" i="1"/>
  <c r="T279" i="1"/>
  <c r="T251" i="1"/>
  <c r="T223" i="1"/>
  <c r="T195" i="1"/>
  <c r="T167" i="1"/>
  <c r="T139" i="1"/>
  <c r="T111" i="1"/>
  <c r="T83" i="1"/>
  <c r="T55" i="1"/>
  <c r="T27" i="1"/>
  <c r="U202" i="1"/>
  <c r="U108" i="1"/>
  <c r="U6" i="1"/>
  <c r="V262" i="1"/>
  <c r="V212" i="1"/>
  <c r="V15" i="1"/>
  <c r="U115" i="1"/>
  <c r="U257" i="1"/>
  <c r="U61" i="1"/>
  <c r="V267" i="1"/>
  <c r="V71" i="1"/>
  <c r="U201" i="1"/>
  <c r="U5" i="1"/>
  <c r="V211" i="1"/>
  <c r="V14" i="1"/>
  <c r="U260" i="1"/>
  <c r="U64" i="1"/>
  <c r="U258" i="1"/>
  <c r="T277" i="1"/>
  <c r="T249" i="1"/>
  <c r="T221" i="1"/>
  <c r="T193" i="1"/>
  <c r="T165" i="1"/>
  <c r="T137" i="1"/>
  <c r="T109" i="1"/>
  <c r="T81" i="1"/>
  <c r="T53" i="1"/>
  <c r="T25" i="1"/>
  <c r="V210" i="1"/>
  <c r="V160" i="1"/>
  <c r="V13" i="1"/>
  <c r="U299" i="1" l="1"/>
  <c r="V299" i="1"/>
  <c r="U25" i="1"/>
  <c r="V25" i="1"/>
  <c r="U81" i="1"/>
  <c r="V81" i="1"/>
  <c r="U137" i="1"/>
  <c r="V137" i="1"/>
  <c r="V223" i="1"/>
  <c r="U223" i="1"/>
  <c r="V251" i="1"/>
  <c r="U251" i="1"/>
  <c r="V27" i="1"/>
  <c r="U27" i="1"/>
  <c r="V279" i="1"/>
  <c r="U279" i="1"/>
  <c r="U103" i="1"/>
  <c r="V103" i="1"/>
  <c r="V111" i="1"/>
  <c r="U111" i="1"/>
  <c r="V195" i="1"/>
  <c r="U195" i="1"/>
  <c r="U19" i="1"/>
  <c r="V19" i="1"/>
  <c r="V139" i="1"/>
  <c r="U139" i="1"/>
  <c r="U193" i="1"/>
  <c r="V193" i="1"/>
  <c r="U221" i="1"/>
  <c r="V221" i="1"/>
  <c r="U131" i="1"/>
  <c r="V131" i="1"/>
  <c r="U53" i="1"/>
  <c r="V53" i="1"/>
  <c r="U109" i="1"/>
  <c r="V109" i="1"/>
  <c r="U47" i="1"/>
  <c r="V47" i="1"/>
  <c r="U75" i="1"/>
  <c r="V75" i="1"/>
  <c r="U165" i="1"/>
  <c r="V165" i="1"/>
  <c r="U277" i="1"/>
  <c r="V277" i="1"/>
  <c r="U215" i="1"/>
  <c r="V215" i="1"/>
  <c r="V55" i="1"/>
  <c r="U55" i="1"/>
  <c r="V83" i="1"/>
  <c r="U83" i="1"/>
  <c r="V167" i="1"/>
  <c r="U167" i="1"/>
  <c r="U249" i="1"/>
  <c r="V249" i="1"/>
  <c r="U243" i="1"/>
  <c r="V243" i="1"/>
  <c r="U159" i="1"/>
  <c r="V159" i="1"/>
  <c r="U187" i="1"/>
  <c r="V187" i="1"/>
  <c r="U271" i="1"/>
  <c r="V271" i="1"/>
</calcChain>
</file>

<file path=xl/sharedStrings.xml><?xml version="1.0" encoding="utf-8"?>
<sst xmlns="http://schemas.openxmlformats.org/spreadsheetml/2006/main" count="6127" uniqueCount="1430">
  <si>
    <t>ID</t>
  </si>
  <si>
    <t>Phone</t>
  </si>
  <si>
    <t>Country</t>
  </si>
  <si>
    <t>Department</t>
  </si>
  <si>
    <t>MonyTransfere</t>
  </si>
  <si>
    <t>Email</t>
  </si>
  <si>
    <t>Salary</t>
  </si>
  <si>
    <t>Syria</t>
  </si>
  <si>
    <t>Full Time</t>
  </si>
  <si>
    <t>Manufacturing</t>
  </si>
  <si>
    <t>Debt Card</t>
  </si>
  <si>
    <t>Contract</t>
  </si>
  <si>
    <t>Hawala</t>
  </si>
  <si>
    <t>Saudi Arabia</t>
  </si>
  <si>
    <t>Half-Time</t>
  </si>
  <si>
    <t>Account Management</t>
  </si>
  <si>
    <t>Egypt</t>
  </si>
  <si>
    <t>Quality Control</t>
  </si>
  <si>
    <t>Iraq</t>
  </si>
  <si>
    <t>Master Card</t>
  </si>
  <si>
    <t>Hourly</t>
  </si>
  <si>
    <t>Western Union</t>
  </si>
  <si>
    <t>Marketing</t>
  </si>
  <si>
    <t>IT</t>
  </si>
  <si>
    <t>Product Development</t>
  </si>
  <si>
    <t>Creative</t>
  </si>
  <si>
    <t>Sales</t>
  </si>
  <si>
    <t>Ali</t>
  </si>
  <si>
    <t>Salary Status</t>
  </si>
  <si>
    <t>Dima</t>
  </si>
  <si>
    <t>Ruba</t>
  </si>
  <si>
    <t>Ibrahim</t>
  </si>
  <si>
    <t>Sarah</t>
  </si>
  <si>
    <t>Female</t>
  </si>
  <si>
    <t>Male</t>
  </si>
  <si>
    <t>Qbany</t>
  </si>
  <si>
    <t>Ahmad</t>
  </si>
  <si>
    <t>Muhamad</t>
  </si>
  <si>
    <t>Zueitr</t>
  </si>
  <si>
    <t>Iin</t>
  </si>
  <si>
    <t>Alhalaliu</t>
  </si>
  <si>
    <t>Alaya</t>
  </si>
  <si>
    <t>Susin</t>
  </si>
  <si>
    <t>Almilat</t>
  </si>
  <si>
    <t>Alrifaei</t>
  </si>
  <si>
    <t>Alqadah</t>
  </si>
  <si>
    <t>Iad</t>
  </si>
  <si>
    <t>Razaan</t>
  </si>
  <si>
    <t>Nasif</t>
  </si>
  <si>
    <t>Iilian</t>
  </si>
  <si>
    <t>Dbs</t>
  </si>
  <si>
    <t>Bayan</t>
  </si>
  <si>
    <t>Alaa</t>
  </si>
  <si>
    <t>Sandra</t>
  </si>
  <si>
    <t>Farahad</t>
  </si>
  <si>
    <t>Husayn</t>
  </si>
  <si>
    <t>Ahed</t>
  </si>
  <si>
    <t>Salim</t>
  </si>
  <si>
    <t>Ayham</t>
  </si>
  <si>
    <t>Tutwnji</t>
  </si>
  <si>
    <t>Samir</t>
  </si>
  <si>
    <t>Alsafdi</t>
  </si>
  <si>
    <t>Bilal</t>
  </si>
  <si>
    <t>Jalal</t>
  </si>
  <si>
    <t>Riad</t>
  </si>
  <si>
    <t>Sahalul</t>
  </si>
  <si>
    <t>Altarah</t>
  </si>
  <si>
    <t>Lwna</t>
  </si>
  <si>
    <t>Abu</t>
  </si>
  <si>
    <t>Almuluhi</t>
  </si>
  <si>
    <t>Rana</t>
  </si>
  <si>
    <t>Mius</t>
  </si>
  <si>
    <t>Lina</t>
  </si>
  <si>
    <t>Aljabaan</t>
  </si>
  <si>
    <t>Rami</t>
  </si>
  <si>
    <t>Shanan</t>
  </si>
  <si>
    <t>Eala</t>
  </si>
  <si>
    <t>Alhaj</t>
  </si>
  <si>
    <t>Ghalib</t>
  </si>
  <si>
    <t>Zakianiin</t>
  </si>
  <si>
    <t>Eurul</t>
  </si>
  <si>
    <t>Eizat</t>
  </si>
  <si>
    <t>Ghanim</t>
  </si>
  <si>
    <t>Swyd</t>
  </si>
  <si>
    <t>Aleass</t>
  </si>
  <si>
    <t>Rima</t>
  </si>
  <si>
    <t>AlAsfar</t>
  </si>
  <si>
    <t>Zayn</t>
  </si>
  <si>
    <t>Hazim</t>
  </si>
  <si>
    <t>Alshshatim</t>
  </si>
  <si>
    <t>Dia</t>
  </si>
  <si>
    <t>Alshahf</t>
  </si>
  <si>
    <t>Almusaa</t>
  </si>
  <si>
    <t>Abd Allatif</t>
  </si>
  <si>
    <t>Mabrukh</t>
  </si>
  <si>
    <t>Abumaeun</t>
  </si>
  <si>
    <t>Rafat</t>
  </si>
  <si>
    <t>Hamza</t>
  </si>
  <si>
    <t>Laylana</t>
  </si>
  <si>
    <t>Lobnaa</t>
  </si>
  <si>
    <t>Khalifih</t>
  </si>
  <si>
    <t>Sami</t>
  </si>
  <si>
    <t>Alkhujih</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</si>
  <si>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</si>
  <si>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</si>
  <si>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</si>
  <si>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</si>
  <si>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</si>
  <si>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</si>
  <si>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</si>
  <si>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</si>
  <si>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</si>
  <si>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</si>
  <si>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</si>
  <si>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</si>
  <si>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</si>
  <si>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</si>
  <si>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</si>
  <si>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</si>
  <si>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</si>
  <si>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</si>
  <si>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</si>
  <si>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</si>
  <si>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</si>
  <si>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</si>
  <si>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</si>
  <si>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</si>
  <si>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</si>
  <si>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First Name</t>
  </si>
  <si>
    <t>Last Name</t>
  </si>
  <si>
    <t>Gender</t>
  </si>
  <si>
    <t xml:space="preserve">    Ghadir</t>
  </si>
  <si>
    <t xml:space="preserve">    Ailya</t>
  </si>
  <si>
    <t xml:space="preserve">       Lwiy</t>
  </si>
  <si>
    <t xml:space="preserve">     Ahmad</t>
  </si>
  <si>
    <t>AhmeD</t>
  </si>
  <si>
    <t xml:space="preserve">OmAr    </t>
  </si>
  <si>
    <t>ShaRaf</t>
  </si>
  <si>
    <t>Tax 10%</t>
  </si>
  <si>
    <t>g.ahmed@email.com</t>
  </si>
  <si>
    <t>o.hishan@email.com</t>
  </si>
  <si>
    <t>a.sharaf@email.com</t>
  </si>
  <si>
    <t>l.qbany@email.com</t>
  </si>
  <si>
    <t>a.bikri@email.com</t>
  </si>
  <si>
    <t>m.zueitr@email.com</t>
  </si>
  <si>
    <t>i.alhalaliu@email.com</t>
  </si>
  <si>
    <t>m.alaya@email.com</t>
  </si>
  <si>
    <t>s.almilat@email.com</t>
  </si>
  <si>
    <t>m.alrifaei@email.com</t>
  </si>
  <si>
    <t>m.alqadah@email.com</t>
  </si>
  <si>
    <t>m.iad@email.com</t>
  </si>
  <si>
    <t>r.nasif@email.com</t>
  </si>
  <si>
    <t>i.dbs@email.com</t>
  </si>
  <si>
    <t>b.qdw@email.com</t>
  </si>
  <si>
    <t>a.muhamad@email.com</t>
  </si>
  <si>
    <t>f.husayn@email.com</t>
  </si>
  <si>
    <t>a.salim@email.com</t>
  </si>
  <si>
    <t>a.tutwnji@email.com</t>
  </si>
  <si>
    <t>s.alsafdi@email.com</t>
  </si>
  <si>
    <t>b.jalal@email.com</t>
  </si>
  <si>
    <t>r.sahalul@email.com</t>
  </si>
  <si>
    <t>a.ahmad@email.com</t>
  </si>
  <si>
    <t>m.altarah@email.com</t>
  </si>
  <si>
    <t>l.abu@email.com</t>
  </si>
  <si>
    <t>j.almuluhi@email.com</t>
  </si>
  <si>
    <t>r.mius@email.com</t>
  </si>
  <si>
    <t>l.aljabaan@email.com</t>
  </si>
  <si>
    <t>r.shanan@email.com</t>
  </si>
  <si>
    <t>e.alhaj@email.com</t>
  </si>
  <si>
    <t>g.zakianiin@email.com</t>
  </si>
  <si>
    <t>m.eurul@email.com</t>
  </si>
  <si>
    <t>e.ghanim@email.com</t>
  </si>
  <si>
    <t>a.swyd@email.com</t>
  </si>
  <si>
    <t>m.aleass@email.com</t>
  </si>
  <si>
    <t>r.alasfar@email.com</t>
  </si>
  <si>
    <t>h.alshshatim@email.com</t>
  </si>
  <si>
    <t>d.alshahf@email.com</t>
  </si>
  <si>
    <t>a.almusaa@email.com</t>
  </si>
  <si>
    <t>a.mabrukh@email.com</t>
  </si>
  <si>
    <t>s.abumaeun@email.com</t>
  </si>
  <si>
    <t>r.hamza@email.com</t>
  </si>
  <si>
    <t>a.laylana@email.com</t>
  </si>
  <si>
    <t>l.khalifih@email.com</t>
  </si>
  <si>
    <t>s.alkhujih@email.com</t>
  </si>
  <si>
    <t>s.alealbi@email.com</t>
  </si>
  <si>
    <t>r.almusaa@email.com</t>
  </si>
  <si>
    <t>g.aleasimii@email.com</t>
  </si>
  <si>
    <t>a.eubayd@email.com</t>
  </si>
  <si>
    <t>f.karim@email.com</t>
  </si>
  <si>
    <t>s.salayk@email.com</t>
  </si>
  <si>
    <t>e.alttahir@email.com</t>
  </si>
  <si>
    <t>a.alzzahir@email.com</t>
  </si>
  <si>
    <t>m.ashbrh@email.com</t>
  </si>
  <si>
    <t>a.dahadal@email.com</t>
  </si>
  <si>
    <t>t.tuish@email.com</t>
  </si>
  <si>
    <t>m.qarh@email.com</t>
  </si>
  <si>
    <t>e.almisri@email.com</t>
  </si>
  <si>
    <t>m.alzaybq@email.com</t>
  </si>
  <si>
    <t>Engineering</t>
  </si>
  <si>
    <t>Experience Year</t>
  </si>
  <si>
    <t>=</t>
  </si>
  <si>
    <t>Full Name</t>
  </si>
  <si>
    <t xml:space="preserve">       bikri</t>
  </si>
  <si>
    <t>mohamed</t>
  </si>
  <si>
    <t xml:space="preserve">   mostafa</t>
  </si>
  <si>
    <t>Hire Day</t>
  </si>
  <si>
    <t>Hire Month</t>
  </si>
  <si>
    <t>Hire Year</t>
  </si>
  <si>
    <t>Atef</t>
  </si>
  <si>
    <t>z.atef@email.com</t>
  </si>
  <si>
    <t>Alkhatib</t>
  </si>
  <si>
    <t>Salah</t>
  </si>
  <si>
    <t>Rajab</t>
  </si>
  <si>
    <t>Ghadir</t>
  </si>
  <si>
    <t>Hmshw</t>
  </si>
  <si>
    <t>Ailya</t>
  </si>
  <si>
    <t>Sharaf</t>
  </si>
  <si>
    <t>Bikri</t>
  </si>
  <si>
    <t>Hamdah</t>
  </si>
  <si>
    <t>Alkhalifa</t>
  </si>
  <si>
    <t>Ramadan</t>
  </si>
  <si>
    <t>Amira</t>
  </si>
  <si>
    <t>Akrym</t>
  </si>
  <si>
    <t>Samah</t>
  </si>
  <si>
    <t>Almaydanii</t>
  </si>
  <si>
    <t>Alhamid</t>
  </si>
  <si>
    <t>Zaydun</t>
  </si>
  <si>
    <t>Jabir</t>
  </si>
  <si>
    <t>Ruyda</t>
  </si>
  <si>
    <t>Alhamadii</t>
  </si>
  <si>
    <t>Karam</t>
  </si>
  <si>
    <t>Kiali</t>
  </si>
  <si>
    <t>Iilyas</t>
  </si>
  <si>
    <t>Qisi</t>
  </si>
  <si>
    <t>Dahbur</t>
  </si>
  <si>
    <t>Khalil</t>
  </si>
  <si>
    <t>Alzaebii</t>
  </si>
  <si>
    <t>Rahaf</t>
  </si>
  <si>
    <t>Alaleppoy</t>
  </si>
  <si>
    <t>Isam</t>
  </si>
  <si>
    <t>Jadid</t>
  </si>
  <si>
    <t>Rybal</t>
  </si>
  <si>
    <t>Sabagh</t>
  </si>
  <si>
    <t>Ihsan</t>
  </si>
  <si>
    <t>Eazu</t>
  </si>
  <si>
    <t>Abdalrahmin</t>
  </si>
  <si>
    <t>Turkmany</t>
  </si>
  <si>
    <t>Lama</t>
  </si>
  <si>
    <t>Sabiq</t>
  </si>
  <si>
    <t>Shaykh</t>
  </si>
  <si>
    <t>Khaldun</t>
  </si>
  <si>
    <t>Suqbani</t>
  </si>
  <si>
    <t>Kawkab</t>
  </si>
  <si>
    <t>Qarqazan</t>
  </si>
  <si>
    <t>Alsaeid</t>
  </si>
  <si>
    <t>Amir</t>
  </si>
  <si>
    <t>Alhifar</t>
  </si>
  <si>
    <t>Amjad</t>
  </si>
  <si>
    <t>Alrz</t>
  </si>
  <si>
    <t>Daniah</t>
  </si>
  <si>
    <t>Alhariri</t>
  </si>
  <si>
    <t>Sana</t>
  </si>
  <si>
    <t>Alhusayn</t>
  </si>
  <si>
    <t>Alqasir</t>
  </si>
  <si>
    <t>Abd Alruhmin</t>
  </si>
  <si>
    <t>Salih</t>
  </si>
  <si>
    <t>Alhumwi</t>
  </si>
  <si>
    <t>Saed</t>
  </si>
  <si>
    <t>Safa</t>
  </si>
  <si>
    <t>AlAhmar</t>
  </si>
  <si>
    <t>Afra</t>
  </si>
  <si>
    <t>Sharabi</t>
  </si>
  <si>
    <t>Rawan</t>
  </si>
  <si>
    <t>Durkzili</t>
  </si>
  <si>
    <t>Dijwar</t>
  </si>
  <si>
    <t>Husu</t>
  </si>
  <si>
    <t>Asama</t>
  </si>
  <si>
    <t>Eilwan</t>
  </si>
  <si>
    <t>Zyny</t>
  </si>
  <si>
    <t>Iidlibi</t>
  </si>
  <si>
    <t>Zynu</t>
  </si>
  <si>
    <t>Eijluni</t>
  </si>
  <si>
    <t>Marwan</t>
  </si>
  <si>
    <t>Sayban</t>
  </si>
  <si>
    <t>Musur</t>
  </si>
  <si>
    <t>Alnuwri</t>
  </si>
  <si>
    <t>Shakir</t>
  </si>
  <si>
    <t>Kharbutli</t>
  </si>
  <si>
    <t>Sahar</t>
  </si>
  <si>
    <t>Jaridiun</t>
  </si>
  <si>
    <t>Abdalrhim</t>
  </si>
  <si>
    <t>Eimaruh</t>
  </si>
  <si>
    <t>Baha Aldiyn</t>
  </si>
  <si>
    <t>Marzuq</t>
  </si>
  <si>
    <t>Hamj</t>
  </si>
  <si>
    <t>Bradey</t>
  </si>
  <si>
    <t>Bakr</t>
  </si>
  <si>
    <t>Eubdallah</t>
  </si>
  <si>
    <t>Alnajar</t>
  </si>
  <si>
    <t>Raghid</t>
  </si>
  <si>
    <t>Hutayniun</t>
  </si>
  <si>
    <t>Khalid</t>
  </si>
  <si>
    <t>Siriul</t>
  </si>
  <si>
    <t>Bashshar</t>
  </si>
  <si>
    <t>Mareiun</t>
  </si>
  <si>
    <t>Akram</t>
  </si>
  <si>
    <t>Alhulwanii</t>
  </si>
  <si>
    <t>Alhasan</t>
  </si>
  <si>
    <t>Abdallah</t>
  </si>
  <si>
    <t>Zakariaa</t>
  </si>
  <si>
    <t>Aywbi</t>
  </si>
  <si>
    <t>Madlin</t>
  </si>
  <si>
    <t>Alsaed</t>
  </si>
  <si>
    <t>Adnan</t>
  </si>
  <si>
    <t>Aleaqla</t>
  </si>
  <si>
    <t>Haydar</t>
  </si>
  <si>
    <t>Abdalkarim</t>
  </si>
  <si>
    <t>Shueayb</t>
  </si>
  <si>
    <t>Dahman</t>
  </si>
  <si>
    <t>Zaynab</t>
  </si>
  <si>
    <t>Eirat</t>
  </si>
  <si>
    <t>Badran</t>
  </si>
  <si>
    <t>Zahir</t>
  </si>
  <si>
    <t>Aleitar</t>
  </si>
  <si>
    <t>Hamzaa</t>
  </si>
  <si>
    <t>Astitih</t>
  </si>
  <si>
    <t>Omar</t>
  </si>
  <si>
    <t>Shawqi</t>
  </si>
  <si>
    <t>Zaqzuq</t>
  </si>
  <si>
    <t>Yasmin</t>
  </si>
  <si>
    <t>Eamir</t>
  </si>
  <si>
    <t>Muayid</t>
  </si>
  <si>
    <t>Siedih</t>
  </si>
  <si>
    <t>Qisam</t>
  </si>
  <si>
    <t>Hind</t>
  </si>
  <si>
    <t>Almueasaeas</t>
  </si>
  <si>
    <t>Ghassan</t>
  </si>
  <si>
    <t>Aljamal</t>
  </si>
  <si>
    <t>Kahulus</t>
  </si>
  <si>
    <t>Alysia</t>
  </si>
  <si>
    <t>Alyaghshiu</t>
  </si>
  <si>
    <t>Zayd</t>
  </si>
  <si>
    <t>Darin</t>
  </si>
  <si>
    <t>Ghunum</t>
  </si>
  <si>
    <t>Tariq</t>
  </si>
  <si>
    <t>Bryghl</t>
  </si>
  <si>
    <t>Abu Adhan</t>
  </si>
  <si>
    <t>Ehab</t>
  </si>
  <si>
    <t>Alkhibaz</t>
  </si>
  <si>
    <t>Rym</t>
  </si>
  <si>
    <t>Alsydawi</t>
  </si>
  <si>
    <t>Almunzilijiu</t>
  </si>
  <si>
    <t>Milatu</t>
  </si>
  <si>
    <t>Zunar</t>
  </si>
  <si>
    <t>Eali</t>
  </si>
  <si>
    <t>Ghazal</t>
  </si>
  <si>
    <t>Hisan</t>
  </si>
  <si>
    <t>Majd</t>
  </si>
  <si>
    <t>Yasin</t>
  </si>
  <si>
    <t>Muwmin</t>
  </si>
  <si>
    <t>Ewad</t>
  </si>
  <si>
    <t>Samiah</t>
  </si>
  <si>
    <t>Alsaedi</t>
  </si>
  <si>
    <t>Bisam</t>
  </si>
  <si>
    <t>Alnasar</t>
  </si>
  <si>
    <t>Dwalyby</t>
  </si>
  <si>
    <t>Rashad</t>
  </si>
  <si>
    <t>Iidris</t>
  </si>
  <si>
    <t>Fuad</t>
  </si>
  <si>
    <t>Alsyqly</t>
  </si>
  <si>
    <t>Alyasin</t>
  </si>
  <si>
    <t>Mulaliyun</t>
  </si>
  <si>
    <t>Khadijah</t>
  </si>
  <si>
    <t>Abu Taqih</t>
  </si>
  <si>
    <t>Sandurana</t>
  </si>
  <si>
    <t>Antun</t>
  </si>
  <si>
    <t>Alkinaya</t>
  </si>
  <si>
    <t>Qareush</t>
  </si>
  <si>
    <t>Kholoud</t>
  </si>
  <si>
    <t>Khayti</t>
  </si>
  <si>
    <t>Kinda</t>
  </si>
  <si>
    <t>Alaqre</t>
  </si>
  <si>
    <t>Eurman</t>
  </si>
  <si>
    <t>Abdalhadi</t>
  </si>
  <si>
    <t>Altahhan</t>
  </si>
  <si>
    <t>Fadi</t>
  </si>
  <si>
    <t>Shakur</t>
  </si>
  <si>
    <t>Anas</t>
  </si>
  <si>
    <t>Eabidin</t>
  </si>
  <si>
    <t>Asma</t>
  </si>
  <si>
    <t>Sadqawi</t>
  </si>
  <si>
    <t>Altaynawi</t>
  </si>
  <si>
    <t>Lbyb</t>
  </si>
  <si>
    <t>Fahd</t>
  </si>
  <si>
    <t>Aleabd</t>
  </si>
  <si>
    <t>Allaham</t>
  </si>
  <si>
    <t>Emar</t>
  </si>
  <si>
    <t>Eisaf</t>
  </si>
  <si>
    <t>Sabah</t>
  </si>
  <si>
    <t>Qadish</t>
  </si>
  <si>
    <t>Asra</t>
  </si>
  <si>
    <t>Zaki</t>
  </si>
  <si>
    <t>Zarie</t>
  </si>
  <si>
    <t>Einziin</t>
  </si>
  <si>
    <t>Abdaleziz</t>
  </si>
  <si>
    <t>Eiwad</t>
  </si>
  <si>
    <t>Alia</t>
  </si>
  <si>
    <t>Maseud</t>
  </si>
  <si>
    <t>Sultan</t>
  </si>
  <si>
    <t>Taysir</t>
  </si>
  <si>
    <t>Sharfah</t>
  </si>
  <si>
    <t>Thayir</t>
  </si>
  <si>
    <t>Hamuwda</t>
  </si>
  <si>
    <t>Lilas</t>
  </si>
  <si>
    <t>Nafae</t>
  </si>
  <si>
    <t>Kashik</t>
  </si>
  <si>
    <t>Abd Allah</t>
  </si>
  <si>
    <t>Aldahan</t>
  </si>
  <si>
    <t>Alkhawam</t>
  </si>
  <si>
    <t>Oqba</t>
  </si>
  <si>
    <t>Alqintar</t>
  </si>
  <si>
    <t>Salah Aldiyn</t>
  </si>
  <si>
    <t>Altibae</t>
  </si>
  <si>
    <t>Eynas</t>
  </si>
  <si>
    <t>Aljabaei</t>
  </si>
  <si>
    <t>Abdalrhmin</t>
  </si>
  <si>
    <t>Shwk</t>
  </si>
  <si>
    <t>Hamuwdatan</t>
  </si>
  <si>
    <t>Almiqdad</t>
  </si>
  <si>
    <t>Alsyd Ahmad</t>
  </si>
  <si>
    <t>Aldhiyab</t>
  </si>
  <si>
    <t>Almujahid</t>
  </si>
  <si>
    <t>Hawria</t>
  </si>
  <si>
    <t>Iman</t>
  </si>
  <si>
    <t>Ghrz Aldiyn</t>
  </si>
  <si>
    <t>Sari</t>
  </si>
  <si>
    <t>Hanna</t>
  </si>
  <si>
    <t>Alkalu</t>
  </si>
  <si>
    <t>Alkhayrat</t>
  </si>
  <si>
    <t>Darar</t>
  </si>
  <si>
    <t>Alshiyraziu</t>
  </si>
  <si>
    <t>Fayaruz</t>
  </si>
  <si>
    <t>Sabih</t>
  </si>
  <si>
    <t>Efan</t>
  </si>
  <si>
    <t>Mia</t>
  </si>
  <si>
    <t>Abdalmjid</t>
  </si>
  <si>
    <t>Zakarian</t>
  </si>
  <si>
    <t>Rashwani</t>
  </si>
  <si>
    <t>Saeid</t>
  </si>
  <si>
    <t>Majdy</t>
  </si>
  <si>
    <t>Rafaea</t>
  </si>
  <si>
    <t>Majdulyn</t>
  </si>
  <si>
    <t>Alhakim</t>
  </si>
  <si>
    <t>Zarzur</t>
  </si>
  <si>
    <t>Fatin</t>
  </si>
  <si>
    <t>Red</t>
  </si>
  <si>
    <t>Ezqul</t>
  </si>
  <si>
    <t>Sayf Aldiyn</t>
  </si>
  <si>
    <t>Alkmshh</t>
  </si>
  <si>
    <t>Sharihan</t>
  </si>
  <si>
    <t>Rihan</t>
  </si>
  <si>
    <t>Alshalaq</t>
  </si>
  <si>
    <t>Rannym</t>
  </si>
  <si>
    <t>Tyru</t>
  </si>
  <si>
    <t>Abuhamd</t>
  </si>
  <si>
    <t>Diea</t>
  </si>
  <si>
    <t>Sharina</t>
  </si>
  <si>
    <t>Jablah</t>
  </si>
  <si>
    <t>Alsulayman</t>
  </si>
  <si>
    <t>Lylas</t>
  </si>
  <si>
    <t>Shiah</t>
  </si>
  <si>
    <t>Hamuwd</t>
  </si>
  <si>
    <t>Imran</t>
  </si>
  <si>
    <t>Hazruma</t>
  </si>
  <si>
    <t>Alhaj Ali</t>
  </si>
  <si>
    <t>Husam</t>
  </si>
  <si>
    <t>Aldubus</t>
  </si>
  <si>
    <t>Alhijar</t>
  </si>
  <si>
    <t>Anwar</t>
  </si>
  <si>
    <t>Alkhayran</t>
  </si>
  <si>
    <t>Rwad</t>
  </si>
  <si>
    <t>Alddahir</t>
  </si>
  <si>
    <t>Jury</t>
  </si>
  <si>
    <t>Eabuwd</t>
  </si>
  <si>
    <t>Bitahish</t>
  </si>
  <si>
    <t>Murad</t>
  </si>
  <si>
    <t>Qays</t>
  </si>
  <si>
    <t>Dahna</t>
  </si>
  <si>
    <t>Omaimah</t>
  </si>
  <si>
    <t>Tqi Aldiyn</t>
  </si>
  <si>
    <t>Ismaeil</t>
  </si>
  <si>
    <t>Jdwe</t>
  </si>
  <si>
    <t>Wayly</t>
  </si>
  <si>
    <t>Alsiraj</t>
  </si>
  <si>
    <t>Lawy</t>
  </si>
  <si>
    <t>Nadaf</t>
  </si>
  <si>
    <t>Tamadur</t>
  </si>
  <si>
    <t>Barghuth</t>
  </si>
  <si>
    <t>Jazar</t>
  </si>
  <si>
    <t>Baha</t>
  </si>
  <si>
    <t>Eusqul</t>
  </si>
  <si>
    <t>Razan</t>
  </si>
  <si>
    <t>Iybw</t>
  </si>
  <si>
    <t>Jamil</t>
  </si>
  <si>
    <t>Ghabur</t>
  </si>
  <si>
    <t>Basil</t>
  </si>
  <si>
    <t>Abdalbasit</t>
  </si>
  <si>
    <t>Aljazayiriu</t>
  </si>
  <si>
    <t>Fawaz</t>
  </si>
  <si>
    <t>Dakhal</t>
  </si>
  <si>
    <t>Emad</t>
  </si>
  <si>
    <t>Dulul</t>
  </si>
  <si>
    <t>Asym</t>
  </si>
  <si>
    <t>Aleaqqad</t>
  </si>
  <si>
    <t>Ayat</t>
  </si>
  <si>
    <t>Byd</t>
  </si>
  <si>
    <t>Ahmid</t>
  </si>
  <si>
    <t>Alqadri</t>
  </si>
  <si>
    <t>Danah</t>
  </si>
  <si>
    <t>Suirkili</t>
  </si>
  <si>
    <t>Mazin</t>
  </si>
  <si>
    <t>Bihtiti</t>
  </si>
  <si>
    <t>Barghaly</t>
  </si>
  <si>
    <t>Alshaykh</t>
  </si>
  <si>
    <t>Huquq</t>
  </si>
  <si>
    <t>Alqatish</t>
  </si>
  <si>
    <t>Fatir</t>
  </si>
  <si>
    <t>Alealiu</t>
  </si>
  <si>
    <t>Rasha</t>
  </si>
  <si>
    <t>Darbika</t>
  </si>
  <si>
    <t>Hanan</t>
  </si>
  <si>
    <t>Salahi</t>
  </si>
  <si>
    <t>Aldhahabi</t>
  </si>
  <si>
    <t>Drwysh</t>
  </si>
  <si>
    <t>Filyun</t>
  </si>
  <si>
    <t>Alshahadat</t>
  </si>
  <si>
    <t>Ayly</t>
  </si>
  <si>
    <t>Bahriin</t>
  </si>
  <si>
    <t>Alqadi</t>
  </si>
  <si>
    <t>Asd</t>
  </si>
  <si>
    <t>Bwfaeur</t>
  </si>
  <si>
    <t>Alyida</t>
  </si>
  <si>
    <t>Nieamah</t>
  </si>
  <si>
    <t>Nhl</t>
  </si>
  <si>
    <t>Hasan</t>
  </si>
  <si>
    <t>Iismaeil</t>
  </si>
  <si>
    <t>Emam</t>
  </si>
  <si>
    <t>Mansur</t>
  </si>
  <si>
    <t>Zawal</t>
  </si>
  <si>
    <t>Almala</t>
  </si>
  <si>
    <t>Esamat</t>
  </si>
  <si>
    <t>Alriys</t>
  </si>
  <si>
    <t>Maria</t>
  </si>
  <si>
    <t>Alhizae</t>
  </si>
  <si>
    <t>Qadimati</t>
  </si>
  <si>
    <t>m.rajab@email.com</t>
  </si>
  <si>
    <t>g.hmshw@email.com</t>
  </si>
  <si>
    <t>h.alkhalifa@email.com</t>
  </si>
  <si>
    <t>s.ramadan@email.com</t>
  </si>
  <si>
    <t>s.alkhatib@email.com</t>
  </si>
  <si>
    <t>a.akrym@email.com</t>
  </si>
  <si>
    <t>s.almaydanii@email.com</t>
  </si>
  <si>
    <t>i.alhamid@email.com</t>
  </si>
  <si>
    <t>z.jabir@email.com</t>
  </si>
  <si>
    <t>r.alhamadii@email.com</t>
  </si>
  <si>
    <t>k.kiali@email.com</t>
  </si>
  <si>
    <t>i.dahadal@email.com</t>
  </si>
  <si>
    <t>i.qisi@email.com</t>
  </si>
  <si>
    <t>e.dahbur@email.com</t>
  </si>
  <si>
    <t>k.alzaebii@email.com</t>
  </si>
  <si>
    <t>r.alaleppoy@email.com</t>
  </si>
  <si>
    <t>i.jadid@email.com</t>
  </si>
  <si>
    <t>r.sabagh@email.com</t>
  </si>
  <si>
    <t>i.eazu@email.com</t>
  </si>
  <si>
    <t>a.turkmany@email.com</t>
  </si>
  <si>
    <t>l.sabiq@email.com</t>
  </si>
  <si>
    <t>f.shaykh@email.com</t>
  </si>
  <si>
    <t>k.suqbani@email.com</t>
  </si>
  <si>
    <t>k.qarqazan@email.com</t>
  </si>
  <si>
    <t>s.alsaeid@email.com</t>
  </si>
  <si>
    <t>a.alhifar@email.com</t>
  </si>
  <si>
    <t>a.alrz@email.com</t>
  </si>
  <si>
    <t>d.alhariri@email.com</t>
  </si>
  <si>
    <t>s.alhusayn@email.com</t>
  </si>
  <si>
    <t>a.alqasir@email.com</t>
  </si>
  <si>
    <t>a.salih@email.com</t>
  </si>
  <si>
    <t>i.alhumwi@email.com</t>
  </si>
  <si>
    <t>a.saed@email.com</t>
  </si>
  <si>
    <t>s.alahmar@email.com</t>
  </si>
  <si>
    <t>a.sharabi@email.com</t>
  </si>
  <si>
    <t>r.durkzili@email.com</t>
  </si>
  <si>
    <t>d.husu@email.com</t>
  </si>
  <si>
    <t>a.eilwan@email.com</t>
  </si>
  <si>
    <t>a.zyny@email.com</t>
  </si>
  <si>
    <t>a.iidlibi@email.com</t>
  </si>
  <si>
    <t>a.zynu@email.com</t>
  </si>
  <si>
    <t>r.eijluni@email.com</t>
  </si>
  <si>
    <t>a.marwan@email.com</t>
  </si>
  <si>
    <t>s.musur@email.com</t>
  </si>
  <si>
    <t>a.alnuwri@email.com</t>
  </si>
  <si>
    <t>a.shakir@email.com</t>
  </si>
  <si>
    <t>a.kharbutli@email.com</t>
  </si>
  <si>
    <t>s.jaridiun@email.com</t>
  </si>
  <si>
    <t>a.eimaruh@email.com</t>
  </si>
  <si>
    <t>b.marzuq@email.com</t>
  </si>
  <si>
    <t>a.hamj@email.com</t>
  </si>
  <si>
    <t>a.bradey@email.com</t>
  </si>
  <si>
    <t>b.eubdallah@email.com</t>
  </si>
  <si>
    <t>a.alnajar@email.com</t>
  </si>
  <si>
    <t>r.hutayniun@email.com</t>
  </si>
  <si>
    <t>k.siriul@email.com</t>
  </si>
  <si>
    <t>b.mareiun@email.com</t>
  </si>
  <si>
    <t>a.alhulwanii@email.com</t>
  </si>
  <si>
    <t>l.alhasan@email.com</t>
  </si>
  <si>
    <t>a.zakariaa@email.com</t>
  </si>
  <si>
    <t>b.aywbi@email.com</t>
  </si>
  <si>
    <t>m.alsaed@email.com</t>
  </si>
  <si>
    <t>a.aleaqla@email.com</t>
  </si>
  <si>
    <t>s.haydar@email.com</t>
  </si>
  <si>
    <t>a.shueayb@email.com</t>
  </si>
  <si>
    <t>a.dahman@email.com</t>
  </si>
  <si>
    <t>z.eirat@email.com</t>
  </si>
  <si>
    <t>i.badran@email.com</t>
  </si>
  <si>
    <t>z.aleitar@email.com</t>
  </si>
  <si>
    <t>h.astitih@email.com</t>
  </si>
  <si>
    <t>o.shawqi@email.com</t>
  </si>
  <si>
    <t>o.zaqzuq@email.com</t>
  </si>
  <si>
    <t>y.eamir@email.com</t>
  </si>
  <si>
    <t>m.siedih@email.com</t>
  </si>
  <si>
    <t>s.qisam@email.com</t>
  </si>
  <si>
    <t>h.almueasaeas@email.com</t>
  </si>
  <si>
    <t>g.aljamal@email.com</t>
  </si>
  <si>
    <t>o.kahulus@email.com</t>
  </si>
  <si>
    <t>a.alyaghshiu@email.com</t>
  </si>
  <si>
    <t>a.zayd@email.com</t>
  </si>
  <si>
    <t>d.ghunum@email.com</t>
  </si>
  <si>
    <t>t.bryghl@email.com</t>
  </si>
  <si>
    <t>r.abu adhan@email.com</t>
  </si>
  <si>
    <t>e.alkhibaz@email.com</t>
  </si>
  <si>
    <t>r.alsydawi@email.com</t>
  </si>
  <si>
    <t>a.almunzilijiu@email.com</t>
  </si>
  <si>
    <t>o.milatu@email.com</t>
  </si>
  <si>
    <t>z.eali@email.com</t>
  </si>
  <si>
    <t>g.hisan@email.com</t>
  </si>
  <si>
    <t>m.yasin@email.com</t>
  </si>
  <si>
    <t>m.ewad@email.com</t>
  </si>
  <si>
    <t>s.alsaedi@email.com</t>
  </si>
  <si>
    <t>b.almisri@email.com</t>
  </si>
  <si>
    <t>a.alnasar@email.com</t>
  </si>
  <si>
    <t>r.dwalyby@email.com</t>
  </si>
  <si>
    <t>r.iidris@email.com</t>
  </si>
  <si>
    <t>f.alsyqly@email.com</t>
  </si>
  <si>
    <t>i.alyasin@email.com</t>
  </si>
  <si>
    <t>i.mulaliyun@email.com</t>
  </si>
  <si>
    <t>k.abu taqih@email.com</t>
  </si>
  <si>
    <t>s.antun@email.com</t>
  </si>
  <si>
    <t>t.alkinaya@email.com</t>
  </si>
  <si>
    <t>s.qareush@email.com</t>
  </si>
  <si>
    <t>k.khayti@email.com</t>
  </si>
  <si>
    <t>k.alaqre@email.com</t>
  </si>
  <si>
    <t>a.eurman@email.com</t>
  </si>
  <si>
    <t>a.altahhan@email.com</t>
  </si>
  <si>
    <t>f.shakur@email.com</t>
  </si>
  <si>
    <t>a.eabidin@email.com</t>
  </si>
  <si>
    <t>a.sadqawi@email.com</t>
  </si>
  <si>
    <t>s.altaynawi@email.com</t>
  </si>
  <si>
    <t>l.fahd@email.com</t>
  </si>
  <si>
    <t>s.aleabd@email.com</t>
  </si>
  <si>
    <t>a.allaham@email.com</t>
  </si>
  <si>
    <t>e.eisaf@email.com</t>
  </si>
  <si>
    <t>s.qadish@email.com</t>
  </si>
  <si>
    <t>a.almisri@email.com</t>
  </si>
  <si>
    <t>k.zaki@email.com</t>
  </si>
  <si>
    <t>z.zarie@email.com</t>
  </si>
  <si>
    <t>b.einziin@email.com</t>
  </si>
  <si>
    <t>a.eiwad@email.com</t>
  </si>
  <si>
    <t>a.maseud@email.com</t>
  </si>
  <si>
    <t>a.iidris@email.com</t>
  </si>
  <si>
    <t>s.taysir@email.com</t>
  </si>
  <si>
    <t>a.sharfah@email.com</t>
  </si>
  <si>
    <t>l.almisri@email.com</t>
  </si>
  <si>
    <t>t.hamuwda@email.com</t>
  </si>
  <si>
    <t>a.abu@email.com</t>
  </si>
  <si>
    <t>l.nafae@email.com</t>
  </si>
  <si>
    <t>l.kashik@email.com</t>
  </si>
  <si>
    <t>a.aldahan@email.com</t>
  </si>
  <si>
    <t>k.alkhawam@email.com</t>
  </si>
  <si>
    <t>o.alqintar@email.com</t>
  </si>
  <si>
    <t>s.altibae@email.com</t>
  </si>
  <si>
    <t>e.muhamad@email.com</t>
  </si>
  <si>
    <t>m.aljabaei@email.com</t>
  </si>
  <si>
    <t>a.shwk@email.com</t>
  </si>
  <si>
    <t>a.hamuwdatan@email.com</t>
  </si>
  <si>
    <t>a.almiqdad@email.com</t>
  </si>
  <si>
    <t>s.alsyd ahmad@email.com</t>
  </si>
  <si>
    <t>a.aldhiyab@email.com</t>
  </si>
  <si>
    <t>m.almujahid@email.com</t>
  </si>
  <si>
    <t>r.alhumwi@email.com</t>
  </si>
  <si>
    <t>h.hawria@email.com</t>
  </si>
  <si>
    <t>i.ghrz aldiyn@email.com</t>
  </si>
  <si>
    <t>s.hanna@email.com</t>
  </si>
  <si>
    <t>k.alkalu@email.com</t>
  </si>
  <si>
    <t>s.alkhayrat@email.com</t>
  </si>
  <si>
    <t>d.alshiyraziu@email.com</t>
  </si>
  <si>
    <t>t.shakir@email.com</t>
  </si>
  <si>
    <t>f.sabih@email.com</t>
  </si>
  <si>
    <t>a.efan@email.com</t>
  </si>
  <si>
    <t>t.salim@email.com</t>
  </si>
  <si>
    <t>r.mia@email.com</t>
  </si>
  <si>
    <t>z.rashwani@email.com</t>
  </si>
  <si>
    <t>m.saeid@email.com</t>
  </si>
  <si>
    <t>m.rafaea@email.com</t>
  </si>
  <si>
    <t>m.alhakim@email.com</t>
  </si>
  <si>
    <t>o.zarzur@email.com</t>
  </si>
  <si>
    <t>f.red@email.com</t>
  </si>
  <si>
    <t>a.ezqul@email.com</t>
  </si>
  <si>
    <t>s.alkmshh@email.com</t>
  </si>
  <si>
    <t>s.rihan@email.com</t>
  </si>
  <si>
    <t>a.alshalaq@email.com</t>
  </si>
  <si>
    <t>r.tyru@email.com</t>
  </si>
  <si>
    <t>m.abuhamd@email.com</t>
  </si>
  <si>
    <t>d.sharina@email.com</t>
  </si>
  <si>
    <t>j.alsulayman@email.com</t>
  </si>
  <si>
    <t>l.shiah@email.com</t>
  </si>
  <si>
    <t>a.hamuwd@email.com</t>
  </si>
  <si>
    <t>i.hazruma@email.com</t>
  </si>
  <si>
    <t>s.alhaj ali@email.com</t>
  </si>
  <si>
    <t>h.aldubus@email.com</t>
  </si>
  <si>
    <t>s.alhijar@email.com</t>
  </si>
  <si>
    <t>a.alkhayran@email.com</t>
  </si>
  <si>
    <t>r.alddahir@email.com</t>
  </si>
  <si>
    <t>j.eabuwd@email.com</t>
  </si>
  <si>
    <t>i.bitahish@email.com</t>
  </si>
  <si>
    <t>i.murad@email.com</t>
  </si>
  <si>
    <t>q.dahna@email.com</t>
  </si>
  <si>
    <t>o.tqi aldiyn@email.com</t>
  </si>
  <si>
    <t>i.jdwe@email.com</t>
  </si>
  <si>
    <t>l.wayly@email.com</t>
  </si>
  <si>
    <t>r.alsiraj@email.com</t>
  </si>
  <si>
    <t>l.nadaf@email.com</t>
  </si>
  <si>
    <t>t.barghuth@email.com</t>
  </si>
  <si>
    <t>d.jazar@email.com</t>
  </si>
  <si>
    <t>b.eusqul@email.com</t>
  </si>
  <si>
    <t>r.iybw@email.com</t>
  </si>
  <si>
    <t>j.ghabur@email.com</t>
  </si>
  <si>
    <t>a.sultan@email.com</t>
  </si>
  <si>
    <t>b.salih@email.com</t>
  </si>
  <si>
    <t>a.aljazayiriu@email.com</t>
  </si>
  <si>
    <t>f.ghazal@email.com</t>
  </si>
  <si>
    <t>d.dakhal@email.com</t>
  </si>
  <si>
    <t>e.dulul@email.com</t>
  </si>
  <si>
    <t>a.aleaqqad@email.com</t>
  </si>
  <si>
    <t>a.byd@email.com</t>
  </si>
  <si>
    <t>a.ahmid@email.com</t>
  </si>
  <si>
    <t>a.alqadri@email.com</t>
  </si>
  <si>
    <t>d.suirkili@email.com</t>
  </si>
  <si>
    <t>m.bihtiti@email.com</t>
  </si>
  <si>
    <t>a.barghaly@email.com</t>
  </si>
  <si>
    <t>a.alshaykh@email.com</t>
  </si>
  <si>
    <t>k.huquq@email.com</t>
  </si>
  <si>
    <t>i.alqatish@email.com</t>
  </si>
  <si>
    <t>f.alealiu@email.com</t>
  </si>
  <si>
    <t>a.alrifaei@email.com</t>
  </si>
  <si>
    <t>r.alrifaei@email.com</t>
  </si>
  <si>
    <t>b.darbika@email.com</t>
  </si>
  <si>
    <t>h.salahi@email.com</t>
  </si>
  <si>
    <t>t.aldhahabi@email.com</t>
  </si>
  <si>
    <t>d.drwysh@email.com</t>
  </si>
  <si>
    <t>d.filyun@email.com</t>
  </si>
  <si>
    <t>s.alshahadat@email.com</t>
  </si>
  <si>
    <t>a.bahriin@email.com</t>
  </si>
  <si>
    <t>a.alqadi@email.com</t>
  </si>
  <si>
    <t>a.bwfaeur@email.com</t>
  </si>
  <si>
    <t>m.eubayd@email.com</t>
  </si>
  <si>
    <t>a.nieamah@email.com</t>
  </si>
  <si>
    <t>a.nhl@email.com</t>
  </si>
  <si>
    <t>h.iismaeil@email.com</t>
  </si>
  <si>
    <t>e.mansur@email.com</t>
  </si>
  <si>
    <t>m.zawal@email.com</t>
  </si>
  <si>
    <t>l.almala@email.com</t>
  </si>
  <si>
    <t>e.alriys@email.com</t>
  </si>
  <si>
    <t>a.alkhatib@email.com</t>
  </si>
  <si>
    <t>m.alhizae@email.com</t>
  </si>
  <si>
    <t>a.qadimati@email.com</t>
  </si>
  <si>
    <t>Ziad</t>
  </si>
  <si>
    <t>s.ziad@email.com</t>
  </si>
  <si>
    <t>Work Type</t>
  </si>
  <si>
    <t>Net &gt;=6000 (Over)</t>
  </si>
  <si>
    <t>Net &lt;6000 (Normal)</t>
  </si>
  <si>
    <t>Bonus 3%</t>
  </si>
  <si>
    <t xml:space="preserve">    hisham</t>
  </si>
  <si>
    <t>Extra Bonus %</t>
  </si>
  <si>
    <t>Extra Bonus</t>
  </si>
  <si>
    <t>Net Salary</t>
  </si>
  <si>
    <t>Hiring Date</t>
  </si>
  <si>
    <t>Sudan</t>
  </si>
  <si>
    <t>Dashboard Required</t>
  </si>
  <si>
    <t>Count of Employees</t>
  </si>
  <si>
    <t>Total Salaries</t>
  </si>
  <si>
    <t>AVG. of Experience Year</t>
  </si>
  <si>
    <t>Count of Employees by Gender</t>
  </si>
  <si>
    <t>Count of Employees by MonyTransfere</t>
  </si>
  <si>
    <t>Count of Employees by Countries</t>
  </si>
  <si>
    <t>Count of Employees by Department and Work Types</t>
  </si>
  <si>
    <t>Total Salaries and Count of Employees by Hiring Year</t>
  </si>
  <si>
    <t>Count of Employees by Extra Bonus</t>
  </si>
  <si>
    <t>add the Following Slicers:</t>
  </si>
  <si>
    <t>Gender - Country - Department - Hiring Date (time line )</t>
  </si>
  <si>
    <t>012-2910-2426</t>
  </si>
  <si>
    <t>011-2304-6179</t>
  </si>
  <si>
    <t>012-4071-7821</t>
  </si>
  <si>
    <t>010-5618-2492</t>
  </si>
  <si>
    <t>011-7329-6122</t>
  </si>
  <si>
    <t>011-2527-4512</t>
  </si>
  <si>
    <t>012-2640-9521</t>
  </si>
  <si>
    <t>010-8241-1311</t>
  </si>
  <si>
    <t>012-1039-8810</t>
  </si>
  <si>
    <t>010-7467-7662</t>
  </si>
  <si>
    <t>011-8317-7634</t>
  </si>
  <si>
    <t>011-6548-2919</t>
  </si>
  <si>
    <t>010-6241-6559</t>
  </si>
  <si>
    <t>012-0080-0351</t>
  </si>
  <si>
    <t>011-5953-5296</t>
  </si>
  <si>
    <t>010-5319-7669</t>
  </si>
  <si>
    <t>011-2332-0982</t>
  </si>
  <si>
    <t>010-1442-5932</t>
  </si>
  <si>
    <t>011-6732-2351</t>
  </si>
  <si>
    <t>011-8295-8045</t>
  </si>
  <si>
    <t>010-8655-8298</t>
  </si>
  <si>
    <t>010-2145-8500</t>
  </si>
  <si>
    <t>010-3436-0371</t>
  </si>
  <si>
    <t>011-2766-3217</t>
  </si>
  <si>
    <t>012-3389-6143</t>
  </si>
  <si>
    <t>012-8625-1136</t>
  </si>
  <si>
    <t>012-4625-1433</t>
  </si>
  <si>
    <t>012-0257-2928</t>
  </si>
  <si>
    <t>012-4501-4254</t>
  </si>
  <si>
    <t>012-3910-3574</t>
  </si>
  <si>
    <t>011-8626-6402</t>
  </si>
  <si>
    <t>011-9168-5404</t>
  </si>
  <si>
    <t>011-2668-9895</t>
  </si>
  <si>
    <t>010-6953-9820</t>
  </si>
  <si>
    <t>010-4964-9184</t>
  </si>
  <si>
    <t>010-4140-8892</t>
  </si>
  <si>
    <t>010-8208-5862</t>
  </si>
  <si>
    <t>011-7361-0501</t>
  </si>
  <si>
    <t>011-1741-5520</t>
  </si>
  <si>
    <t>010-3478-7173</t>
  </si>
  <si>
    <t>011-0193-2313</t>
  </si>
  <si>
    <t>010-4618-3103</t>
  </si>
  <si>
    <t>011-2489-3299</t>
  </si>
  <si>
    <t>010-1138-0035</t>
  </si>
  <si>
    <t>010-2588-7176</t>
  </si>
  <si>
    <t>011-9617-0308</t>
  </si>
  <si>
    <t>010-2952-2470</t>
  </si>
  <si>
    <t>012-4800-6218</t>
  </si>
  <si>
    <t>012-5827-0039</t>
  </si>
  <si>
    <t>010-6343-6964</t>
  </si>
  <si>
    <t>011-7467-7667</t>
  </si>
  <si>
    <t>011-8317-7630</t>
  </si>
  <si>
    <t>011-6548-2913</t>
  </si>
  <si>
    <t>012-6241-6555</t>
  </si>
  <si>
    <t>012-0080-0358</t>
  </si>
  <si>
    <t>011-5953-5298</t>
  </si>
  <si>
    <t>011-5319-7666</t>
  </si>
  <si>
    <t>012-2332-0986</t>
  </si>
  <si>
    <t>012-1442-5931</t>
  </si>
  <si>
    <t>010-6732-2354</t>
  </si>
  <si>
    <t>012-8295-8040</t>
  </si>
  <si>
    <t>010-8655-8296</t>
  </si>
  <si>
    <t>011-6987-2784</t>
  </si>
  <si>
    <t>011-3511-1589</t>
  </si>
  <si>
    <t>010-4688-8466</t>
  </si>
  <si>
    <t>011-8428-3949</t>
  </si>
  <si>
    <t>011-7474-1200</t>
  </si>
  <si>
    <t>010-4497-5883</t>
  </si>
  <si>
    <t>012-3524-3161</t>
  </si>
  <si>
    <t>012-6831-6580</t>
  </si>
  <si>
    <t>011-8080-1211</t>
  </si>
  <si>
    <t>011-5796-6726</t>
  </si>
  <si>
    <t>010-3471-2814</t>
  </si>
  <si>
    <t>012-5491-6955</t>
  </si>
  <si>
    <t>012-9118-4107</t>
  </si>
  <si>
    <t>010-6763-9649</t>
  </si>
  <si>
    <t>012-3935-3123</t>
  </si>
  <si>
    <t>010-7962-9017</t>
  </si>
  <si>
    <t>010-4824-6123</t>
  </si>
  <si>
    <t>011-8935-1772</t>
  </si>
  <si>
    <t>011-7933-3977</t>
  </si>
  <si>
    <t>011-4434-4138</t>
  </si>
  <si>
    <t>011-8496-7687</t>
  </si>
  <si>
    <t>012-7210-8768</t>
  </si>
  <si>
    <t>010-5141-8325</t>
  </si>
  <si>
    <t>011-6312-9808</t>
  </si>
  <si>
    <t>010-4252-8729</t>
  </si>
  <si>
    <t>011-5230-3355</t>
  </si>
  <si>
    <t>011-5806-8087</t>
  </si>
  <si>
    <t>011-7532-2588</t>
  </si>
  <si>
    <t>012-3200-6218</t>
  </si>
  <si>
    <t>011-5955-3175</t>
  </si>
  <si>
    <t>010-6074-6101</t>
  </si>
  <si>
    <t>010-4522-3037</t>
  </si>
  <si>
    <t>011-8620-7920</t>
  </si>
  <si>
    <t>011-8887-9513</t>
  </si>
  <si>
    <t>011-5535-8485</t>
  </si>
  <si>
    <t>012-6048-9135</t>
  </si>
  <si>
    <t>010-6341-2062</t>
  </si>
  <si>
    <t>012-8875-3528</t>
  </si>
  <si>
    <t>010-7408-8451</t>
  </si>
  <si>
    <t>011-5377-6417</t>
  </si>
  <si>
    <t>010-8556-8480</t>
  </si>
  <si>
    <t>012-6707-5871</t>
  </si>
  <si>
    <t>012-6770-4372</t>
  </si>
  <si>
    <t>012-4644-7781</t>
  </si>
  <si>
    <t>010-7643-7964</t>
  </si>
  <si>
    <t>011-4477-1264</t>
  </si>
  <si>
    <t>011-4108-2581</t>
  </si>
  <si>
    <t>012-8947-6396</t>
  </si>
  <si>
    <t>012-7025-4019</t>
  </si>
  <si>
    <t>011-6947-8107</t>
  </si>
  <si>
    <t>010-7791-8954</t>
  </si>
  <si>
    <t>012-9175-7619</t>
  </si>
  <si>
    <t>010-6501-9681</t>
  </si>
  <si>
    <t>010-4297-2383</t>
  </si>
  <si>
    <t>010-6365-4222</t>
  </si>
  <si>
    <t>012-8995-3131</t>
  </si>
  <si>
    <t>011-4083-9738</t>
  </si>
  <si>
    <t>010-4217-2318</t>
  </si>
  <si>
    <t>011-6371-8373</t>
  </si>
  <si>
    <t>011-6895-5407</t>
  </si>
  <si>
    <t>012-9091-1270</t>
  </si>
  <si>
    <t>011-5166-2931</t>
  </si>
  <si>
    <t>012-4733-7899</t>
  </si>
  <si>
    <t>010-6210-7094</t>
  </si>
  <si>
    <t>010-6193-3004</t>
  </si>
  <si>
    <t>010-9048-4281</t>
  </si>
  <si>
    <t>011-7450-5741</t>
  </si>
  <si>
    <t>011-7018-6351</t>
  </si>
  <si>
    <t>010-7440-7736</t>
  </si>
  <si>
    <t>011-5215-7179</t>
  </si>
  <si>
    <t>011-4814-4047</t>
  </si>
  <si>
    <t>011-5017-9759</t>
  </si>
  <si>
    <t>011-6086-3552</t>
  </si>
  <si>
    <t>012-6254-7335</t>
  </si>
  <si>
    <t>011-5729-6583</t>
  </si>
  <si>
    <t>011-5990-9346</t>
  </si>
  <si>
    <t>011-5421-6848</t>
  </si>
  <si>
    <t>012-3218-3876</t>
  </si>
  <si>
    <t>012-6359-7797</t>
  </si>
  <si>
    <t>011-8190-9541</t>
  </si>
  <si>
    <t>010-8181-4218</t>
  </si>
  <si>
    <t>012-8361-8696</t>
  </si>
  <si>
    <t>012-6158-7511</t>
  </si>
  <si>
    <t>010-8861-8228</t>
  </si>
  <si>
    <t>012-7940-4723</t>
  </si>
  <si>
    <t>010-3617-6600</t>
  </si>
  <si>
    <t>012-7129-6791</t>
  </si>
  <si>
    <t>012-4616-8271</t>
  </si>
  <si>
    <t>010-5828-1841</t>
  </si>
  <si>
    <t>011-8905-5476</t>
  </si>
  <si>
    <t>010-9076-4445</t>
  </si>
  <si>
    <t>011-6387-8100</t>
  </si>
  <si>
    <t>011-6922-8724</t>
  </si>
  <si>
    <t>010-7745-5777</t>
  </si>
  <si>
    <t>010-4700-5397</t>
  </si>
  <si>
    <t>010-4787-5446</t>
  </si>
  <si>
    <t>010-7823-2941</t>
  </si>
  <si>
    <t>012-5136-6669</t>
  </si>
  <si>
    <t>010-7784-2499</t>
  </si>
  <si>
    <t>010-6682-7599</t>
  </si>
  <si>
    <t>012-3882-9176</t>
  </si>
  <si>
    <t>010-4374-8649</t>
  </si>
  <si>
    <t>010-4524-2627</t>
  </si>
  <si>
    <t>011-4997-9340</t>
  </si>
  <si>
    <t>012-8499-6893</t>
  </si>
  <si>
    <t>011-4876-2753</t>
  </si>
  <si>
    <t>012-6018-1350</t>
  </si>
  <si>
    <t>011-3219-4732</t>
  </si>
  <si>
    <t>010-3847-7659</t>
  </si>
  <si>
    <t>012-6825-5299</t>
  </si>
  <si>
    <t>010-8676-3364</t>
  </si>
  <si>
    <t>011-5676-8426</t>
  </si>
  <si>
    <t>011-4598-6245</t>
  </si>
  <si>
    <t>010-4425-4109</t>
  </si>
  <si>
    <t>012-9063-2072</t>
  </si>
  <si>
    <t>012-3529-7242</t>
  </si>
  <si>
    <t>010-7882-4247</t>
  </si>
  <si>
    <t>011-7801-6532</t>
  </si>
  <si>
    <t>012-4765-6821</t>
  </si>
  <si>
    <t>012-5993-9400</t>
  </si>
  <si>
    <t>010-9205-9480</t>
  </si>
  <si>
    <t>012-4128-1632</t>
  </si>
  <si>
    <t>012-4875-4940</t>
  </si>
  <si>
    <t>011-6743-6035</t>
  </si>
  <si>
    <t>011-8215-7504</t>
  </si>
  <si>
    <t>010-9267-8528</t>
  </si>
  <si>
    <t>011-7810-6546</t>
  </si>
  <si>
    <t>012-7381-6505</t>
  </si>
  <si>
    <t>012-8382-3141</t>
  </si>
  <si>
    <t>011-7702-3156</t>
  </si>
  <si>
    <t>011-6151-9423</t>
  </si>
  <si>
    <t>011-6850-8336</t>
  </si>
  <si>
    <t>010-4805-4605</t>
  </si>
  <si>
    <t>010-8056-8618</t>
  </si>
  <si>
    <t>012-6737-4198</t>
  </si>
  <si>
    <t>011-8147-2986</t>
  </si>
  <si>
    <t>010-7066-5104</t>
  </si>
  <si>
    <t>012-6870-3926</t>
  </si>
  <si>
    <t>010-6256-6516</t>
  </si>
  <si>
    <t>010-4115-5591</t>
  </si>
  <si>
    <t>011-4883-5729</t>
  </si>
  <si>
    <t>010-5296-1951</t>
  </si>
  <si>
    <t>011-8308-1903</t>
  </si>
  <si>
    <t>010-8718-6735</t>
  </si>
  <si>
    <t>012-4564-1249</t>
  </si>
  <si>
    <t>012-6377-6546</t>
  </si>
  <si>
    <t>010-5973-4026</t>
  </si>
  <si>
    <t>012-6584-8204</t>
  </si>
  <si>
    <t>012-6445-5004</t>
  </si>
  <si>
    <t>011-7009-9209</t>
  </si>
  <si>
    <t>010-6003-2778</t>
  </si>
  <si>
    <t>011-6622-2432</t>
  </si>
  <si>
    <t>011-8648-5784</t>
  </si>
  <si>
    <t>012-7268-9818</t>
  </si>
  <si>
    <t>011-3297-5880</t>
  </si>
  <si>
    <t>010-3441-3185</t>
  </si>
  <si>
    <t>010-4098-4704</t>
  </si>
  <si>
    <t>012-7416-3427</t>
  </si>
  <si>
    <t>010-4031-6016</t>
  </si>
  <si>
    <t>012-3563-5092</t>
  </si>
  <si>
    <t>011-3394-9741</t>
  </si>
  <si>
    <t>012-8612-6174</t>
  </si>
  <si>
    <t>012-5009-9348</t>
  </si>
  <si>
    <t>010-4202-7248</t>
  </si>
  <si>
    <t>012-5321-6124</t>
  </si>
  <si>
    <t>012-8230-1666</t>
  </si>
  <si>
    <t>011-4343-4987</t>
  </si>
  <si>
    <t>010-4171-3904</t>
  </si>
  <si>
    <t>012-5315-7518</t>
  </si>
  <si>
    <t>012-6693-7188</t>
  </si>
  <si>
    <t>011-3613-8582</t>
  </si>
  <si>
    <t>012-9010-6036</t>
  </si>
  <si>
    <t>010-3262-1469</t>
  </si>
  <si>
    <t>011-8102-7577</t>
  </si>
  <si>
    <t>012-7274-7637</t>
  </si>
  <si>
    <t>010-4270-6948</t>
  </si>
  <si>
    <t>010-5046-2000</t>
  </si>
  <si>
    <t>012-6661-8827</t>
  </si>
  <si>
    <t>010-3859-2784</t>
  </si>
  <si>
    <t>011-4462-4371</t>
  </si>
  <si>
    <t>010-5603-9141</t>
  </si>
  <si>
    <t>010-6131-6907</t>
  </si>
  <si>
    <t>010-7064-6260</t>
  </si>
  <si>
    <t>012-5060-6728</t>
  </si>
  <si>
    <t>010-4633-6247</t>
  </si>
  <si>
    <t>010-8481-4566</t>
  </si>
  <si>
    <t>010-5179-5026</t>
  </si>
  <si>
    <t>011-4020-5012</t>
  </si>
  <si>
    <t>012-6836-5944</t>
  </si>
  <si>
    <t>012-8181-6529</t>
  </si>
  <si>
    <t>010-9221-7753</t>
  </si>
  <si>
    <t>012-4849-7147</t>
  </si>
  <si>
    <t>010-7196-4254</t>
  </si>
  <si>
    <t>011-4864-9697</t>
  </si>
  <si>
    <t>010-4920-6601</t>
  </si>
  <si>
    <t>010-4957-8947</t>
  </si>
  <si>
    <t>012-3627-5681</t>
  </si>
  <si>
    <t>010-4225-5518</t>
  </si>
  <si>
    <t>010-6791-9843</t>
  </si>
  <si>
    <t>012-5871-7900</t>
  </si>
  <si>
    <t>010-4355-6064</t>
  </si>
  <si>
    <t>012-6180-2876</t>
  </si>
  <si>
    <t>012-4124-2769</t>
  </si>
  <si>
    <t>010-7883-3324</t>
  </si>
  <si>
    <t>012-6150-2362</t>
  </si>
  <si>
    <t>010-5955-1916</t>
  </si>
  <si>
    <t>012-5245-3155</t>
  </si>
  <si>
    <t>010-7063-3909</t>
  </si>
  <si>
    <t>011-6447-8610</t>
  </si>
  <si>
    <t>010-8685-5276</t>
  </si>
  <si>
    <t>010-5327-6004</t>
  </si>
  <si>
    <t>011-4338-5320</t>
  </si>
  <si>
    <t>011-6396-6065</t>
  </si>
  <si>
    <t>012-5586-2483</t>
  </si>
  <si>
    <t>010-7272-4197</t>
  </si>
  <si>
    <t>011-5522-1368</t>
  </si>
  <si>
    <t>012-8179-4193</t>
  </si>
  <si>
    <t>010-5398-3028</t>
  </si>
  <si>
    <t>010-7392-8735</t>
  </si>
  <si>
    <t>011-7128-1738</t>
  </si>
  <si>
    <t>012-7713-6572</t>
  </si>
  <si>
    <t>011-7444-6706</t>
  </si>
  <si>
    <t>010-9128-2651</t>
  </si>
  <si>
    <t>011-3262-6236</t>
  </si>
  <si>
    <t>012-3935-9078</t>
  </si>
  <si>
    <t>011-8518-3468</t>
  </si>
  <si>
    <t>010-6623-5414</t>
  </si>
  <si>
    <t>011-5065-1149</t>
  </si>
  <si>
    <t>010-6309-2265</t>
  </si>
  <si>
    <t>012-8400-9814</t>
  </si>
  <si>
    <t>011-5565-6836</t>
  </si>
  <si>
    <t>012-4833-5671</t>
  </si>
  <si>
    <t>012-4053-7620</t>
  </si>
  <si>
    <t>010-5061-2017</t>
  </si>
  <si>
    <t>012-4157-6654</t>
  </si>
  <si>
    <t>011-4794-3048</t>
  </si>
  <si>
    <t>012-8422-2108</t>
  </si>
  <si>
    <t>011-5056-6641</t>
  </si>
  <si>
    <t xml:space="preserve"> </t>
  </si>
  <si>
    <t>Count of Full Name</t>
  </si>
  <si>
    <t>Ghadir Ahmed</t>
  </si>
  <si>
    <t>over</t>
  </si>
  <si>
    <t>Omar Hisham</t>
  </si>
  <si>
    <t>Ailya Sharaf</t>
  </si>
  <si>
    <t>normal</t>
  </si>
  <si>
    <t>Lwiy Qbany</t>
  </si>
  <si>
    <t>Ahmad Bikri</t>
  </si>
  <si>
    <t>Muhamad Zueitr</t>
  </si>
  <si>
    <t>Iin Alhalaliu</t>
  </si>
  <si>
    <t>Muhamad Alaya</t>
  </si>
  <si>
    <t>Susin Almilat</t>
  </si>
  <si>
    <t>Muhamad Alrifaei</t>
  </si>
  <si>
    <t>Muhamad Alqadah</t>
  </si>
  <si>
    <t>Muhamad Iad</t>
  </si>
  <si>
    <t>Razaan Nasif</t>
  </si>
  <si>
    <t>Iilian Mohamed</t>
  </si>
  <si>
    <t>Bayan Mostafa</t>
  </si>
  <si>
    <t>Alaa Muhamad</t>
  </si>
  <si>
    <t>Sandra Ziad</t>
  </si>
  <si>
    <t>Farahad Husayn</t>
  </si>
  <si>
    <t>Ahed Salim</t>
  </si>
  <si>
    <t>Ayham Tutwnji</t>
  </si>
  <si>
    <t>Samir Alsafdi</t>
  </si>
  <si>
    <t>Bilal Jalal</t>
  </si>
  <si>
    <t>Riad Sahalul</t>
  </si>
  <si>
    <t>Ahmad Ahmad</t>
  </si>
  <si>
    <t>Muhamad Altarah</t>
  </si>
  <si>
    <t>Lwna Abu</t>
  </si>
  <si>
    <t>Jalal Almuluhi</t>
  </si>
  <si>
    <t>Rana Mius</t>
  </si>
  <si>
    <t>Lina Aljabaan</t>
  </si>
  <si>
    <t>Rami Shanan</t>
  </si>
  <si>
    <t>Eala Alhaj</t>
  </si>
  <si>
    <t>Ghalib Zakianiin</t>
  </si>
  <si>
    <t>Muhamad Eurul</t>
  </si>
  <si>
    <t>Eizat Ghanim</t>
  </si>
  <si>
    <t>Ahmad Swyd</t>
  </si>
  <si>
    <t>Muhamad Aleass</t>
  </si>
  <si>
    <t>Rima Alasfar</t>
  </si>
  <si>
    <t>Zayn Atef</t>
  </si>
  <si>
    <t>Hazim Alshshatim</t>
  </si>
  <si>
    <t>Dia Alshahf</t>
  </si>
  <si>
    <t>Ayham Almusaa</t>
  </si>
  <si>
    <t>Abd Allatif Mabrukh</t>
  </si>
  <si>
    <t>Salim Abumaeun</t>
  </si>
  <si>
    <t>Rafat Hamza</t>
  </si>
  <si>
    <t>Ahmad Laylana</t>
  </si>
  <si>
    <t>Lobnaa Khalifih</t>
  </si>
  <si>
    <t>Sami Alkhujih</t>
  </si>
  <si>
    <t>Salam Alealbi</t>
  </si>
  <si>
    <t>Rim Almusaa</t>
  </si>
  <si>
    <t>Ghada Aleasimii</t>
  </si>
  <si>
    <t>Abd Alwahhab Muhamad</t>
  </si>
  <si>
    <t>Ayman Eubayd</t>
  </si>
  <si>
    <t>Faras Karim</t>
  </si>
  <si>
    <t>Shadi Salayk</t>
  </si>
  <si>
    <t>Eubay Alttahir</t>
  </si>
  <si>
    <t>Abd Alhadi Alzzahir</t>
  </si>
  <si>
    <t>Majdulin Ashbrh</t>
  </si>
  <si>
    <t>Aylyn Dahadal</t>
  </si>
  <si>
    <t>Tala Tuish</t>
  </si>
  <si>
    <t>Muhamad Qarh</t>
  </si>
  <si>
    <t>Eala Almisri</t>
  </si>
  <si>
    <t>Muhamad Alzaybq</t>
  </si>
  <si>
    <t>Muhamad Rajab</t>
  </si>
  <si>
    <t>Ghadir Hmshw</t>
  </si>
  <si>
    <t>Hamdah Alkhalifa</t>
  </si>
  <si>
    <t>Salah Ramadan</t>
  </si>
  <si>
    <t>Salam Alkhatib</t>
  </si>
  <si>
    <t>Amira Akrym</t>
  </si>
  <si>
    <t>Samah Almaydanii</t>
  </si>
  <si>
    <t>Ibrahim Alhamid</t>
  </si>
  <si>
    <t>Zaydun Jabir</t>
  </si>
  <si>
    <t>Ruyda Alhamadii</t>
  </si>
  <si>
    <t>Karam Kiali</t>
  </si>
  <si>
    <t>Iilyas Dahadal</t>
  </si>
  <si>
    <t>Iin Qisi</t>
  </si>
  <si>
    <t>Eala Dahbur</t>
  </si>
  <si>
    <t>Khalil Alzaebii</t>
  </si>
  <si>
    <t>Rahaf Alaleppoy</t>
  </si>
  <si>
    <t>Isam Jadid</t>
  </si>
  <si>
    <t>Rybal Sabagh</t>
  </si>
  <si>
    <t>Ihsan Eazu</t>
  </si>
  <si>
    <t>Abdalrahmin Turkmany</t>
  </si>
  <si>
    <t>Lama Sabiq</t>
  </si>
  <si>
    <t>Faras Shaykh</t>
  </si>
  <si>
    <t>Khaldun Suqbani</t>
  </si>
  <si>
    <t>Kawkab Qarqazan</t>
  </si>
  <si>
    <t>Samir Alsaeid</t>
  </si>
  <si>
    <t>Amir Alhifar</t>
  </si>
  <si>
    <t>Amjad Alrz</t>
  </si>
  <si>
    <t>Daniah Alhariri</t>
  </si>
  <si>
    <t>Sana Alhusayn</t>
  </si>
  <si>
    <t>Alaa Alqasir</t>
  </si>
  <si>
    <t>Abd Alruhmin Salih</t>
  </si>
  <si>
    <t>Iin Alhumwi</t>
  </si>
  <si>
    <t>Alaa Saed</t>
  </si>
  <si>
    <t>Safa Alahmar</t>
  </si>
  <si>
    <t>Afra Sharabi</t>
  </si>
  <si>
    <t>Rawan Durkzili</t>
  </si>
  <si>
    <t>Dijwar Husu</t>
  </si>
  <si>
    <t>Asama Eilwan</t>
  </si>
  <si>
    <t>Ali Zyny</t>
  </si>
  <si>
    <t>Ahmad Iidlibi</t>
  </si>
  <si>
    <t>Ahmad Zynu</t>
  </si>
  <si>
    <t>Rahaf Eijluni</t>
  </si>
  <si>
    <t>Ali Marwan</t>
  </si>
  <si>
    <t>Sayban Musur</t>
  </si>
  <si>
    <t>Ali Alnuwri</t>
  </si>
  <si>
    <t>Ahmad Shakir</t>
  </si>
  <si>
    <t>Ayham Kharbutli</t>
  </si>
  <si>
    <t>Sahar Jaridiun</t>
  </si>
  <si>
    <t>Abdalrhim Eimaruh</t>
  </si>
  <si>
    <t>Baha Aldiyn Marzuq</t>
  </si>
  <si>
    <t>Abd Alruhmin Hamj</t>
  </si>
  <si>
    <t>Ahmad Bradey</t>
  </si>
  <si>
    <t>Bakr Eubdallah</t>
  </si>
  <si>
    <t>Ahmad Alnajar</t>
  </si>
  <si>
    <t>Raghid Hutayniun</t>
  </si>
  <si>
    <t>Khalid Siriul</t>
  </si>
  <si>
    <t>Bashshar Mareiun</t>
  </si>
  <si>
    <t>Akram Alhulwanii</t>
  </si>
  <si>
    <t>Lama Alhasan</t>
  </si>
  <si>
    <t>Abdallah Zakariaa</t>
  </si>
  <si>
    <t>Bilal Aywbi</t>
  </si>
  <si>
    <t>Madlin Alsaed</t>
  </si>
  <si>
    <t>Adnan Aleaqla</t>
  </si>
  <si>
    <t>Sarah Haydar</t>
  </si>
  <si>
    <t>Abdalkarim Shueayb</t>
  </si>
  <si>
    <t>Ahmad Dahman</t>
  </si>
  <si>
    <t>Zaynab Eirat</t>
  </si>
  <si>
    <t>Iad Badran</t>
  </si>
  <si>
    <t>Zahir Aleitar</t>
  </si>
  <si>
    <t>Hamzaa Astitih</t>
  </si>
  <si>
    <t>Omar Shawqi</t>
  </si>
  <si>
    <t>Omar Zaqzuq</t>
  </si>
  <si>
    <t>Yasmin Eamir</t>
  </si>
  <si>
    <t>Muayid Siedih</t>
  </si>
  <si>
    <t>Sahar Qisam</t>
  </si>
  <si>
    <t>Hind Almueasaeas</t>
  </si>
  <si>
    <t>Ghassan Aljamal</t>
  </si>
  <si>
    <t>Omar Kahulus</t>
  </si>
  <si>
    <t>Alysia Alyaghshiu</t>
  </si>
  <si>
    <t>Ahmad Zayd</t>
  </si>
  <si>
    <t>Darin Ghunum</t>
  </si>
  <si>
    <t>Tariq Bryghl</t>
  </si>
  <si>
    <t>Rami Abu Adhan</t>
  </si>
  <si>
    <t>Ehab Alkhibaz</t>
  </si>
  <si>
    <t>Rym Alsydawi</t>
  </si>
  <si>
    <t>Alaa Almunzilijiu</t>
  </si>
  <si>
    <t>Omar Milatu</t>
  </si>
  <si>
    <t>Zunar Eali</t>
  </si>
  <si>
    <t>Ghazal Hisan</t>
  </si>
  <si>
    <t>Majd Yasin</t>
  </si>
  <si>
    <t>Muwmin Ewad</t>
  </si>
  <si>
    <t>Samiah Alsaedi</t>
  </si>
  <si>
    <t>Bisam Almisri</t>
  </si>
  <si>
    <t>Abd Alruhmin Alnasar</t>
  </si>
  <si>
    <t>Rima Dwalyby</t>
  </si>
  <si>
    <t>Rashad Iidris</t>
  </si>
  <si>
    <t>Fuad Alsyqly</t>
  </si>
  <si>
    <t>Ibrahim Alyasin</t>
  </si>
  <si>
    <t>Iin Mulaliyun</t>
  </si>
  <si>
    <t>Khadijah Abu Taqih</t>
  </si>
  <si>
    <t>Sandurana Antun</t>
  </si>
  <si>
    <t>Tariq Alkinaya</t>
  </si>
  <si>
    <t>Sami Qareush</t>
  </si>
  <si>
    <t>Kholoud Khayti</t>
  </si>
  <si>
    <t>Kinda Alaqre</t>
  </si>
  <si>
    <t>Ahmad Eurman</t>
  </si>
  <si>
    <t>Abdalhadi Salim</t>
  </si>
  <si>
    <t>Alaa Altahhan</t>
  </si>
  <si>
    <t>Fadi Shakur</t>
  </si>
  <si>
    <t>Anas Eabidin</t>
  </si>
  <si>
    <t>Asma Sadqawi</t>
  </si>
  <si>
    <t>Samir Altaynawi</t>
  </si>
  <si>
    <t>Lbyb Fahd</t>
  </si>
  <si>
    <t>Salim Aleabd</t>
  </si>
  <si>
    <t>Abd Alruhmin Allaham</t>
  </si>
  <si>
    <t>Emar Eisaf</t>
  </si>
  <si>
    <t>Sabah Qadish</t>
  </si>
  <si>
    <t>Asra Almisri</t>
  </si>
  <si>
    <t>Kinda Zaki</t>
  </si>
  <si>
    <t>Zahir Zarie</t>
  </si>
  <si>
    <t>Bilal Einziin</t>
  </si>
  <si>
    <t>Abdaleziz Eiwad</t>
  </si>
  <si>
    <t>Alia Maseud</t>
  </si>
  <si>
    <t>Ahmad Iidris</t>
  </si>
  <si>
    <t>Sultan Taysir</t>
  </si>
  <si>
    <t>Ayham Sharfah</t>
  </si>
  <si>
    <t>Lama Almisri</t>
  </si>
  <si>
    <t>Thayir Hamuwda</t>
  </si>
  <si>
    <t>Alia Abu</t>
  </si>
  <si>
    <t>Lilas Nafae</t>
  </si>
  <si>
    <t>Fahd Shaykh</t>
  </si>
  <si>
    <t>Lilas Kashik</t>
  </si>
  <si>
    <t>Abd Allah Aldahan</t>
  </si>
  <si>
    <t>Khalid Alkhawam</t>
  </si>
  <si>
    <t>Oqba Alqintar</t>
  </si>
  <si>
    <t>Salah Aldiyn Altibae</t>
  </si>
  <si>
    <t>Eynas Muhamad</t>
  </si>
  <si>
    <t>Madlin Aljabaei</t>
  </si>
  <si>
    <t>Abdalrhmin Shwk</t>
  </si>
  <si>
    <t>Ahmad Hamuwdatan</t>
  </si>
  <si>
    <t>Ali Almiqdad</t>
  </si>
  <si>
    <t>Samah Alkhatib</t>
  </si>
  <si>
    <t>Sami Alsyd Ahmad</t>
  </si>
  <si>
    <t>Abd Alwahhab Aldhiyab</t>
  </si>
  <si>
    <t>Muwmin Almujahid</t>
  </si>
  <si>
    <t>Ruba Alhumwi</t>
  </si>
  <si>
    <t>Husayn Hawria</t>
  </si>
  <si>
    <t>Iman Ghrz Aldiyn</t>
  </si>
  <si>
    <t>Sari Hanna</t>
  </si>
  <si>
    <t>Khalil Alkalu</t>
  </si>
  <si>
    <t>Iilian Dbs</t>
  </si>
  <si>
    <t>Sami Alkhayrat</t>
  </si>
  <si>
    <t>Darar Alshiyraziu</t>
  </si>
  <si>
    <t>Tariq Shakir</t>
  </si>
  <si>
    <t>Fayaruz Sabih</t>
  </si>
  <si>
    <t>Alaa Efan</t>
  </si>
  <si>
    <t>Tariq Salim</t>
  </si>
  <si>
    <t>Rim Mia</t>
  </si>
  <si>
    <t>Abdalmjid Ahmad</t>
  </si>
  <si>
    <t>Zakarian Rashwani</t>
  </si>
  <si>
    <t>Madlin Saeid</t>
  </si>
  <si>
    <t>Ahmad Salih</t>
  </si>
  <si>
    <t>Majdy Rafaea</t>
  </si>
  <si>
    <t>Majdulyn Alhakim</t>
  </si>
  <si>
    <t>Omar Zarzur</t>
  </si>
  <si>
    <t>Fatin Red</t>
  </si>
  <si>
    <t>Ahmad Ezqul</t>
  </si>
  <si>
    <t>Sayf Aldiyn Alkmshh</t>
  </si>
  <si>
    <t>Sharihan Rihan</t>
  </si>
  <si>
    <t>Ahmad Alshalaq</t>
  </si>
  <si>
    <t>Rannym Tyru</t>
  </si>
  <si>
    <t>Majd Abuhamd</t>
  </si>
  <si>
    <t>Diea Sharina</t>
  </si>
  <si>
    <t>Jablah Alsulayman</t>
  </si>
  <si>
    <t>Lylas Shiah</t>
  </si>
  <si>
    <t>Ahmad Hamuwd</t>
  </si>
  <si>
    <t>Imran Hazruma</t>
  </si>
  <si>
    <t>Samir Alhaj Ali</t>
  </si>
  <si>
    <t>Shadi Altibae</t>
  </si>
  <si>
    <t>Husam Aldubus</t>
  </si>
  <si>
    <t>Sultan Alhijar</t>
  </si>
  <si>
    <t>Anwar Alkhayran</t>
  </si>
  <si>
    <t>Rwad Alddahir</t>
  </si>
  <si>
    <t>Jury Eabuwd</t>
  </si>
  <si>
    <t>Iin Bitahish</t>
  </si>
  <si>
    <t>Iin Murad</t>
  </si>
  <si>
    <t>Qays Dahna</t>
  </si>
  <si>
    <t>Omaimah Tqi Aldiyn</t>
  </si>
  <si>
    <t>Ismaeil Jdwe</t>
  </si>
  <si>
    <t>Lina Wayly</t>
  </si>
  <si>
    <t>Ruba Alsiraj</t>
  </si>
  <si>
    <t>Lawy Nadaf</t>
  </si>
  <si>
    <t>Tamadur Barghuth</t>
  </si>
  <si>
    <t>Diea Jazar</t>
  </si>
  <si>
    <t>Baha Eusqul</t>
  </si>
  <si>
    <t>Razan Iybw</t>
  </si>
  <si>
    <t>Jamil Ghabur</t>
  </si>
  <si>
    <t>Alaa Sultan</t>
  </si>
  <si>
    <t>Basil Salih</t>
  </si>
  <si>
    <t>Abdalbasit Aljazayiriu</t>
  </si>
  <si>
    <t>Fawaz Ghazal</t>
  </si>
  <si>
    <t>Diea Dakhal</t>
  </si>
  <si>
    <t>Emad Dulul</t>
  </si>
  <si>
    <t>Asym Aleaqqad</t>
  </si>
  <si>
    <t>Ayat Byd</t>
  </si>
  <si>
    <t>Ahmad Ahmid</t>
  </si>
  <si>
    <t>Ali Alqadri</t>
  </si>
  <si>
    <t>Danah Suirkili</t>
  </si>
  <si>
    <t>Mazin Bihtiti</t>
  </si>
  <si>
    <t>Ali Barghaly</t>
  </si>
  <si>
    <t>Ali Alshaykh</t>
  </si>
  <si>
    <t>Kholoud Huquq</t>
  </si>
  <si>
    <t>Ibrahim Alqatish</t>
  </si>
  <si>
    <t>Fatir Alealiu</t>
  </si>
  <si>
    <t>Alaa Alrifaei</t>
  </si>
  <si>
    <t>Rasha Alrifaei</t>
  </si>
  <si>
    <t>Bayan Darbika</t>
  </si>
  <si>
    <t>Hanan Salahi</t>
  </si>
  <si>
    <t>Tariq Aldhahabi</t>
  </si>
  <si>
    <t>Dima Drwysh</t>
  </si>
  <si>
    <t>Diea Filyun</t>
  </si>
  <si>
    <t>Safa Alshahadat</t>
  </si>
  <si>
    <t>Ayly Bahriin</t>
  </si>
  <si>
    <t>Ayham Alqadi</t>
  </si>
  <si>
    <t>Asd Bwfaeur</t>
  </si>
  <si>
    <t>Mazin Eubayd</t>
  </si>
  <si>
    <t>Alyida Nieamah</t>
  </si>
  <si>
    <t>Ali Nhl</t>
  </si>
  <si>
    <t>Hasan Iismaeil</t>
  </si>
  <si>
    <t>Emam Mansur</t>
  </si>
  <si>
    <t>Mazin Zawal</t>
  </si>
  <si>
    <t>Lama Almala</t>
  </si>
  <si>
    <t>Esamat Alriys</t>
  </si>
  <si>
    <t>Amir Alkhatib</t>
  </si>
  <si>
    <t>Maria Alhizae</t>
  </si>
  <si>
    <t>Ahmad Qadimati</t>
  </si>
  <si>
    <t>Average of Experience Year</t>
  </si>
  <si>
    <t>Count of employes by gender</t>
  </si>
  <si>
    <t>Count of Work Type</t>
  </si>
  <si>
    <t>Jan</t>
  </si>
  <si>
    <t>Feb</t>
  </si>
  <si>
    <t>May</t>
  </si>
  <si>
    <t>Aug</t>
  </si>
  <si>
    <t>Oct</t>
  </si>
  <si>
    <t>Dec</t>
  </si>
  <si>
    <t>Mar</t>
  </si>
  <si>
    <t>Apr</t>
  </si>
  <si>
    <t>Jun</t>
  </si>
  <si>
    <t>Jul</t>
  </si>
  <si>
    <t>Sep</t>
  </si>
  <si>
    <t>Nov</t>
  </si>
  <si>
    <t>c O g</t>
  </si>
  <si>
    <t>cfn</t>
  </si>
  <si>
    <t>sos</t>
  </si>
  <si>
    <t>cOf</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</si>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</sst>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12" x14ac:knownFonts="1">
    <font>
      <sz val="11"/>
      <color theme="1"/>
      <name val="Aptos Narrow"/>
      <family val="2"/>
      <charset val="178"/>
      <scheme val="minor"/>
    </font>
    <font>
      <sz val="11"/>
      <color theme="1"/>
      <name val="Aptos Narrow"/>
      <family val="2"/>
      <scheme val="minor"/>
    </font>
    <font>
      <sz val="11"/>
      <color theme="1"/>
      <name val="Aptos Narrow"/>
      <family val="2"/>
      <scheme val="minor"/>
    </font>
    <font>
      <sz val="11"/>
      <color theme="1"/>
      <name val="Aptos Narrow"/>
      <family val="2"/>
      <scheme val="minor"/>
    </font>
    <font>
      <sz val="10"/>
      <color indexed="8"/>
      <name val="Arial"/>
      <family val="2"/>
    </font>
    <font>
      <sz val="11"/>
      <color indexed="8"/>
      <name val="Calibri"/>
      <family val="2"/>
    </font>
    <font>
      <sz val="11"/>
      <color theme="1"/>
      <name val="Aptos Narrow"/>
      <family val="2"/>
      <charset val="178"/>
      <scheme val="minor"/>
    </font>
    <font>
      <sz val="16"/>
      <color theme="1"/>
      <name val="Aptos Narrow"/>
      <family val="2"/>
      <scheme val="minor"/>
    </font>
    <font>
      <b/>
      <sz val="11"/>
      <color theme="0"/>
      <name val="Calibri"/>
      <family val="2"/>
    </font>
    <font>
      <sz val="11"/>
      <color theme="1"/>
      <name val="Calibri"/>
      <family val="2"/>
    </font>
    <font>
      <sz val="18"/>
      <color theme="1"/>
      <name val="Bahnschrift"/>
      <family val="2"/>
    </font>
    <font>
      <sz val="11"/>
      <color rgb="FF000000"/>
      <name val="Aptos Narrow"/>
      <family val="2"/>
      <charset val="178"/>
      <scheme val="minor"/>
    </font>
  </fonts>
  <fills count="10">
    <fill>
      <patternFill patternType="none"/>
    </fill>
    <fill>
      <patternFill patternType="gray125"/>
    </fill>
    <fill>
      <patternFill patternType="solid">
        <fgColor rgb="FF0070C0"/>
        <bgColor indexed="64"/>
      </patternFill>
    </fill>
    <fill>
      <patternFill patternType="solid">
        <fgColor theme="0" tint="-0.14999847407452621"/>
        <bgColor indexed="64"/>
      </patternFill>
    </fill>
    <fill>
      <patternFill patternType="solid">
        <fgColor rgb="FFC00000"/>
        <bgColor indexed="64"/>
      </patternFill>
    </fill>
    <fill>
      <patternFill patternType="solid">
        <fgColor theme="8" tint="-0.249977111117893"/>
        <bgColor indexed="64"/>
      </patternFill>
    </fill>
    <fill>
      <patternFill patternType="solid">
        <fgColor theme="5"/>
        <bgColor indexed="64"/>
      </patternFill>
    </fill>
    <fill>
      <patternFill patternType="solid">
        <fgColor rgb="FFFFC000"/>
        <bgColor indexed="64"/>
      </patternFill>
    </fill>
    <fill>
      <patternFill patternType="solid">
        <fgColor theme="0"/>
        <bgColor indexed="64"/>
      </patternFill>
    </fill>
    <fill>
      <patternFill patternType="solid">
        <fgColor theme="2" tint="-0.249977111117893"/>
        <bgColor indexed="64"/>
      </patternFill>
    </fill>
  </fills>
  <borders count="6">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right/>
      <top/>
      <bottom style="thin">
        <color theme="0" tint="-0.14996795556505021"/>
      </bottom>
      <diagonal/>
    </border>
  </borders>
  <cellStyleXfs count="15">
    <xf numFmtId="0" fontId="0" fillId="0" borderId="0"/>
    <xf numFmtId="0" fontId="4" fillId="0" borderId="0"/>
    <xf numFmtId="0" fontId="4" fillId="0" borderId="0"/>
    <xf numFmtId="0" fontId="4" fillId="0" borderId="0"/>
    <xf numFmtId="0" fontId="4" fillId="0" borderId="0"/>
    <xf numFmtId="0" fontId="3" fillId="0" borderId="0"/>
    <xf numFmtId="43" fontId="6" fillId="0" borderId="0" applyFont="0" applyFill="0" applyBorder="0" applyAlignment="0" applyProtection="0"/>
    <xf numFmtId="44" fontId="6" fillId="0" borderId="0" applyFont="0" applyFill="0" applyBorder="0" applyAlignment="0" applyProtection="0"/>
    <xf numFmtId="0" fontId="2" fillId="0" borderId="0"/>
    <xf numFmtId="9" fontId="2" fillId="0" borderId="0" applyFont="0" applyFill="0" applyBorder="0" applyAlignment="0" applyProtection="0"/>
    <xf numFmtId="0" fontId="1" fillId="0" borderId="0"/>
    <xf numFmtId="44" fontId="7" fillId="0" borderId="0" applyFont="0" applyFill="0" applyBorder="0" applyAlignment="0" applyProtection="0"/>
    <xf numFmtId="9" fontId="7" fillId="0" borderId="0" applyFont="0" applyFill="0" applyBorder="0" applyAlignment="0" applyProtection="0"/>
    <xf numFmtId="0" fontId="1" fillId="0" borderId="0"/>
    <xf numFmtId="9" fontId="6" fillId="0" borderId="0" applyFont="0" applyFill="0" applyBorder="0" applyAlignment="0" applyProtection="0"/>
  </cellStyleXfs>
  <cellXfs count="49">
    <xf numFmtId="0" fontId="0" fillId="0" borderId="0" xfId="0"/>
    <xf numFmtId="0" fontId="3" fillId="3" borderId="0" xfId="5" applyFill="1" applyAlignment="1">
      <alignment horizontal="left"/>
    </xf>
    <xf numFmtId="0" fontId="5" fillId="3" borderId="0" xfId="1" applyFont="1" applyFill="1" applyAlignment="1">
      <alignment horizontal="left" wrapText="1"/>
    </xf>
    <xf numFmtId="0" fontId="5" fillId="3" borderId="0" xfId="2" applyFont="1" applyFill="1" applyAlignment="1">
      <alignment horizontal="left" wrapText="1"/>
    </xf>
    <xf numFmtId="49" fontId="5" fillId="3" borderId="0" xfId="2" applyNumberFormat="1" applyFont="1" applyFill="1" applyAlignment="1">
      <alignment horizontal="left" wrapText="1"/>
    </xf>
    <xf numFmtId="0" fontId="5" fillId="3" borderId="0" xfId="4" applyFont="1" applyFill="1" applyAlignment="1">
      <alignment horizontal="left" wrapText="1"/>
    </xf>
    <xf numFmtId="0" fontId="3" fillId="3" borderId="0" xfId="6" applyNumberFormat="1" applyFont="1" applyFill="1" applyAlignment="1">
      <alignment horizontal="center"/>
    </xf>
    <xf numFmtId="49" fontId="3" fillId="3" borderId="0" xfId="5" applyNumberFormat="1" applyFill="1" applyAlignment="1">
      <alignment horizontal="left"/>
    </xf>
    <xf numFmtId="0" fontId="5" fillId="0" borderId="2" xfId="1" applyFont="1" applyBorder="1" applyAlignment="1">
      <alignment horizontal="left" wrapText="1"/>
    </xf>
    <xf numFmtId="0" fontId="5" fillId="0" borderId="2" xfId="2" applyFont="1" applyBorder="1" applyAlignment="1">
      <alignment horizontal="left" wrapText="1"/>
    </xf>
    <xf numFmtId="0" fontId="5" fillId="0" borderId="2" xfId="3" applyFont="1" applyBorder="1" applyAlignment="1">
      <alignment horizontal="left" wrapText="1"/>
    </xf>
    <xf numFmtId="49" fontId="5" fillId="0" borderId="2" xfId="2" applyNumberFormat="1" applyFont="1" applyBorder="1" applyAlignment="1">
      <alignment horizontal="left" wrapText="1"/>
    </xf>
    <xf numFmtId="0" fontId="5" fillId="0" borderId="2" xfId="4" applyFont="1" applyBorder="1" applyAlignment="1">
      <alignment horizontal="left" wrapText="1"/>
    </xf>
    <xf numFmtId="0" fontId="5" fillId="0" borderId="2" xfId="6" applyNumberFormat="1" applyFont="1" applyFill="1" applyBorder="1" applyAlignment="1">
      <alignment horizontal="left" wrapText="1"/>
    </xf>
    <xf numFmtId="0" fontId="1" fillId="0" borderId="2" xfId="5" applyFont="1" applyBorder="1" applyAlignment="1">
      <alignment horizontal="left"/>
    </xf>
    <xf numFmtId="0" fontId="8" fillId="2" borderId="2" xfId="1" applyFont="1" applyFill="1" applyBorder="1" applyAlignment="1">
      <alignment horizontal="center" vertical="center"/>
    </xf>
    <xf numFmtId="0" fontId="8" fillId="2" borderId="2" xfId="2" applyFont="1" applyFill="1" applyBorder="1" applyAlignment="1">
      <alignment horizontal="center" vertical="center"/>
    </xf>
    <xf numFmtId="0" fontId="8" fillId="2" borderId="2" xfId="3" applyFont="1" applyFill="1" applyBorder="1" applyAlignment="1">
      <alignment horizontal="center" vertical="center"/>
    </xf>
    <xf numFmtId="49" fontId="8" fillId="2" borderId="2" xfId="2" applyNumberFormat="1" applyFont="1" applyFill="1" applyBorder="1" applyAlignment="1">
      <alignment horizontal="center" vertical="center"/>
    </xf>
    <xf numFmtId="0" fontId="8" fillId="2" borderId="2" xfId="4" applyFont="1" applyFill="1" applyBorder="1" applyAlignment="1">
      <alignment horizontal="center" vertical="center"/>
    </xf>
    <xf numFmtId="0" fontId="8" fillId="2" borderId="2" xfId="6" applyNumberFormat="1" applyFont="1" applyFill="1" applyBorder="1" applyAlignment="1">
      <alignment horizontal="center" vertical="center"/>
    </xf>
    <xf numFmtId="0" fontId="9" fillId="3" borderId="0" xfId="5" applyFont="1" applyFill="1" applyAlignment="1">
      <alignment horizontal="left"/>
    </xf>
    <xf numFmtId="0" fontId="8" fillId="6" borderId="1" xfId="5" applyFont="1" applyFill="1" applyBorder="1" applyAlignment="1">
      <alignment horizontal="center" vertical="center"/>
    </xf>
    <xf numFmtId="0" fontId="9" fillId="0" borderId="1" xfId="5" applyFont="1" applyBorder="1" applyAlignment="1">
      <alignment horizontal="center" vertical="center"/>
    </xf>
    <xf numFmtId="0" fontId="9" fillId="7" borderId="3" xfId="10" applyFont="1" applyFill="1" applyBorder="1" applyAlignment="1">
      <alignment horizontal="center" vertical="center"/>
    </xf>
    <xf numFmtId="164" fontId="9" fillId="8" borderId="3" xfId="6" applyNumberFormat="1" applyFont="1" applyFill="1" applyBorder="1"/>
    <xf numFmtId="9" fontId="9" fillId="8" borderId="3" xfId="12" applyFont="1" applyFill="1" applyBorder="1"/>
    <xf numFmtId="0" fontId="9" fillId="3" borderId="0" xfId="0" applyFont="1" applyFill="1"/>
    <xf numFmtId="0" fontId="9" fillId="0" borderId="0" xfId="0" applyFont="1" applyAlignment="1">
      <alignment vertical="center"/>
    </xf>
    <xf numFmtId="165" fontId="5" fillId="0" borderId="2" xfId="7" applyNumberFormat="1" applyFont="1" applyFill="1" applyBorder="1" applyAlignment="1">
      <alignment horizontal="center" wrapText="1"/>
    </xf>
    <xf numFmtId="165" fontId="1" fillId="0" borderId="2" xfId="7" applyNumberFormat="1" applyFont="1" applyBorder="1" applyAlignment="1">
      <alignment horizontal="left"/>
    </xf>
    <xf numFmtId="14" fontId="5" fillId="0" borderId="2" xfId="6" applyNumberFormat="1" applyFont="1" applyFill="1" applyBorder="1" applyAlignment="1">
      <alignment horizontal="left" wrapText="1"/>
    </xf>
    <xf numFmtId="9" fontId="8" fillId="2" borderId="2" xfId="14" applyFont="1" applyFill="1" applyBorder="1" applyAlignment="1">
      <alignment horizontal="center" vertical="center"/>
    </xf>
    <xf numFmtId="9" fontId="1" fillId="0" borderId="2" xfId="14" applyFont="1" applyBorder="1" applyAlignment="1">
      <alignment horizontal="left"/>
    </xf>
    <xf numFmtId="9" fontId="3" fillId="3" borderId="0" xfId="14" applyFont="1" applyFill="1" applyAlignment="1">
      <alignment horizontal="left"/>
    </xf>
    <xf numFmtId="0" fontId="0" fillId="0" borderId="0" xfId="0" pivotButton="1"/>
    <xf numFmtId="14" fontId="0" fillId="0" borderId="0" xfId="0" applyNumberFormat="1"/>
    <xf numFmtId="9" fontId="0" fillId="0" borderId="0" xfId="14" applyFont="1"/>
    <xf numFmtId="1" fontId="0" fillId="0" borderId="0" xfId="0" applyNumberFormat="1"/>
    <xf numFmtId="9" fontId="0" fillId="0" borderId="0" xfId="0" applyNumberFormat="1"/>
    <xf numFmtId="165" fontId="0" fillId="0" borderId="0" xfId="7" applyNumberFormat="1" applyFont="1"/>
    <xf numFmtId="22" fontId="11" fillId="9" borderId="0" xfId="0" applyNumberFormat="1" applyFont="1" applyFill="1"/>
    <xf numFmtId="0" fontId="11" fillId="9" borderId="0" xfId="0" applyFont="1" applyFill="1"/>
    <xf numFmtId="0" fontId="8" fillId="2" borderId="4" xfId="5" applyFont="1" applyFill="1" applyBorder="1" applyAlignment="1">
      <alignment horizontal="center" vertical="center"/>
    </xf>
    <xf numFmtId="0" fontId="8" fillId="5" borderId="5" xfId="5" applyFont="1" applyFill="1" applyBorder="1" applyAlignment="1">
      <alignment horizontal="center"/>
    </xf>
    <xf numFmtId="0" fontId="8" fillId="4" borderId="0" xfId="0" applyFont="1" applyFill="1"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center" vertical="center"/>
    </xf>
  </cellXfs>
  <cellStyles count="15">
    <cellStyle name="Comma" xfId="6" builtinId="3"/>
    <cellStyle name="Currency" xfId="7" builtinId="4"/>
    <cellStyle name="Currency 3" xfId="11" xr:uid="{FD040ABC-FB59-463D-9A00-07DB96BDA998}"/>
    <cellStyle name="Normal" xfId="0" builtinId="0"/>
    <cellStyle name="Normal 2" xfId="10" xr:uid="{01E3FB0B-6796-4523-B50F-8E39FACFD317}"/>
    <cellStyle name="Normal 2 2" xfId="5" xr:uid="{AD5C0FFD-AF81-4179-A0FF-A7EDCF6E3B06}"/>
    <cellStyle name="Normal 2 2 2" xfId="8" xr:uid="{59299354-C2DC-49D1-8C63-17EAE9A48BA6}"/>
    <cellStyle name="Normal 2 2 2 2" xfId="13" xr:uid="{C3ECB3E3-A965-4C52-B9A2-EBA841BAF80F}"/>
    <cellStyle name="Normal_Customers" xfId="1" xr:uid="{500A0772-650B-4289-8B8B-697C2CCBC49B}"/>
    <cellStyle name="Normal_Employees" xfId="3" xr:uid="{5B0983A8-65A9-45ED-8259-E99188D0857C}"/>
    <cellStyle name="Normal_Orders" xfId="4" xr:uid="{013E7E35-F8C3-4D6F-A256-345AC5E283F5}"/>
    <cellStyle name="Normal_Sheet1" xfId="2" xr:uid="{1E836CB1-59F9-43D0-9640-04CF270A1518}"/>
    <cellStyle name="Percent" xfId="14" builtinId="5"/>
    <cellStyle name="Percent 2 2" xfId="9" xr:uid="{37B85EF9-35A8-462F-B9CB-6EAD89B92AE7}"/>
    <cellStyle name="Percent 4" xfId="12" xr:uid="{49A4C5D7-A15D-457E-A84B-1466877119C5}"/>
  </cellStyles>
  <dxfs count="28">
    <dxf>
      <font>
        <b/>
        <i/>
      </font>
      <fill>
        <patternFill>
          <bgColor theme="4" tint="0.59996337778862885"/>
        </patternFill>
      </fill>
    </dxf>
    <dxf>
      <font>
        <b/>
        <i/>
      </font>
      <fill>
        <patternFill>
          <bgColor theme="4" tint="0.59996337778862885"/>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m/d/yyyy"/>
    </dxf>
    <dxf>
      <font>
        <b/>
        <sz val="11"/>
        <color theme="1"/>
      </font>
      <fill>
        <patternFill>
          <bgColor theme="5"/>
        </patternFill>
      </fill>
    </dxf>
    <dxf>
      <fill>
        <patternFill patternType="solid">
          <fgColor theme="0"/>
          <bgColor theme="1"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0"/>
        <name val="Aptos Narrow"/>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4"/>
      </font>
      <fill>
        <patternFill patternType="none">
          <bgColor auto="1"/>
        </patternFill>
      </fill>
      <border diagonalUp="0" diagonalDown="0">
        <left style="thin">
          <color auto="1"/>
        </left>
        <right style="thin">
          <color auto="1"/>
        </right>
        <top style="thin">
          <color auto="1"/>
        </top>
        <bottom style="thin">
          <color auto="1"/>
        </bottom>
        <vertical/>
        <horizontal/>
      </border>
    </dxf>
    <dxf>
      <fill>
        <patternFill patternType="none">
          <bgColor auto="1"/>
        </patternFill>
      </fill>
      <border diagonalUp="0" diagonalDown="0">
        <left/>
        <right/>
        <top/>
        <bottom/>
        <vertical/>
        <horizontal/>
      </border>
    </dxf>
    <dxf>
      <fill>
        <patternFill>
          <bgColor theme="5"/>
        </patternFill>
      </fill>
    </dxf>
    <dxf>
      <font>
        <b/>
        <i val="0"/>
        <sz val="11"/>
        <color theme="0"/>
      </font>
      <fill>
        <patternFill>
          <bgColor theme="1" tint="0.24994659260841701"/>
        </patternFill>
      </fill>
      <border>
        <left style="thin">
          <color auto="1"/>
        </left>
        <right style="thin">
          <color auto="1"/>
        </right>
        <top style="thin">
          <color auto="1"/>
        </top>
        <bottom style="thin">
          <color auto="1"/>
        </bottom>
      </border>
    </dxf>
    <dxf>
      <fill>
        <patternFill>
          <bgColor theme="1" tint="0.24994659260841701"/>
        </patternFill>
      </fill>
    </dxf>
    <dxf>
      <fill>
        <gradientFill degree="90">
          <stop position="0">
            <color theme="0"/>
          </stop>
          <stop position="1">
            <color theme="4"/>
          </stop>
        </gradientFill>
      </fill>
    </dxf>
    <dxf>
      <font>
        <b/>
        <i val="0"/>
        <u/>
        <sz val="28"/>
      </font>
      <fill>
        <patternFill>
          <bgColor theme="1"/>
        </patternFill>
      </fill>
    </dxf>
    <dxf>
      <font>
        <b/>
        <i val="0"/>
        <sz val="10"/>
        <color theme="3"/>
      </font>
    </dxf>
  </dxfs>
  <tableStyles count="10" defaultTableStyle="TableStyleMedium2" defaultPivotStyle="PivotStyleLight16">
    <tableStyle name="Slicer Style 1" pivot="0" table="0" count="1" xr9:uid="{19BCBB96-4E0A-4FE4-9F9D-1147056423F9}">
      <tableStyleElement type="wholeTable" dxfId="27"/>
    </tableStyle>
    <tableStyle name="Slicer Style 2" pivot="0" table="0" count="1" xr9:uid="{9CD58264-C09D-4240-B0AB-F2608BCC4C5F}">
      <tableStyleElement type="wholeTable" dxfId="26"/>
    </tableStyle>
    <tableStyle name="Slicer Style 3" pivot="0" table="0" count="1" xr9:uid="{15CB955D-9F9C-48CB-80CE-3376D5D13E3A}">
      <tableStyleElement type="wholeTable" dxfId="25"/>
    </tableStyle>
    <tableStyle name="Slicer Style 4" pivot="0" table="0" count="1" xr9:uid="{43C74437-6E44-46F9-B54D-F59D6F3C6C00}">
      <tableStyleElement type="wholeTable" dxfId="24"/>
    </tableStyle>
    <tableStyle name="Slicer Style 5" pivot="0" table="0" count="2" xr9:uid="{BF97B777-47A4-42EE-AE74-F24B2908A8AE}">
      <tableStyleElement type="wholeTable" dxfId="23"/>
      <tableStyleElement type="headerRow" dxfId="22"/>
    </tableStyle>
    <tableStyle name="Slicer Style 6" pivot="0" table="0" count="10" xr9:uid="{F250B6CE-98B0-4E52-B9B7-204C44531769}">
      <tableStyleElement type="wholeTable" dxfId="21"/>
      <tableStyleElement type="headerRow" dxfId="20"/>
    </tableStyle>
    <tableStyle name="Timeline Style 1" pivot="0" table="0" count="8" xr9:uid="{53E34047-41B7-491F-A20F-24ECDCD57500}">
      <tableStyleElement type="wholeTable" dxfId="19"/>
      <tableStyleElement type="headerRow" dxfId="18"/>
    </tableStyle>
    <tableStyle name="Timeline Style 2" pivot="0" table="0" count="8" xr9:uid="{6709ECB4-5BAB-4DB5-94DC-A9FB261DD547}">
      <tableStyleElement type="wholeTable" dxfId="17"/>
      <tableStyleElement type="headerRow" dxfId="16"/>
    </tableStyle>
    <tableStyle name="Timeline Style 3" pivot="0" table="0" count="8" xr9:uid="{E7885A70-682F-4505-B40B-5F4F372A1863}">
      <tableStyleElement type="wholeTable" dxfId="15"/>
      <tableStyleElement type="headerRow" dxfId="14"/>
    </tableStyle>
    <tableStyle name="Timeline Style 4" pivot="0" table="0" count="8" xr9:uid="{9F4ACF70-905C-4DB2-B167-0D34A5A89F90}">
      <tableStyleElement type="wholeTable" dxfId="13"/>
      <tableStyleElement type="headerRow" dxfId="12"/>
    </tableStyle>
  </tableStyles>
  <colors>
    <mruColors>
      <color rgb="FF000000"/>
    </mruColors>
  </colors>
  <extLst>
    <ext xmlns:x14="http://schemas.microsoft.com/office/spreadsheetml/2009/9/main" uri="{46F421CA-312F-682f-3DD2-61675219B42D}">
      <x14:dxfs count="8">
        <dxf>
          <fill>
            <patternFill>
              <bgColor theme="5"/>
            </patternFill>
          </fill>
        </dxf>
        <dxf>
          <fill>
            <patternFill>
              <bgColor theme="2" tint="-0.749961851863155"/>
            </patternFill>
          </fill>
        </dxf>
        <dxf>
          <fill>
            <patternFill>
              <bgColor theme="5"/>
            </patternFill>
          </fill>
        </dxf>
        <dxf>
          <fill>
            <patternFill>
              <bgColor theme="2" tint="-0.749961851863155"/>
            </patternFill>
          </fill>
        </dxf>
        <dxf>
          <fill>
            <patternFill>
              <bgColor theme="5"/>
            </patternFill>
          </fill>
          <border>
            <left style="thin">
              <color auto="1"/>
            </left>
            <right style="thin">
              <color auto="1"/>
            </right>
            <top style="thin">
              <color auto="1"/>
            </top>
            <bottom style="thin">
              <color auto="1"/>
            </bottom>
          </border>
        </dxf>
        <dxf>
          <fill>
            <patternFill>
              <bgColor theme="5"/>
            </patternFill>
          </fill>
          <border>
            <left style="thin">
              <color auto="1"/>
            </left>
            <right style="thin">
              <color auto="1"/>
            </right>
            <top style="thin">
              <color auto="1"/>
            </top>
            <bottom style="thin">
              <color auto="1"/>
            </bottom>
          </border>
        </dxf>
        <dxf>
          <fill>
            <patternFill>
              <bgColor theme="2" tint="-0.749961851863155"/>
            </patternFill>
          </fill>
        </dxf>
        <dxf>
          <fill>
            <patternFill>
              <bgColor theme="2" tint="-0.74996185186315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b/>
            <i val="0"/>
            <sz val="11"/>
            <color theme="3" tint="0.499984740745262"/>
            <name val="Aptos Narrow"/>
            <scheme val="minor"/>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2">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[DAshbord HR.xlsx]Sheet3!PivotTable3</c:name>
    <c:fmtId val="5"/>
  </c:pivotSource>
  <c:chart>
    <c:title>
      <c:tx>
        <c:rich>
          <a:bodyPr rot="0" spcFirstLastPara="1" vertOverflow="ellipsis" vert="horz" wrap="square" anchor="ctr" anchorCtr="1"/>
          <a:lstStyle/>
          <a:p>
            <a:pPr>
              <a:def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400" b="1" i="0" u="none" strike="noStrike" kern="1200" cap="all" baseline="0">
                <a:solidFill>
                  <a:schemeClr val="bg1"/>
                </a:solidFill>
                <a:latin typeface="+mn-lt"/>
                <a:ea typeface="+mn-ea"/>
                <a:cs typeface="+mn-cs"/>
              </a:rPr>
              <a:t>Gender Distribution</a:t>
            </a:r>
          </a:p>
        </c:rich>
      </c:tx>
      <c:overlay val="0"/>
      <c:spPr>
        <a:noFill/>
        <a:ln>
          <a:noFill/>
        </a:ln>
        <a:effectLst/>
      </c:spPr>
      <c:txPr>
        <a:bodyPr rot="0" spcFirstLastPara="1" vertOverflow="ellipsis" vert="horz" wrap="square" anchor="ctr" anchorCtr="1"/>
        <a:lstStyle/>
        <a:p>
          <a:pPr>
            <a:def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430248658059278"/>
          <c:y val="0.14921134561515781"/>
          <c:w val="0.46411717076316877"/>
          <c:h val="0.80973615238552277"/>
        </c:manualLayout>
      </c:layout>
      <c:doughnutChart>
        <c:varyColors val="1"/>
        <c:ser>
          <c:idx val="0"/>
          <c:order val="0"/>
          <c:tx>
            <c:strRef>
              <c:f>Sheet3!$D$3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23D-4C2D-A70E-85EF6F4AA5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23D-4C2D-A70E-85EF6F4AA5D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Sheet3!$C$4:$C$5</c:f>
              <c:strCache>
                <c:ptCount val="2"/>
                <c:pt idx="0">
                  <c:v>Female</c:v>
                </c:pt>
                <c:pt idx="1">
                  <c:v>Male</c:v>
                </c:pt>
              </c:strCache>
            </c:strRef>
          </c:cat>
          <c:val>
            <c:numRef>
              <c:f>Sheet3!$D$4:$D$5</c:f>
              <c:numCache>
                <c:formatCode>General</c:formatCode>
                <c:ptCount val="2"/>
                <c:pt idx="0">
                  <c:v>115</c:v>
                </c:pt>
                <c:pt idx="1">
                  <c:v>185</c:v>
                </c:pt>
              </c:numCache>
            </c:numRef>
          </c:val>
          <c:extLst>
            <c:ext xmlns:c16="http://schemas.microsoft.com/office/drawing/2014/chart" uri="{C3380CC4-5D6E-409C-BE32-E72D297353CC}">
              <c16:uniqueId val="{00000005-CE13-4218-834A-FEF83664202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4370636613724426"/>
          <c:y val="0.45242091992923966"/>
          <c:w val="0.1307797680370503"/>
          <c:h val="0.1690693062060677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[DAshbord HR.xlsx]Sheet3!PivotTable6</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2400" b="1" i="0" u="none" strike="noStrike" cap="all" baseline="0">
                <a:solidFill>
                  <a:schemeClr val="bg1"/>
                </a:solidFill>
              </a:rPr>
              <a:t>Payment Methods</a:t>
            </a:r>
            <a:endParaRPr lang="en-US" sz="2400" b="1">
              <a:solidFill>
                <a:schemeClr val="bg1"/>
              </a:solidFill>
            </a:endParaRPr>
          </a:p>
        </c:rich>
      </c:tx>
      <c:layout>
        <c:manualLayout>
          <c:xMode val="edge"/>
          <c:yMode val="edge"/>
          <c:x val="0.32595719821232799"/>
          <c:y val="3.4087269799596691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8000"/>
            </a:schemeClr>
          </a:solidFill>
          <a:ln>
            <a:solidFill>
              <a:schemeClr val="accent1">
                <a:lumMod val="50000"/>
              </a:schemeClr>
            </a:solidFill>
          </a:ln>
          <a:effectLst/>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38034845966194E-2"/>
          <c:y val="0.19011081718011311"/>
          <c:w val="0.87323132829073669"/>
          <c:h val="0.63664627381246519"/>
        </c:manualLayout>
      </c:layout>
      <c:barChart>
        <c:barDir val="col"/>
        <c:grouping val="stacked"/>
        <c:varyColors val="0"/>
        <c:ser>
          <c:idx val="0"/>
          <c:order val="0"/>
          <c:tx>
            <c:strRef>
              <c:f>Sheet3!$J$3</c:f>
              <c:strCache>
                <c:ptCount val="1"/>
                <c:pt idx="0">
                  <c:v>Total</c:v>
                </c:pt>
              </c:strCache>
            </c:strRef>
          </c:tx>
          <c:spPr>
            <a:solidFill>
              <a:schemeClr val="accent1">
                <a:alpha val="88000"/>
              </a:schemeClr>
            </a:solidFill>
            <a:ln>
              <a:solidFill>
                <a:schemeClr val="accent1">
                  <a:lumMod val="50000"/>
                </a:schemeClr>
              </a:solidFill>
            </a:ln>
            <a:effectLst/>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Sheet3!$I$4:$I$7</c:f>
              <c:strCache>
                <c:ptCount val="4"/>
                <c:pt idx="0">
                  <c:v>Debt Card</c:v>
                </c:pt>
                <c:pt idx="1">
                  <c:v>Hawala</c:v>
                </c:pt>
                <c:pt idx="2">
                  <c:v>Master Card</c:v>
                </c:pt>
                <c:pt idx="3">
                  <c:v>Western Union</c:v>
                </c:pt>
              </c:strCache>
            </c:strRef>
          </c:cat>
          <c:val>
            <c:numRef>
              <c:f>Sheet3!$J$4:$J$7</c:f>
              <c:numCache>
                <c:formatCode>0</c:formatCode>
                <c:ptCount val="4"/>
                <c:pt idx="0">
                  <c:v>111</c:v>
                </c:pt>
                <c:pt idx="1">
                  <c:v>92</c:v>
                </c:pt>
                <c:pt idx="2">
                  <c:v>44</c:v>
                </c:pt>
                <c:pt idx="3">
                  <c:v>53</c:v>
                </c:pt>
              </c:numCache>
            </c:numRef>
          </c:val>
          <c:extLst>
            <c:ext xmlns:c16="http://schemas.microsoft.com/office/drawing/2014/chart" uri="{C3380CC4-5D6E-409C-BE32-E72D297353CC}">
              <c16:uniqueId val="{00000001-82CF-4339-9B5B-7FA87D47A813}"/>
            </c:ext>
          </c:extLst>
        </c:ser>
        <c:dLbls>
          <c:showLegendKey val="0"/>
          <c:showVal val="1"/>
          <c:showCatName val="0"/>
          <c:showSerName val="0"/>
          <c:showPercent val="0"/>
          <c:showBubbleSize val="0"/>
        </c:dLbls>
        <c:gapWidth val="84"/>
        <c:overlap val="100"/>
        <c:axId val="662795072"/>
        <c:axId val="468435680"/>
      </c:barChart>
      <c:catAx>
        <c:axId val="662795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j-cs"/>
              </a:defRPr>
            </a:pPr>
            <a:endParaRPr lang="en-US"/>
          </a:p>
        </c:txPr>
        <c:crossAx val="468435680"/>
        <c:crosses val="autoZero"/>
        <c:auto val="1"/>
        <c:lblAlgn val="ctr"/>
        <c:lblOffset val="100"/>
        <c:noMultiLvlLbl val="0"/>
      </c:catAx>
      <c:valAx>
        <c:axId val="468435680"/>
        <c:scaling>
          <c:orientation val="minMax"/>
        </c:scaling>
        <c:delete val="1"/>
        <c:axPos val="l"/>
        <c:numFmt formatCode="0" sourceLinked="1"/>
        <c:majorTickMark val="out"/>
        <c:minorTickMark val="none"/>
        <c:tickLblPos val="nextTo"/>
        <c:crossAx val="662795072"/>
        <c:crosses val="autoZero"/>
        <c:crossBetween val="between"/>
      </c:valAx>
      <c:spPr>
        <a:noFill/>
        <a:ln>
          <a:noFill/>
        </a:ln>
        <a:effectLst/>
      </c:spPr>
    </c:plotArea>
    <c:legend>
      <c:legendPos val="r"/>
      <c:layout>
        <c:manualLayout>
          <c:xMode val="edge"/>
          <c:yMode val="edge"/>
          <c:x val="0.89238332583203739"/>
          <c:y val="0.34012410774285384"/>
          <c:w val="8.712173159240752E-2"/>
          <c:h val="8.38717373752392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[DAshbord HR.xlsx]Sheet3!PivotTable9</c:name>
    <c:fmtId val="3"/>
  </c:pivotSource>
  <c:chart>
    <c:title>
      <c:tx>
        <c:rich>
          <a:bodyPr rot="0" spcFirstLastPara="1" vertOverflow="ellipsis" vert="horz" wrap="square" anchor="ctr" anchorCtr="1"/>
          <a:lstStyle/>
          <a:p>
            <a:pPr algn="ctr" rtl="0">
              <a:def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400" b="1" i="0" u="none" strike="noStrike" kern="1200" cap="all" baseline="0">
                <a:solidFill>
                  <a:schemeClr val="bg1"/>
                </a:solidFill>
                <a:latin typeface="+mn-lt"/>
                <a:ea typeface="+mn-ea"/>
                <a:cs typeface="+mn-cs"/>
              </a:rPr>
              <a:t>Bonus Percentages</a:t>
            </a:r>
          </a:p>
        </c:rich>
      </c:tx>
      <c:layout>
        <c:manualLayout>
          <c:xMode val="edge"/>
          <c:yMode val="edge"/>
          <c:x val="0.21143821629506146"/>
          <c:y val="3.5442157604122858E-2"/>
        </c:manualLayout>
      </c:layout>
      <c:overlay val="0"/>
      <c:spPr>
        <a:noFill/>
        <a:ln>
          <a:noFill/>
        </a:ln>
        <a:effectLst/>
      </c:spPr>
      <c:txPr>
        <a:bodyPr rot="0" spcFirstLastPara="1" vertOverflow="ellipsis" vert="horz" wrap="square" anchor="ctr" anchorCtr="1"/>
        <a:lstStyle/>
        <a:p>
          <a:pPr algn="ctr" rtl="0">
            <a:def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fld id="{8FA1A9D5-60B9-4A47-82D5-C4170A4166FC}" type="CATEGORYNAME">
                  <a:rPr lang="en-US" sz="1400" baseline="0"/>
                  <a:pPr>
                    <a:defRPr sz="1400" b="1">
                      <a:solidFill>
                        <a:schemeClr val="bg1"/>
                      </a:solidFill>
                    </a:defRPr>
                  </a:pPr>
                  <a:t>[CATEGORY NAME]</a:t>
                </a:fld>
                <a:r>
                  <a:rPr lang="en-US" sz="1400" baseline="0"/>
                  <a:t>
</a:t>
                </a:r>
                <a:fld id="{B8E8BC7A-1D24-4B45-8306-07FEA0BFF934}" type="PERCENTAGE">
                  <a:rPr lang="en-US" sz="1400" baseline="0"/>
                  <a:pPr>
                    <a:defRPr sz="1400" b="1">
                      <a:solidFill>
                        <a:schemeClr val="bg1"/>
                      </a:solidFill>
                    </a:defRPr>
                  </a:pPr>
                  <a:t>[PERCENTAGE]</a:t>
                </a:fld>
                <a:endParaRPr lang="en-US" sz="1400"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550637632840175"/>
          <c:y val="0.1692555335061893"/>
          <c:w val="0.53704355073973742"/>
          <c:h val="0.81922942074164062"/>
        </c:manualLayout>
      </c:layout>
      <c:doughnutChart>
        <c:varyColors val="1"/>
        <c:ser>
          <c:idx val="0"/>
          <c:order val="0"/>
          <c:tx>
            <c:strRef>
              <c:f>Sheet3!$P$3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801-4EF5-82F8-139C50F029C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16-4C96-A4B8-E3AF8A9CE41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16-4C96-A4B8-E3AF8A9CE41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B16-4C96-A4B8-E3AF8A9CE414}"/>
              </c:ext>
            </c:extLst>
          </c:dPt>
          <c:dLbls>
            <c:dLbl>
              <c:idx val="0"/>
              <c:tx>
                <c:rich>
                  <a:bodyPr/>
                  <a:lstStyle/>
                  <a:p>
                    <a:fld id="{8FA1A9D5-60B9-4A47-82D5-C4170A4166FC}" type="CATEGORYNAME">
                      <a:rPr lang="en-US" sz="1400" baseline="0"/>
                      <a:pPr/>
                      <a:t>[CATEGORY NAME]</a:t>
                    </a:fld>
                    <a:r>
                      <a:rPr lang="en-US" sz="1400" baseline="0"/>
                      <a:t>
</a:t>
                    </a:r>
                    <a:fld id="{B8E8BC7A-1D24-4B45-8306-07FEA0BFF934}" type="PERCENTAGE">
                      <a:rPr lang="en-US" sz="1400" baseline="0"/>
                      <a:pPr/>
                      <a:t>[PERCENTAGE]</a:t>
                    </a:fld>
                    <a:endParaRPr lang="en-US" sz="1400"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2801-4EF5-82F8-139C50F029C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Sheet3!$O$4:$O$7</c:f>
              <c:strCache>
                <c:ptCount val="4"/>
                <c:pt idx="0">
                  <c:v>2%</c:v>
                </c:pt>
                <c:pt idx="1">
                  <c:v>5%</c:v>
                </c:pt>
                <c:pt idx="2">
                  <c:v>8%</c:v>
                </c:pt>
                <c:pt idx="3">
                  <c:v>10%</c:v>
                </c:pt>
              </c:strCache>
            </c:strRef>
          </c:cat>
          <c:val>
            <c:numRef>
              <c:f>Sheet3!$P$4:$P$7</c:f>
              <c:numCache>
                <c:formatCode>0</c:formatCode>
                <c:ptCount val="4"/>
                <c:pt idx="0">
                  <c:v>52</c:v>
                </c:pt>
                <c:pt idx="1">
                  <c:v>150</c:v>
                </c:pt>
                <c:pt idx="2">
                  <c:v>84</c:v>
                </c:pt>
                <c:pt idx="3">
                  <c:v>14</c:v>
                </c:pt>
              </c:numCache>
            </c:numRef>
          </c:val>
          <c:extLst>
            <c:ext xmlns:c16="http://schemas.microsoft.com/office/drawing/2014/chart" uri="{C3380CC4-5D6E-409C-BE32-E72D297353CC}">
              <c16:uniqueId val="{00000009-2801-4EF5-82F8-139C50F029CF}"/>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[DAshbord HR.xlsx]Sheet3!PivotTable10</c:name>
    <c:fmtId val="3"/>
  </c:pivotSource>
  <c:chart>
    <c:title>
      <c:tx>
        <c:rich>
          <a:bodyPr rot="0" spcFirstLastPara="1" vertOverflow="ellipsis" vert="horz" wrap="square" anchor="ctr" anchorCtr="1"/>
          <a:lstStyle/>
          <a:p>
            <a:pPr algn="ctr" rtl="0">
              <a:def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400" b="1" i="0" u="none" strike="noStrike" cap="all" baseline="0">
                <a:effectLst>
                  <a:outerShdw blurRad="50800" dist="38100" dir="5400000" algn="t" rotWithShape="0">
                    <a:prstClr val="black">
                      <a:alpha val="40000"/>
                    </a:prstClr>
                  </a:outerShdw>
                </a:effectLst>
              </a:rPr>
              <a:t>Headcount by Department</a:t>
            </a:r>
            <a:endPara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1">
              <a:alpha val="88000"/>
            </a:schemeClr>
          </a:solidFill>
          <a:ln>
            <a:solidFill>
              <a:schemeClr val="accent1">
                <a:lumMod val="50000"/>
              </a:schemeClr>
            </a:solidFill>
          </a:ln>
          <a:effectLst/>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Sheet3!$S$3</c:f>
              <c:strCache>
                <c:ptCount val="1"/>
                <c:pt idx="0">
                  <c:v>Total</c:v>
                </c:pt>
              </c:strCache>
            </c:strRef>
          </c:tx>
          <c:spPr>
            <a:solidFill>
              <a:schemeClr val="accent1">
                <a:alpha val="88000"/>
              </a:schemeClr>
            </a:solidFill>
            <a:ln>
              <a:solidFill>
                <a:schemeClr val="accent1">
                  <a:lumMod val="50000"/>
                </a:schemeClr>
              </a:solidFill>
            </a:ln>
            <a:effectLst/>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Sheet3!$R$4:$R$12</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Sheet3!$S$4:$S$12</c:f>
              <c:numCache>
                <c:formatCode>0</c:formatCode>
                <c:ptCount val="9"/>
                <c:pt idx="0">
                  <c:v>39</c:v>
                </c:pt>
                <c:pt idx="1">
                  <c:v>5</c:v>
                </c:pt>
                <c:pt idx="2">
                  <c:v>55</c:v>
                </c:pt>
                <c:pt idx="3">
                  <c:v>24</c:v>
                </c:pt>
                <c:pt idx="4">
                  <c:v>71</c:v>
                </c:pt>
                <c:pt idx="5">
                  <c:v>65</c:v>
                </c:pt>
                <c:pt idx="6">
                  <c:v>10</c:v>
                </c:pt>
                <c:pt idx="7">
                  <c:v>15</c:v>
                </c:pt>
                <c:pt idx="8">
                  <c:v>16</c:v>
                </c:pt>
              </c:numCache>
            </c:numRef>
          </c:val>
          <c:extLst>
            <c:ext xmlns:c16="http://schemas.microsoft.com/office/drawing/2014/chart" uri="{C3380CC4-5D6E-409C-BE32-E72D297353CC}">
              <c16:uniqueId val="{00000001-E999-4AC0-8D49-D12AA15A4889}"/>
            </c:ext>
          </c:extLst>
        </c:ser>
        <c:dLbls>
          <c:showLegendKey val="0"/>
          <c:showVal val="1"/>
          <c:showCatName val="0"/>
          <c:showSerName val="0"/>
          <c:showPercent val="0"/>
          <c:showBubbleSize val="0"/>
        </c:dLbls>
        <c:gapWidth val="84"/>
        <c:axId val="664576000"/>
        <c:axId val="1899202832"/>
      </c:barChart>
      <c:catAx>
        <c:axId val="66457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899202832"/>
        <c:crosses val="autoZero"/>
        <c:auto val="1"/>
        <c:lblAlgn val="ctr"/>
        <c:lblOffset val="100"/>
        <c:noMultiLvlLbl val="0"/>
      </c:catAx>
      <c:valAx>
        <c:axId val="1899202832"/>
        <c:scaling>
          <c:orientation val="minMax"/>
        </c:scaling>
        <c:delete val="1"/>
        <c:axPos val="l"/>
        <c:numFmt formatCode="0" sourceLinked="1"/>
        <c:majorTickMark val="out"/>
        <c:minorTickMark val="none"/>
        <c:tickLblPos val="nextTo"/>
        <c:crossAx val="664576000"/>
        <c:crosses val="autoZero"/>
        <c:crossBetween val="between"/>
      </c:valAx>
      <c:spPr>
        <a:noFill/>
        <a:ln>
          <a:noFill/>
        </a:ln>
        <a:effectLst/>
      </c:spPr>
    </c:plotArea>
    <c:legend>
      <c:legendPos val="r"/>
      <c:layout>
        <c:manualLayout>
          <c:xMode val="edge"/>
          <c:yMode val="edge"/>
          <c:x val="0.89737487862200971"/>
          <c:y val="0.33524282881577294"/>
          <c:w val="6.827857768527755E-2"/>
          <c:h val="5.93122935586850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[DAshbord HR.xlsx]Sheet3!PivotTable11</c:name>
    <c:fmtId val="3"/>
  </c:pivotSource>
  <c:chart>
    <c:title>
      <c:tx>
        <c:rich>
          <a:bodyPr rot="0" spcFirstLastPara="1" vertOverflow="ellipsis" vert="horz" wrap="square" anchor="ctr" anchorCtr="1"/>
          <a:lstStyle/>
          <a:p>
            <a:pPr>
              <a:def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400" b="1" i="0" u="none" strike="noStrike" kern="1200" cap="all" baseline="0">
                <a:solidFill>
                  <a:schemeClr val="bg1"/>
                </a:solidFill>
                <a:latin typeface="+mn-lt"/>
                <a:ea typeface="+mn-ea"/>
                <a:cs typeface="+mn-cs"/>
              </a:rPr>
              <a:t>Total Monthly Salaries</a:t>
            </a:r>
          </a:p>
        </c:rich>
      </c:tx>
      <c:overlay val="0"/>
      <c:spPr>
        <a:noFill/>
        <a:ln>
          <a:noFill/>
        </a:ln>
        <a:effectLst/>
      </c:spPr>
      <c:txPr>
        <a:bodyPr rot="0" spcFirstLastPara="1" vertOverflow="ellipsis" vert="horz" wrap="square" anchor="ctr" anchorCtr="1"/>
        <a:lstStyle/>
        <a:p>
          <a:pPr>
            <a:def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Sheet3!$V$3</c:f>
              <c:strCache>
                <c:ptCount val="1"/>
                <c:pt idx="0">
                  <c:v>sos</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Sheet3!$U$4:$U$15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Sheet3!$V$4:$V$15</c:f>
              <c:numCache>
                <c:formatCode>0</c:formatCode>
                <c:ptCount val="12"/>
                <c:pt idx="0">
                  <c:v>132228</c:v>
                </c:pt>
                <c:pt idx="1">
                  <c:v>138136</c:v>
                </c:pt>
                <c:pt idx="2">
                  <c:v>68448</c:v>
                </c:pt>
                <c:pt idx="3">
                  <c:v>118123</c:v>
                </c:pt>
                <c:pt idx="4">
                  <c:v>131899</c:v>
                </c:pt>
                <c:pt idx="5">
                  <c:v>102806</c:v>
                </c:pt>
                <c:pt idx="6">
                  <c:v>131906</c:v>
                </c:pt>
                <c:pt idx="7">
                  <c:v>81090</c:v>
                </c:pt>
                <c:pt idx="8">
                  <c:v>148445</c:v>
                </c:pt>
                <c:pt idx="9">
                  <c:v>90857</c:v>
                </c:pt>
                <c:pt idx="10">
                  <c:v>85387</c:v>
                </c:pt>
                <c:pt idx="11">
                  <c:v>107027</c:v>
                </c:pt>
              </c:numCache>
            </c:numRef>
          </c:val>
          <c:extLst>
            <c:ext xmlns:c16="http://schemas.microsoft.com/office/drawing/2014/chart" uri="{C3380CC4-5D6E-409C-BE32-E72D297353CC}">
              <c16:uniqueId val="{00000002-0EFB-4513-BB94-5A357B456C8C}"/>
            </c:ext>
          </c:extLst>
        </c:ser>
        <c:ser>
          <c:idx val="1"/>
          <c:order val="1"/>
          <c:tx>
            <c:strRef>
              <c:f>Sheet3!$W$3</c:f>
              <c:strCache>
                <c:ptCount val="1"/>
                <c:pt idx="0">
                  <c:v>cfn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Sheet3!$U$4:$U$15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Sheet3!$W$4:$W$15</c:f>
              <c:numCache>
                <c:formatCode>0</c:formatCode>
                <c:ptCount val="12"/>
                <c:pt idx="0">
                  <c:v>31</c:v>
                </c:pt>
                <c:pt idx="1">
                  <c:v>28</c:v>
                </c:pt>
                <c:pt idx="2">
                  <c:v>22</c:v>
                </c:pt>
                <c:pt idx="3">
                  <c:v>26</c:v>
                </c:pt>
                <c:pt idx="4">
                  <c:v>25</c:v>
                </c:pt>
                <c:pt idx="5">
                  <c:v>23</c:v>
                </c:pt>
                <c:pt idx="6">
                  <c:v>29</c:v>
                </c:pt>
                <c:pt idx="7">
                  <c:v>19</c:v>
                </c:pt>
                <c:pt idx="8">
                  <c:v>32</c:v>
                </c:pt>
                <c:pt idx="9">
                  <c:v>24</c:v>
                </c:pt>
                <c:pt idx="10">
                  <c:v>20</c:v>
                </c:pt>
                <c:pt idx="11">
                  <c:v>21</c:v>
                </c:pt>
              </c:numCache>
            </c:numRef>
          </c:val>
          <c:extLst>
            <c:ext xmlns:c16="http://schemas.microsoft.com/office/drawing/2014/chart" uri="{C3380CC4-5D6E-409C-BE32-E72D297353CC}">
              <c16:uniqueId val="{00000003-0EFB-4513-BB94-5A357B456C8C}"/>
            </c:ext>
          </c:extLst>
        </c:ser>
        <c:dLbls>
          <c:showLegendKey val="0"/>
          <c:showVal val="0"/>
          <c:showCatName val="0"/>
          <c:showSerName val="0"/>
          <c:showPercent val="0"/>
          <c:showBubbleSize val="0"/>
        </c:dLbls>
        <c:gapWidth val="150"/>
        <c:overlap val="100"/>
        <c:axId val="1854535520"/>
        <c:axId val="458982976"/>
      </c:barChart>
      <c:valAx>
        <c:axId val="458982976"/>
        <c:scaling>
          <c:orientation val="minMax"/>
        </c:scaling>
        <c:delete val="0"/>
        <c:axPos val="r"/>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ln>
                  <a:noFill/>
                </a:ln>
                <a:pattFill prst="pct5">
                  <a:fgClr>
                    <a:schemeClr val="lt1">
                      <a:lumMod val="85000"/>
                    </a:schemeClr>
                  </a:fgClr>
                  <a:bgClr>
                    <a:schemeClr val="bg1"/>
                  </a:bgClr>
                </a:pattFill>
                <a:effectLst>
                  <a:glow rad="25400">
                    <a:schemeClr val="accent1">
                      <a:alpha val="40000"/>
                    </a:schemeClr>
                  </a:glow>
                </a:effectLst>
                <a:latin typeface="+mn-lt"/>
                <a:ea typeface="+mn-ea"/>
                <a:cs typeface="+mn-cs"/>
              </a:defRPr>
            </a:pPr>
            <a:endParaRPr lang="en-US"/>
          </a:p>
        </c:txPr>
        <c:crossAx val="1854535520"/>
        <c:crosses val="max"/>
        <c:crossBetween val="between"/>
      </c:valAx>
      <c:catAx>
        <c:axId val="1854535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4589829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[DAshbord HR.xlsx]Sheet3!PivotTable10</c:name>
    <c:fmtId val="13"/>
  </c:pivotSource>
  <c:chart>
    <c:title>
      <c:tx>
        <c:rich>
          <a:bodyPr rot="0" spcFirstLastPara="1" vertOverflow="ellipsis" vert="horz" wrap="square" anchor="ctr" anchorCtr="1"/>
          <a:lstStyle/>
          <a:p>
            <a:pPr algn="ctr" rtl="0">
              <a:def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400" b="1" i="0" u="none" strike="noStrike" cap="all" baseline="0">
                <a:effectLst>
                  <a:outerShdw blurRad="50800" dist="38100" dir="5400000" algn="t" rotWithShape="0">
                    <a:prstClr val="black">
                      <a:alpha val="40000"/>
                    </a:prstClr>
                  </a:outerShdw>
                </a:effectLst>
              </a:rPr>
              <a:t>Headcount by Department</a:t>
            </a:r>
            <a:endPara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1">
              <a:alpha val="88000"/>
            </a:schemeClr>
          </a:solidFill>
          <a:ln>
            <a:solidFill>
              <a:schemeClr val="accent1">
                <a:lumMod val="50000"/>
              </a:schemeClr>
            </a:solidFill>
          </a:ln>
          <a:effectLst/>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Sheet3!$S$3</c:f>
              <c:strCache>
                <c:ptCount val="1"/>
                <c:pt idx="0">
                  <c:v>Total</c:v>
                </c:pt>
              </c:strCache>
            </c:strRef>
          </c:tx>
          <c:spPr>
            <a:solidFill>
              <a:schemeClr val="accent1">
                <a:alpha val="88000"/>
              </a:schemeClr>
            </a:solidFill>
            <a:ln>
              <a:solidFill>
                <a:schemeClr val="accent1">
                  <a:lumMod val="50000"/>
                </a:schemeClr>
              </a:solidFill>
            </a:ln>
            <a:effectLst/>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Sheet3!$R$4:$R$12</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Sheet3!$S$4:$S$12</c:f>
              <c:numCache>
                <c:formatCode>0</c:formatCode>
                <c:ptCount val="9"/>
                <c:pt idx="0">
                  <c:v>39</c:v>
                </c:pt>
                <c:pt idx="1">
                  <c:v>5</c:v>
                </c:pt>
                <c:pt idx="2">
                  <c:v>55</c:v>
                </c:pt>
                <c:pt idx="3">
                  <c:v>24</c:v>
                </c:pt>
                <c:pt idx="4">
                  <c:v>71</c:v>
                </c:pt>
                <c:pt idx="5">
                  <c:v>65</c:v>
                </c:pt>
                <c:pt idx="6">
                  <c:v>10</c:v>
                </c:pt>
                <c:pt idx="7">
                  <c:v>15</c:v>
                </c:pt>
                <c:pt idx="8">
                  <c:v>16</c:v>
                </c:pt>
              </c:numCache>
            </c:numRef>
          </c:val>
          <c:extLst>
            <c:ext xmlns:c16="http://schemas.microsoft.com/office/drawing/2014/chart" uri="{C3380CC4-5D6E-409C-BE32-E72D297353CC}">
              <c16:uniqueId val="{00000000-9AD8-4310-ACE7-81AA6B5F9EC5}"/>
            </c:ext>
          </c:extLst>
        </c:ser>
        <c:dLbls>
          <c:showLegendKey val="0"/>
          <c:showVal val="1"/>
          <c:showCatName val="0"/>
          <c:showSerName val="0"/>
          <c:showPercent val="0"/>
          <c:showBubbleSize val="0"/>
        </c:dLbls>
        <c:gapWidth val="84"/>
        <c:axId val="664576000"/>
        <c:axId val="1899202832"/>
      </c:barChart>
      <c:catAx>
        <c:axId val="66457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899202832"/>
        <c:crosses val="autoZero"/>
        <c:auto val="1"/>
        <c:lblAlgn val="ctr"/>
        <c:lblOffset val="100"/>
        <c:noMultiLvlLbl val="0"/>
      </c:catAx>
      <c:valAx>
        <c:axId val="1899202832"/>
        <c:scaling>
          <c:orientation val="minMax"/>
        </c:scaling>
        <c:delete val="1"/>
        <c:axPos val="l"/>
        <c:numFmt formatCode="0" sourceLinked="1"/>
        <c:majorTickMark val="out"/>
        <c:minorTickMark val="none"/>
        <c:tickLblPos val="nextTo"/>
        <c:crossAx val="664576000"/>
        <c:crosses val="autoZero"/>
        <c:crossBetween val="between"/>
      </c:valAx>
      <c:spPr>
        <a:noFill/>
        <a:ln>
          <a:noFill/>
        </a:ln>
        <a:effectLst/>
      </c:spPr>
    </c:plotArea>
    <c:legend>
      <c:legendPos val="r"/>
      <c:layout>
        <c:manualLayout>
          <c:xMode val="edge"/>
          <c:yMode val="edge"/>
          <c:x val="0.89737487862200971"/>
          <c:y val="0.33524282881577294"/>
          <c:w val="6.827857768527755E-2"/>
          <c:h val="5.93122935586850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[DAshbord HR.xlsx]Sheet3!PivotTable11</c:name>
    <c:fmtId val="13"/>
  </c:pivotSource>
  <c:chart>
    <c:title>
      <c:tx>
        <c:rich>
          <a:bodyPr rot="0" spcFirstLastPara="1" vertOverflow="ellipsis" vert="horz" wrap="square" anchor="ctr" anchorCtr="1"/>
          <a:lstStyle/>
          <a:p>
            <a:pPr>
              <a:def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2400" b="1" i="0" u="none" strike="noStrike" kern="1200" cap="all" baseline="0">
                <a:solidFill>
                  <a:schemeClr val="bg1"/>
                </a:solidFill>
                <a:latin typeface="+mn-lt"/>
                <a:ea typeface="+mn-ea"/>
                <a:cs typeface="+mn-cs"/>
              </a:rPr>
              <a:t>Total Monthly Salaries</a:t>
            </a:r>
          </a:p>
        </c:rich>
      </c:tx>
      <c:overlay val="0"/>
      <c:spPr>
        <a:noFill/>
        <a:ln>
          <a:noFill/>
        </a:ln>
        <a:effectLst/>
      </c:spPr>
      <c:txPr>
        <a:bodyPr rot="0" spcFirstLastPara="1" vertOverflow="ellipsis" vert="horz" wrap="square" anchor="ctr" anchorCtr="1"/>
        <a:lstStyle/>
        <a:p>
          <a:pPr>
            <a:defRPr lang="en-US" sz="2400"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066365579226247"/>
          <c:w val="0.89150118755982333"/>
          <c:h val="0.73410820452604342"/>
        </c:manualLayout>
      </c:layout>
      <c:barChart>
        <c:barDir val="col"/>
        <c:grouping val="stacked"/>
        <c:varyColors val="0"/>
        <c:ser>
          <c:idx val="0"/>
          <c:order val="0"/>
          <c:tx>
            <c:strRef>
              <c:f>Sheet3!$V$3</c:f>
              <c:strCache>
                <c:ptCount val="1"/>
                <c:pt idx="0">
                  <c:v>sos</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Sheet3!$U$4:$U$15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Sheet3!$V$4:$V$15</c:f>
              <c:numCache>
                <c:formatCode>0</c:formatCode>
                <c:ptCount val="12"/>
                <c:pt idx="0">
                  <c:v>132228</c:v>
                </c:pt>
                <c:pt idx="1">
                  <c:v>138136</c:v>
                </c:pt>
                <c:pt idx="2">
                  <c:v>68448</c:v>
                </c:pt>
                <c:pt idx="3">
                  <c:v>118123</c:v>
                </c:pt>
                <c:pt idx="4">
                  <c:v>131899</c:v>
                </c:pt>
                <c:pt idx="5">
                  <c:v>102806</c:v>
                </c:pt>
                <c:pt idx="6">
                  <c:v>131906</c:v>
                </c:pt>
                <c:pt idx="7">
                  <c:v>81090</c:v>
                </c:pt>
                <c:pt idx="8">
                  <c:v>148445</c:v>
                </c:pt>
                <c:pt idx="9">
                  <c:v>90857</c:v>
                </c:pt>
                <c:pt idx="10">
                  <c:v>85387</c:v>
                </c:pt>
                <c:pt idx="11">
                  <c:v>107027</c:v>
                </c:pt>
              </c:numCache>
            </c:numRef>
          </c:val>
          <c:extLst>
            <c:ext xmlns:c16="http://schemas.microsoft.com/office/drawing/2014/chart" uri="{C3380CC4-5D6E-409C-BE32-E72D297353CC}">
              <c16:uniqueId val="{00000000-9435-4704-AB10-D44AD6DF9438}"/>
            </c:ext>
          </c:extLst>
        </c:ser>
        <c:ser>
          <c:idx val="1"/>
          <c:order val="1"/>
          <c:tx>
            <c:strRef>
              <c:f>Sheet3!$W$3</c:f>
              <c:strCache>
                <c:ptCount val="1"/>
                <c:pt idx="0">
                  <c:v>cfn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Sheet3!$U$4:$U$15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Sheet3!$W$4:$W$15</c:f>
              <c:numCache>
                <c:formatCode>0</c:formatCode>
                <c:ptCount val="12"/>
                <c:pt idx="0">
                  <c:v>31</c:v>
                </c:pt>
                <c:pt idx="1">
                  <c:v>28</c:v>
                </c:pt>
                <c:pt idx="2">
                  <c:v>22</c:v>
                </c:pt>
                <c:pt idx="3">
                  <c:v>26</c:v>
                </c:pt>
                <c:pt idx="4">
                  <c:v>25</c:v>
                </c:pt>
                <c:pt idx="5">
                  <c:v>23</c:v>
                </c:pt>
                <c:pt idx="6">
                  <c:v>29</c:v>
                </c:pt>
                <c:pt idx="7">
                  <c:v>19</c:v>
                </c:pt>
                <c:pt idx="8">
                  <c:v>32</c:v>
                </c:pt>
                <c:pt idx="9">
                  <c:v>24</c:v>
                </c:pt>
                <c:pt idx="10">
                  <c:v>20</c:v>
                </c:pt>
                <c:pt idx="11">
                  <c:v>21</c:v>
                </c:pt>
              </c:numCache>
            </c:numRef>
          </c:val>
          <c:extLst>
            <c:ext xmlns:c16="http://schemas.microsoft.com/office/drawing/2014/chart" uri="{C3380CC4-5D6E-409C-BE32-E72D297353CC}">
              <c16:uniqueId val="{00000001-9435-4704-AB10-D44AD6DF9438}"/>
            </c:ext>
          </c:extLst>
        </c:ser>
        <c:dLbls>
          <c:showLegendKey val="0"/>
          <c:showVal val="0"/>
          <c:showCatName val="0"/>
          <c:showSerName val="0"/>
          <c:showPercent val="0"/>
          <c:showBubbleSize val="0"/>
        </c:dLbls>
        <c:gapWidth val="150"/>
        <c:overlap val="100"/>
        <c:axId val="1854535520"/>
        <c:axId val="458982976"/>
      </c:barChart>
      <c:valAx>
        <c:axId val="458982976"/>
        <c:scaling>
          <c:orientation val="minMax"/>
        </c:scaling>
        <c:delete val="0"/>
        <c:axPos val="r"/>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ln>
                  <a:noFill/>
                </a:ln>
                <a:pattFill prst="pct5">
                  <a:fgClr>
                    <a:schemeClr val="lt1">
                      <a:lumMod val="85000"/>
                    </a:schemeClr>
                  </a:fgClr>
                  <a:bgClr>
                    <a:schemeClr val="bg1"/>
                  </a:bgClr>
                </a:pattFill>
                <a:effectLst>
                  <a:glow rad="25400">
                    <a:schemeClr val="accent1">
                      <a:alpha val="40000"/>
                    </a:schemeClr>
                  </a:glow>
                </a:effectLst>
                <a:latin typeface="+mn-lt"/>
                <a:ea typeface="+mn-ea"/>
                <a:cs typeface="+mn-cs"/>
              </a:defRPr>
            </a:pPr>
            <a:endParaRPr lang="en-US"/>
          </a:p>
        </c:txPr>
        <c:crossAx val="1854535520"/>
        <c:crosses val="max"/>
        <c:crossBetween val="between"/>
      </c:valAx>
      <c:catAx>
        <c:axId val="1854535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4589829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title pos="t" align="ctr" overlay="0">
      <cx:tx>
        <cx:rich>
          <a:bodyPr spcFirstLastPara="1" vertOverflow="ellipsis" horzOverflow="overflow" wrap="square" lIns="0" tIns="0" rIns="0" bIns="0" anchor="ctr" anchorCtr="1"/>
          <a:lstStyle/>
          <a:p>
            <a:pPr algn="ctr" rtl="0">
              <a:defRPr/>
            </a:pPr>
            <a:r>
              <a:rPr lang="en-US" sz="2000" b="1" i="0" u="none" strike="noStrike" kern="1200" cap="all" spc="100" baseline="0" dirty="0">
                <a:solidFill>
                  <a:schemeClr val="bg1"/>
                </a:solidFill>
                <a:effectLst>
                  <a:outerShdw blurRad="50800" dist="38100" dir="5400000" algn="t" rotWithShape="0">
                    <a:prstClr val="black">
                      <a:alpha val="40000"/>
                    </a:prstClr>
                  </a:outerShdw>
                </a:effectLst>
                <a:latin typeface="+mn-lt"/>
                <a:ea typeface="+mn-ea"/>
                <a:cs typeface="+mn-cs"/>
              </a:rPr>
              <a:t>Employee</a:t>
            </a:r>
            <a:r>
              <a:rPr lang="en-US" sz="2000" dirty="0"/>
              <a:t> </a:t>
            </a:r>
            <a:r>
              <a:rPr lang="en-US" sz="2000" b="1" i="0" u="none" strike="noStrike" kern="1200" cap="all" spc="100" baseline="0" dirty="0">
                <a:solidFill>
                  <a:schemeClr val="bg1"/>
                </a:solidFill>
                <a:effectLst>
                  <a:outerShdw blurRad="50800" dist="38100" dir="5400000" algn="t" rotWithShape="0">
                    <a:prstClr val="black">
                      <a:alpha val="40000"/>
                    </a:prstClr>
                  </a:outerShdw>
                </a:effectLst>
                <a:latin typeface="+mn-lt"/>
                <a:ea typeface="+mn-ea"/>
                <a:cs typeface="+mn-cs"/>
              </a:rPr>
              <a:t>Distribution</a:t>
            </a:r>
            <a:r>
              <a:rPr lang="en-US" sz="2000" dirty="0"/>
              <a:t> </a:t>
            </a:r>
            <a:r>
              <a:rPr lang="en-US" sz="2000" b="1" i="0" u="none" strike="noStrike" kern="1200" cap="all" spc="100" baseline="0" dirty="0">
                <a:solidFill>
                  <a:schemeClr val="bg1"/>
                </a:solidFill>
                <a:effectLst>
                  <a:outerShdw blurRad="50800" dist="38100" dir="5400000" algn="t" rotWithShape="0">
                    <a:prstClr val="black">
                      <a:alpha val="40000"/>
                    </a:prstClr>
                  </a:outerShdw>
                </a:effectLst>
                <a:latin typeface="+mn-lt"/>
                <a:ea typeface="+mn-ea"/>
                <a:cs typeface="+mn-cs"/>
              </a:rPr>
              <a:t>by</a:t>
            </a:r>
            <a:r>
              <a:rPr lang="en-US" sz="2000" dirty="0"/>
              <a:t> </a:t>
            </a:r>
            <a:r>
              <a:rPr lang="en-US" sz="2000" b="1" i="0" u="none" strike="noStrike" kern="1200" cap="all" spc="100" baseline="0" dirty="0">
                <a:solidFill>
                  <a:schemeClr val="bg1"/>
                </a:solidFill>
                <a:effectLst>
                  <a:outerShdw blurRad="50800" dist="38100" dir="5400000" algn="t" rotWithShape="0">
                    <a:prstClr val="black">
                      <a:alpha val="40000"/>
                    </a:prstClr>
                  </a:outerShdw>
                </a:effectLst>
                <a:latin typeface="+mn-lt"/>
                <a:ea typeface="+mn-ea"/>
                <a:cs typeface="+mn-cs"/>
              </a:rPr>
              <a:t>Country</a:t>
            </a:r>
          </a:p>
        </cx:rich>
      </cx:tx>
    </cx:title>
    <cx:plotArea>
      <cx:plotAreaRegion>
        <cx:series layoutId="regionMap" uniqueId="{0E3C3685-7515-4DB1-B384-C9B97FF02DFA}">
          <cx:tx>
            <cx:txData>
              <cx:f>_xlchart.v5.3</cx:f>
              <cx:v>Count of Full Name</cx:v>
            </cx:txData>
          </cx:tx>
          <cx:dataLabels>
            <cx:txPr>
              <a:bodyPr spcFirstLastPara="1" vertOverflow="ellipsis" horzOverflow="overflow" wrap="square" lIns="0" tIns="0" rIns="0" bIns="0" anchor="ctr" anchorCtr="1"/>
              <a:lstStyle/>
              <a:p>
                <a:pPr algn="ctr" rtl="0">
                  <a:defRPr sz="1100" b="1" i="0" baseline="0">
                    <a:solidFill>
                      <a:schemeClr val="bg1"/>
                    </a:solidFill>
                  </a:defRPr>
                </a:pPr>
                <a:endParaRPr lang="en-US" sz="1100" b="1" i="0" u="none" strike="noStrike" baseline="0">
                  <a:solidFill>
                    <a:schemeClr val="bg1"/>
                  </a:solidFill>
                  <a:latin typeface="Aptos Narrow" panose="02110004020202020204"/>
                </a:endParaRPr>
              </a:p>
            </cx:txPr>
            <cx:visibility seriesName="0" categoryName="0" value="1"/>
          </cx:dataLabels>
          <cx:dataId val="0"/>
          <cx:layoutPr>
            <cx:regionLabelLayout val="showAll"/>
            <cx:geography viewedRegionType="dataOnly" cultureLanguage="en-US" cultureRegion="EG" attribution="Powered by Bing">
              <cx:geoCache provider="{E9337A44-BEBE-4D9F-B70C-5C5E7DAFC167}">
                <cx:binary>zHtpc9w4su1f6ejPj27sy8TMRFyQVSqVdkvy9oUhyxJIgiS4E+Svf1l2d49d9li3352IdxVhO1Qk
KoFEruek//4Y/vZYPj10v4SqrPu/PYZ//JoNQ/O3337rH7On6qF/VeWPne/98/Dq0Ve/+efn/PHp
t0/dw5zX9jeCMPvtMXvohqfw6z//Dt9mn/y5f3wYcl/fjE/d8vqpH8uh/8mzHz765dGP9XBYbuGb
/vHrxi7N8OsvT/WQD8vd0jz949dv3vj1l9+Ov+c7mb+UsK1h/ARriXjFESECEaS//Pz6S+lr+8dj
/UpJhpEmEn3+IX+IvnyoYPmLu/m8l4dPn7qnvv/l93//XPbNxv/8NO99/OXMsT9scXPy+Uy/favT
f/796AM45dEnX6n9WCUvPTrW+mn30P5x8v+50il9hTTnCiP+jbYZe4Ul01JQ/kXb+A+ZX7T90i5+
rOwvq450/eXDY1Wf3vz/V/Xtw/gp/+W/uoeP+cMfx/+fq5yAaokgCvR7rHLOFNYY/W7gRyr/7+7m
x6r/dvXRFXz78Pgqbv/rf8FVjJ8e6v/cHWD2iisGP0dmT/QrprEUWqo/Y9CX+PbF7G9f2sa/Uf6X
Zcda//Lpd+pO/heoe+n+kyZP2SvBEFaC/h7a5TeWT/UrxDTDB8X/Efm/0fpLu/k3Wv+y7FjrXz79
Tuvv/xNa//dh/8/MlzwMD5vPKfOryP/zp5+PB0n8aOnPMu8X9Z1+grRKIFH+mYgPX/H7ut8t+mvd
/vn+00M//ONXRl5RyRh4A5dIISTVr7/MT4cnlL+SlBIkJSKCCon1r7/UvhsyeCRfUYyxkrASMyQI
JJbej58fwffBJXOtmZIUwRf/WZ9c+3Kxvv5TD7///ks9Vtc+r4f+H79iROEkzZcXDzuVBHxYwBYE
JlwjEAe7aB4fXkMVdHj///Qj70IxRCTOaVTZeKVuNUOWIvpUl8s8mZpWpIibvCfVA67qHsWsL8Yt
Vbbw25Jj2xjeDLOLU+G8MnRQVdhUPoxD7CpUV7G3sIGz2UWIxDJr1KMKrk63oXPz2phxHFS012OU
D0Wc8SnnpxSl6T1h0ukkTB2aSzOsquk6k4tMZsaPSIQq0UOL23yz4KGtH0VVEyVM06lMV1s86KGu
L3El2XibyyGwwqhlCMOGDEKU0tjB2+qZVt080Vi32m3akQ5hV5Vy7F+HtB1KUxUZp0nbdSRURg8u
8GeKx0nZmAxjcBejDh26VhFOPxYScdwavhDKghlDXQxv2rIa61NRh5acLINcc4OLFJO41FOn2jga
1ZoqU0VL8cHasNyVheiv2pEZNqY4JnOwO1nj7LGPxBuf0svBTmaygZ+TcjhZEDJFoE9jnt205Szz
uK9La+qx9aZuMTLLoKtYFf4iItV8v2Z9Z1rVd+daY7rhPnOm0tE5bOtt6hjoNG/ai96x/VTYMzsM
D2G+XBq7revszFUica0cY6TS5TRvisx0LJOvxcDPta1jyNLnrFw268B20rtt2wsar655s6ztRQMa
JhdR5dv93PVX65KxKVkWVBo5ZzezrYutLdeCGj+M+xD6yzUlfNtLVpuUj+OGhcW9W5kPlyLj7HKc
8DkaRl2DYaRy2WWO386wSYNH+0ZkGd11WeRuKjJRMy0TMVanOzt33UkVFrsJSoFqGbsfoq6Jp0IW
piJZejI1kTPtkO7LouhgYU8uXCiF3uUpRefS1reI4IR01ZvGDTbRuq2N60aex2IMTRurtcnup474
vRCdNnhpVWZam50h/SSkskktuKwMy9cydnN3PkdtbFcZUxSRzZzuvVoubS0KvvGUsjtvdWQ3DbKu
S/A8FUaDIRhVNbucd69ztnZGyrTeTl24zKUTRsPtm2L1lxNFTQx3n2SFjn2X+R0Xy+up9TvZ5EMy
r0N9IjS7x+W8rWw0mCqt5uuuU43xFWYxzgTYQs69iTjtTrlrpsW01TJelEog+HDZZ+W4nqW1oNt+
hL9kL3lqvBDXY5QW0Slq8SWt09roxRYhxnnzEddDQuo2/9gFx5pYZ8Un2YyuiQe2PvQ9p+fD3ISE
akn3uXb5mRQNuxD5jAxzYdektC2NHts+Vm4lWbykrDFrM3fbvh6zeK3oRcGxMKKI0ot+ZDom1cIT
OJW+Jrll00YXWPgt68ODw+WnmeJ62wwVvmSKlPWO+Wg591ODT4qyDnm8ZLC6rRuZzDOKNnMUWbKX
lgz2ZBVZHkcV42auh9OCDPOmHgm2W0KLniZz3Z4s1cTB2epxhEigSKuSVS90MsTZaTyfaVFUV1Ub
PeNovOqz5lmkgvQxzSNBrxc/3PVhUkmWhTsnmybG42qgr71HrS9jBbH2HPF0bzv2bpF1GX2saEsy
I5TplD8tMJpNrlCFDE5r+tjrwRs01+oyRJ2+gGr6MvcQCl2uy8mkPrpmItt3eXOZ1z07g3huxqZk
V+VUwEsqGiGi6dKgaWAmQnCbVoyQCSh+rguvE1EqZ+jUPnVzlT53mfxQ6mhDJz0ZTV1lVtSo7RLS
t+m0XGCHotMwVOs9qYkzKNXtaTHRS485dXHmmadx31TuwadRfWXr2SaYV3nSsXrn6uKaRtPl4mxH
jHdq2E4ywttoxGBZo1fx4DplmpxbQzQvTMO7pHHzGS7Wi55NdAP+BI9EQG9x2+Yx030W3WDb8jNo
MEoINRZOXvhbOaSJWhH80u8c5y7W0ZiMKpvjuUcnlDX80kGyPG3SoU+EyNS8a1oIGWKOngNvY4g5
PFl7SBjW91WcL/I2pdl7ns7vJPfyfNFvhrrdedVuw9Q2pi/78zVN46VYT0ctxndVkSIj9Xhad+d8
PQ3am6lsr1y7QDad+zamHGzft29sh4YzmwYVY6H0JiPNWehdiMf8ESLdaIrM8ougCXtNA7Of6PRU
NuWGglcTE/W9u84hOCyuvNHDbDgOJ0PqzqUkWYKa9ipfWW/KSqAPvG9fL7o+LzP6WqiHZuDTuUVF
Evpu163pVdv2F8iP/S5aqjQWvi23DGf+o7bjVSP5fs7wRTXg/VKUN46coihsQ5mbNt1jO8SB1lAH
+CRD80WUj+d2wWNc4+h+WfilaKKrdsiq2NbdaUXsEwTf2Z7KVNQx4dlVnrNy2+niXEXPDb4ZPSSV
vtxCcfB20mtkClE0hqZ6oxunjczdCavyMk/m1j02ECd9c0foRzUXZsqY6YpPY+ONDf4KaoMtCnOM
uos0p3FgUFjU9i5nkPkUhlA0mCKycd/jOMrynRguu+i2irq37Xiak2I3QqrWfZrY9UmJKO6aMhYy
SsbQbsti3lX1eClWCD4f1j6PR4goUkBuFzKW6pJIdgEuew31ZFxWUPJ0ateurZnHGdIABOO8SFzf
nNh82vck7Abcngj5WHb8SuX0Oqv8xrUqrkgPZtRAffGeR+cVZWuMW4ShJBiTddIX1XiIim9dKRNR
4aTUG8I+dYhAnCL59ThloC+7D74p4m4Vmy6lMY/6jYrac102waR2niZI2trfrID/sIztCSbbjED9
EfRVo9K4d9VuFNdtnxUc3AE7kxXkovYjN+2swVYQaW4K7aAWgRpZxTPv5lgUqkugraQ7lFanKz3h
S23CRE+ysk9wA9ZSLo+Nt9N+HkuXyDScYMWv5pANRrQ4HeCyG0jDdu1v1jYip5zN9d5HPN/ZBepS
NW7ntu8vfDGA79fDu35h9LRovMyNkGvtjEjz7obM+euqu5JZ4XdThdtkbNcrovoz3E1nZNh0VC0J
kR5NxlUSQqR3rzmtmjeB6mknLNyAk1Oj46KtEs+e5eKutQ6nFpaYmelkrqpbC5VIvHA+7qZ6yeNs
wdvKdWedRsLMzXKuUHbb0hIlHPId+N9pWZ74oaBDzOZmA39i7up3rJ6z/Tz3YN0stbnpBJQ9BQos
ViR7yIg4lbJ4620G5eFMb9Ml22S5PqFtbhbZnzJe3hGQXHd5ZyKBTgqi3rB8TPQyZGYll2y4acnB
4mmZNCPd5rWMIRcnVZTHs1/OcY4WuF9QjHG+OM1kVEDGiKtG7fLcL9vVDpsUiuMl57GewVjzsCsF
SrISDSZAiTdXdZKl1baJ0DuaQ60ZcJIuzW3F/GURltlEkt73qHt7WCW68g0K7jYvog+auws5Da8j
jJ6HaLqfdVuYDkoCo9MpHlrHzACV1NU617fNkm7bsthWob1AJd5HtNrLHEOuR9agQG4x6+8DqhPq
P/YluJdkoI6iOkOlAAsQH3Af3utxfq86eWFHtBFrTU0e9DYi9qTOm/vg00s28t3ordgWo66gGan5
xg6I3s+Sr7EQUbrhii+wtoWYi4KJJpTHPHPlKcnZRmZrjKIxa41txJJUlsNFrsrw1W6hKcjjNoQT
pvWHYcq7s4yEdpd2OGmgom/nZVMu+WYc2s1Ayxub7nVN36s0nDmwlSHYTZVmUCJlCDZLNqLs9Lbw
am/rykRV01qjw46P0E4V2ftVicXweul3dYMeCKJJILnx2ZIoiI5FOhmWiiTrn7OB7b30SdTqB9lH
dzqVd7acToTHpq5KHk8ifOTuLI2INqzpMkNwltSZvhLFFJJKV0lK17NCI2NXzvfR7IozEaC6ZrzZ
aUogClGolHfZ4EhrKH+HZnSim2VDSLWVcyP3mZ+3Ui6vc5mf4p5drll9nnbQPUClAlFm0/b+Q+nE
poHMPqNiQ2SfyGmKFS/Pm5Tvs/XKo8ZI9g4xtKHDs/XRZlzrm3yZ4rwZjfcdFH9DEkBHrL5C1Wiq
evAJh8o4naGqsuhmJWLH+bRjkN2cVSZyQ4Kq4oMvu4tIRG/64UrW4bbl2UVvoVmxDzPUk0lY9NYK
ceGyKSmG+Y2faBtnJWSP1UXurlkU5AfarTju7WXRZzZO8+hZ0LAhqqviqVu3aW+XM4EDL5Myg74K
mpe2fHRWs/E8lRzKPOQ8dDhp1y/QDVFVvJWjkxAIWYBafFx9+lhmeVQaq8awvs68LkNc141mJ5Km
0PWs1YKeZF+QRzwP9nWX1QwOjnPxkDVd9UGjvmIxLYfquUtrCOttUUB6qahebtlSSmqQXZb2Ipt1
cUqHZumSyC61iyfN2x4if1RE0No4fDVBDxeZheNexIWgnY+hyuoeEPSIUOVlqqSxTC2LjEvTPjK+
nJZDq2XtDDmryj6UylfQlLAO7SlfJhGjcRSQrUviglFFH6G4asfBbiUd5Qb5NGyl6FAdO17zbEMy
fClE8G/putCLkWToA221dfFYIej5S7Li0oRoWbpNG+pN1kGRnNCMDTlsn3th8rH0Dt6IQm2aqks3
dSTq5qwG5UJ1NRGkkohycW/7VULo5qO95Pmk6mSkGErAmS/dO1aNoomrrkyzhNCxF1s35fZ8VXMY
krQt8kvY2Hxno7E5n0lEnSnaVd5WUoLR5FPt7orQuDvXan6/6nR+jjiem2RFnS6huatdHiOMqtmU
/aGzmAOC9MpLXtTblpVQwBHPVqjcmU3XpG1lm8V24tWYSAgYMmYTtJvQKHfidVo2/E4V6wSRZZmK
0uCGz9F50euqjIcgudj2op47cLq1chu61kElXOR8NsCX0CvGmhK8fxzllWrLADBT48czqCwViVcs
Rx+7AMkyZmopD3F85oOxOS5u8cA1g5JA8xUqfr+upleTfchdFb3BHQBkJ6V0ObqdZ54foh5D7+ew
Yh73pOiWZI7WR5/zEgzQVTk3QJbVUbzMC+7ir8HNb7C2Rw92m9vsdzrwz1//efEHx/iZy/rX5wdC
8V+/XTVP9e3QPT0NFw/N8ZsHNPTPV/9Fih0wyD8ZsiNM8ws1+W8Az58+/O+hoQKQ538Phn7DIR4g
xsPrX7BQKl4pDW0mUgTaOoA+6R9YKPA5QnMmFaOaUiDSAPD8AwvFrwAbBXqNKgScj+aw6HcslOBX
AINiqiSg3hwDhvpXsFAAYr8BQhl8h2DAaEisKOEStv01EKqixeOOCRvPihkV6K7y5b5pM/CxxrCy
37b53VeK+QH6ClzV9xI1wLkglcL2gaz6WmJTZSrrVmmhWFRnFPmTCrL8z0Vg9L0MoHyBFAANAlOD
QXtfy1hK3JRdnULu6B6z/qpMqclEc9aIxlgbJQxdVsTH1fL8V+Uqqg+MKBIgXDJ1BCvn47hkDoHc
eqCJS/1J1OFLb9WZAACSAhZXNDek5CdKfPi55MM1fY1ngy6FwFRSQJVBpeRIMKDJHjIOcTFgCikE
CigGqGw25TTdAbo2JxKn/AUlf2c5IFIrRUDFBCvCju4xn7iq7Agi+2b52Icw7WWhBpON0fWE5H2n
mX7dV4UzPz/pD8RqkKm14hyIH3IkFgGEIH1eZLFfbYHNjMlHl479Jg3udHYzIGp7Nsvo8edSvzNa
xUCqZpRxIoGEONJvi6EJdADuxWXEehoDBlO+XUoA/bc/lyO+v0cwICB5BcUcrvLIHYUtRde3dRGn
fWlaj7cBcCOP6rN5sS8oEoLLkclwhCH3QpvJIfkcm4ywE5W8BZajloPJ18tAwOHXF4R8r7eDEKBY
qKIIQ//+rSM2a1l6HEVFnHf5Nh8kdMhzmDY/V9oPT8IFIRRYQEBzjoRUoSq6caLQtWc+3UZTaExY
mwdaoCz565IYAKQKM3mg3I8k2UIXBHwczCBDMcTOeACEEpzvhQP9SGuMc0gXjIAdHIL/1+FL+kIx
0vgitiS7k7y7bcvmBRH4hzLAiwgkJorosdKiGY8NCnAzUw9VgEspuS5TwMynzt+uqEoAjdQuAWhq
Smik3a7TSxeTekSvSTcBpRMGPmxCuvgXNvaDyyRA+TJKpKJUoCP/riJMbW9VEa88NwQahx7qdAY8
2M9v8jPD923E5JB9FOQ+rbTQx2loQA0e+nxwMQ3zR6jzwtYOxR3SJU+Q49GGIP+kpRfveWVbk3kB
UAFpx36fc+TOW9vmO1YEftoeOgo50udhpJ2ZS5pB5TmiTz/f7sGwjndLqCIajBxpcNdvLUJIy0rN
JGhluS3DJ5leljG5Wej9z8V8TozfyWFAHDAsgXQHnvUby8MacDIXAJzmk9iPzTQDclSFS+WB5ojr
rp/auOuxlGYhYRaGhm43OjJuOsCaT5bIebFBZftCUPw+5EPdJDU+VESKyOOQXzU9QcvYQ3IDAFJ1
i70Oenpww27kp0M1Rztg/6IXstsPzJBSDdMcFEEBpr+LjlFVQ7jHLm6Z3PhZlSbL633qh/3PNf4D
N4ScAtFEwdHEdxEl5E2/ItS62K21tGaoUiCpvEpf/zUxAoog+H5yyJwwCXdcEBU4IniswH6axUZX
OqNpMs6kf+Ewx9nrWMrhsF+x6qsDzraqMziMb0mSUQtwrl/FGTCT7QaA3fEFwzi+pGN5h+dfycuQ
zu00wal4d8Hw2dq+wS8p7ociKPic5FBxC3bkEMKjsRs0iNDluahXUykAhVj1UjQ6RLWv/Q5OAiNF
AtxOM8Ihv3x7EuLc6Ioagd9xO5/3NBInZdqE95PMpkuEuh44wx5tcwDFQxWuewzBcfXj2r+wkeM4
83kfGAY2Du5GvzsuAM247tXiYttnJ1MNpJ5KRwh/iG8GgqZNof0LNvM5Z353dChEIBhrmOA8zqmK
zzBJWE8uZnIEqK+p0psKpglMKmhp1nwqbtNe82RxKUtaOiWCRmQbXHbtgBmMUXG5ArlE5Q3Gor0b
2vTy557zAwOAQRYFaQJaJBgWObIxvjLoTxhMerB07h8jRd3W6x5SYZoG8YL2X5J18K+v7LlV1HNS
QPRdgK9bEP0kACwLuX/hSAeb/U7jXx3pqIpBopqzeYXKfbZandu62bscsBjBrhadv15IRszgxwfZ
+TL5uTKPo91n8/rcvUKtBrX7keQ1dwOPaAdmLoBoDZ1wZx1RL8VU/J03QfYiGqaZhTwcUx7pEXIw
GmxOoKypsmDyqtoBYhYZDtAKb8S2K+y9n+1Op/V+GrOTUmcvBKbvGlAo3WEeGdgcLbWUSh1FQhtV
XVgV6+Jg7Sc5sMuSlrfIo9yMVXaFu+EOjSTpc2pIl57+XMnfWdGR7COLHfykkeunLu7o4zyVhkS5
gSGQF2wVk2MrOhJzpGTczL6doZWPDzi8lONORvnDADCHEaTZi8pu3LSctuV4SmXEzAQTKwnup5Of
H/a7gHXYhVTAdxGmKD9uMJxsewRTWh2w4cV1m037PIo2EUBmtEw3qa/+coAEeYc4oKAKQ4CcHClX
yXRxNPAuzoQzEDJOQqiBFN92ggO77f9flCwJgdNpwI+gkfo2ImTRNPW9hbsE9nCXNfkehsVuep3v
a9beYACdG9E1Bq/yvMlTYgA9J2bpXorRxwXYwZolQzBGJ6Vk5LgAc7kEJhZI1xiIBjbeDT2BGLVG
vbyKXMu6NzUd5+a2ZNQDxV9ODX/980v+LmxAI6wA7wIADfpwJo+q37oP0ToMUHu6dT4HLVsgjrO/
iKAcmm1IQJxLADQAkjvKwL7IK08C6uImlO8BqI5tk12rQb8WyL8b0uWF+vKHR/pK3MG7vgr1s8vo
mtmiiwsYAQDqo92Habz9udoOHvhNnD860pHagmIZgA1rd8isHMY1AJeu5WZKwRshJrxwIAyp+lge
NMYUiheAviigbse+kfJIZWWVRUDHtigOQL7ghI846p7HVSyAlpeRipJeRC7d6CH1tx5aT24GMXJq
mjVtlhUw+oKLWKmiuVI2HbO3mQXW6jIvcC33DYDuMK8zLHy9JasMl+WMo3dLjeQZXdHqPvR9CySC
GJi/mj00LTDil/rMLEVxAOt7Ne5c13bXSi4VwNMqJ1cpmjp3r/FqMYSNcT2fg34ti0JtehnJewmD
RTcz0A/qPCf9rHbLrKP3WMOQ8Ek/9/6mQzDDg4G+SY1Yp/AGzWSCkmRVyxVDVXUa4P9JbFBL0ucc
Eus7W9rmgngsLwsJQy3AmTU75twz5/3KTmGWRc+mmTBeYputtk2CF1k8dAy5zVJaK04WAp3oYVqE
tCcw7gSNWKfdQ+lUt801JvsaRkjnzcTRgTjrs+kdajQZTJ8CQ0gE0HRcNWu3nwaYm3BDsS3JkJ3N
PE33LXbTtnQwA0PaTrxFkVu7HV8wOke4Zjc6VDSBkZ1bGHgdLluYvD2dYcSSJDCFBFNx2RaYmjoF
OhIok5T4bDPPdTbsIp/6+WPPy6WKhxF4y2lkQ1LRXF5100CuYQKnGTcVBxZrhBtN8BKt461Na3LP
h9DPAEnlDU+C4ro6BeJoPcOuQca1pALFVZvBR2Nuoq4NhvYou56rZT+zYojXeoTpT9SeVI2T74Qv
+2eYHqKbZeoucG9hKrdZYQRnaa+r0AAfrABmCGV4VqI60L6ugnmtrI5SmAQ8aWAEkKA5MmvJxKem
WrIiFrU1rljLJMpnsZFAb/UwZWnpZVsRd41lhG7gvoarkOcIX+h2/cgR8DYILs2a3JagZ1YLbxxU
1FTXz3QKC1Sz6tofcCUfDbEtssrMnpG4bhF76/r1o4RZgfdFSetz3APFndaHDeauOZ28aE5zL4E2
FTY6JQ15bijrOMxPAbVeuXzTWBjNk9pEpbsvgi2NaPypmqIFEFv2Os2e9NKr+kBcRu8C91eLhzuG
wIRNu9C79UBNzuvS7GVTTTG8FO0qucz77pDwI5jqPWvgVZ42I7nKdb9Ad+KXeB0zv6kDwtsCT1cC
Ml3ciwXvZiDvTDmflaHdrCW6K2k79Qa8zsbcHmAvmLNpacg/1D0ULz2QcTHMJz9S1BWbNi+bC43x
uofSyV2V4GGf5jCiNaYCJnLS7sNaFmcAzOE5holoq9/JsJg5ra7KYb2v+Lsm3cwjnu89mEd9Q1QW
/EbNY72ty3zcZb0mNThm7W7nCEgTg3BLbkf0zFZSJkiNich0okqYGCDkwUZgZgEjGE6NepTA1Q93
Dnr9s77oy/s+ZXmC20JsACPP3H6A0NZOeWbGqN2OkSCPPYxAbvO216cVTAvJjYUpOuTwRdewjS0H
s2QwCG41f5JTftaXfF9ndjsvDQwe9+BAjm0yBXPhm6nkA8x0kHWK/y93Z9Zkqc116V/EG4AYb/oC
OGPOWTlU1Y2ippRAQggBEuLX9zq23whX2p8r3H3T0Q6Hww5nFQeOkPbe61mrSDSAgp6HF2albjIQ
ShCM5ypyndm1PQC9Uhb49W47JJwfk2Laqa088R4Qdlh+Tpd4D2ytmXFAyK3d20SBGV5e11w0Ydfi
cl0jIzl/X3oGBsqHxynKdnOid9m6HPVy7MhaRWBpHbDMydIGB0Flh8HNR6sz8jq6aG2Umj5iH2vK
TIb2HHp2RrNr0GVub1kB0qfVutIyf5n1am+7DNsCy0A4jptY9T7CLO8roE+HIiC+C7AuzolJtptQ
kGzctx1xcVVsaJwsW6ZvUzd+K1j6sIVSHosuY301036808lMdzboIrPLVPGBMHzTU5rwu27ZgqEq
3LbtF0PHx1XMG75vomU1+Di8jyMp68Qn4uu25fRkPf1eTBGYamazl1AxedwIv0kUvZ558KLS5GM3
2FoXnQdtUNxnRK27fCIgs7bxPhV2fBzB+lQApbC9qsC1NRvXEeuJLWV0SsfI9Gfj1+ShLzGHjFYK
oISXYwKQCefDJunrrIa4psXSyV2vRreeKRqbQ2nZgUK6r+gWLG9Jr8HvdL71/EnNyt+TUKyHIOiD
a5ZJmh22qc+vZiV40PhiK+oWhMONTOIzXjl2XRRDALaY1XrCvJt3a+XgeKi2KPo2LetraNdMnyEo
JLvFOvqtzP06VnQNtwMIl3sJSAwdey8aJ4DdksEfUNY2wbo26BeaQvhzAbpYGkA7CphjC7jCel4D
SF2PbR6DmSoNyPidWYqhzlB7vAJaHpJzKJVJHidGyA8TjShxtFsAuwB0MNkNCfkNRiSHiU67LXf1
xio63rb2tp0wOdQlgAvJB/BliZkAIqQM4FE2PhpvlrPkxqVVSNoe703RfSwY9/I88dVHoHQAxfB+
BXbly1XihcYrmtIxNieTnjpGzEu5ivQMZwypllDFQOWVkuXVygBEjZhQVFjMYVfPUygq5THJwTg2
qzgH8uPY9lTYZcAN6nF+3uAkwMzJ4Gr1VGRqV7J8O1K25A1Kn28sJOrbNGx2qodIf8RO9QWzbo0p
4pxMTbmW/oHFgTtuWT/eygDsfzPRELT3RD25DYjsB3A5qzfYYoSTjfEirtauGHTlIyrQNgbDzZr7
sBlS0j0Hwgyu6m0HmK1c8nrAIAHwR5ia9hiPMJHUhpWAdrax+Dwa7Q4reIUSR0q6siaeCjdBrlPR
0ti2HNNapsNrqda667KPU66zhsggB9di1+s5Dk6pHj+sRTR8bvN0PshkG/c6C6IcT8+53dw6d9tn
vb/nCi6DNixfSTfDe5EHx1UNjjcrT/tDrkVc46fYXbQOA6BT7NQBAa0XWdpvVTxseg+7zvOUAsps
RqfDxo9ldzP37VB1jLGPLB5QoNAWVpqqH496Vryr4nT7lHh/q9ap6IA+kiMvdB0Q1kqI6Ha4n10x
X1Ng0996T1QTqtIVGBmtDzShh9wOV1E6j48DZ23j0aw3M0/EsV84v1aFO808JBFGjWy3bf0n0y0n
p6ThuxEuD1o8Ka2mO2Bnr8ARWcUU2W+pnjAZXFMI3hhOBomw/Ue24alcycmKg8b5UGNPo7fwu+TH
ZLN3Zc8/FCIdGhgdUB9aYUMAv1n/SCJr20rgXaoGlMABYKLksRtjCVIyCM+JH8wVKMvpo/TrI5PR
A6Hra+DJweVyZkcpseXIeZcSNbQXhDj7AssTsTtqCOkrEUbg2lscNjM9mS2x9+08TLTq0oCW4O+V
+eq4Gl9nWphHjcL3bpzUXLtp00/Lpq98YHvTDE4/tm1pm3ieD0TMeTMMWrxtIP0WataPWuc9wOgW
w9pRJi887dYGFvIv+dL+6PttvQZIyPSubOErMPly03axO0QrbmJQcbjnon0hZBgaI5a+cSuMMtTC
arQ4ecXSIb1jsosPQOWXKrEoxyff3rIwvJ5NvCu3CAdbPrkP48bHpmvXVVQBfBXd0H7JDK8zq/M3
A/oZjYxmd/1SnLNW7HSR7dGc1hm07GQZgsPcoR6QIxmuXUTU0Q6l3WcFn45ZVADFKsAMl0Hescph
G2gCvV3ex3rg2b1fy8qCHbzJZSahGAkgounaz4dSoL91WuLgjiH92iuS2oHXq6GHbM1g04rmt7Ub
MPANvQGoNqxhfxBk9qzO0ZR8W1hOK5e6uE5G7j4bikoIwNHXLAbLtFDYDQY+PZbl8FmNQG5tyLb+
GmYy4E8+BMwfUy5OZomWm1GjyILHY70rjWJNkep12HdltlbZElrRtCJk0OEwLwTXyu1ORxlgLahN
SYv9NF+NGet1o+otJjw4mVWXO9uNXYJjM+fzriPYVfvSYDA1tsMuhicPkvDc7aJ2+qou2NNM21cB
ZLbqHCoq347YxIEk6r00S3KMcyaAbIoWuLdYX1RSigqOmVu2irchXsxDl81K7okrJYh8HJPHGdso
r9sF5FcdzRjDNJkbB9bgxVFfNgf31BldM2VXdou1ul5V7LcBhT1RPUwXbflY0guigRaTrc0SFVbW
LZ17cSzdYtaa5KMa86rEmTnfiH7OoYbRtZybC+YvsFuXIns0mN6QPRQXGzWtD8vTuhIZn7VOfHif
RJmiQPfV5I426YsU8P8cNDzPot0iPfGvrUnipGapwwfognKqoN+wSs9FXolZge1lWUjoazz0tj2E
CQfXHPEIRhCghfrLmFHDqk4IhfIoDeWzn2wud271/hnzfUEOo/blDxYLOzc2yfW17Qi/h3lh/lBm
bPm0xClVOwa33HqtO+vO+Mko+OxYwfpDx03xwvvN+toPciVf21aX92g7BuzKugNbh4Ikdy98idUO
RHgZV8BGffFiA6boHdd2KkAYr3l73YEwZLcD8WHaYHvS2JJ6XeFImq/1wKPjatyjU8N2CtSY4l7M
DwMfJFya8JqCcUSjVUH7NuTcCzWWr4Oyy3KFcbRUdaBJeRAiLQ8t6rH5uG7wn2HAo6pYp0zscHjT
DKuxvPXJDPOHi764qLtSASw9VI2wL0QBcjQq7GzimzPMPLeR49faeImWK1LYBhf4MdJhTtbn1pLU
2YOmT0H5oW3NuYXda1o67CpbrTNa4yTZ4+DTlt8OHEBX8qNl4wfT7Qk9Z0UcX6M1Z2ecprYBYQrn
2SEKH+B+25qVhRJ2VkPy/si3Jk1r1jo0bMEESp3HsP6kS9hMcVtcU7/B16PmaGcL8I4NHvStbOkV
aVOY+fwVMa9J/tlvZb2ZqN1T4odb1hrg2vCYZvTY9bVb6m3DurudeTo8aJU2+XaPCw4fXRzpPbyA
n0WHcp9tEVqtm42+GlClQEaT9cpPC4XvL8WErjPjnnfJVww8gtpZn7SVMupaT+01H8P5ZkZXB8+Y
DvCUMjcvsIsZ+NpWWIGATh7suoU/JqgGS9WmG4VPkRTmSaIXSAVePCCj1JqrMC/JI4mj8cXF47O+
KkhmrgFuSpyW+uJI6+B+gAFlTq5jgL8yrGFdblgf7kQM1HbsmMJ2npXBXlO4hPYyFPSuzYCex+3C
G3TsHay08AQHX2O4EuGkhcVjBiKPTVZtcDgpWB2FquYo2jmrMuzuUtetBeLqUB3iCeVERpWGRHlK
y22Uu9ZkfQBZDfa3SrB2NLXK+IMPexLsEzPw+aZPgzOP48/l5tdvOYPDZIgDLSrmSMFrLEg0N7nK
vigBX+1RDRjKGMzj1XUh2tnsg1UCJMY719gSTpghlH66ZWKkGOgQML4TD/GBUbjJ3TLmydPswecv
jBdVrvSnVYSn3FCHEi5ZVrcbGFb8beAjuH4W/jQCMtM7lyc/poQc+nx6nUd0Yce+n3mOkRXPmhxy
5W2k4ExQOJt3Au/JE2pS9jiXep/KLGE7yml6iiOMoDYXkrvCT5PZywCOlYqMvV2fkmxIKoy+xrqN
CuqaKZ92IZufVsDM2dclCul1J4ocExAYOghO5jreUvieq37Cfqf2PFc0OC1pcCPEFO0Hbs5usLfW
+MvkrTwvgda3S5js1BBGjV+KSTTpvFnNmgW0MgPj5QgHZB+kMKQRss3NzAIsqU2lN3o0C+QGq79E
1MGQ6FFpn3PVx5gnwBZ4GSasQc2tXO8AQ2NXLNoNfVg+vEnJZfegYO77UFLoQnU0wX1VhTJ4HUTH
r9cgD9WdUKFHlTev9LQUo4lpZeJlDKqcmmU723QKrwkQq2JH6TApVAscq0yyrREWBe5eYHoxVOUm
1BMXpTttsNO+Dpx06nqCNSqAgVWO8Y5lsXB3nlrWHbbY5/4cafaE8skHcCrCpFsl65q8hcL3bjcJ
9Ic2iLtmwcD0VKp4/kaTzMEoutHvMjQiONgi6B82mcO1HlgaNUILOEziKVkvW00PcHUDssKZPJSp
Z9+Em8OrMurYkW42n2sq5oFklQRwcypgkd75IoL8sO+mHF6MPWbXuk8f9ZxzuqJo2kqcd3Dha3Sj
n1xLEnReQbJOcM9FU449vgoXBtgo2nO64beAbiuCYIF5lkLV5lpjMJCqlt+jhoIVOTD3ZNrg8uwJ
ufLhlN6tPRqjaCFBgzPUdWc2S/nUWawszCWiYar70BYJ+rMejul49JjCH1cZakcFbNkxfF9fnAOk
E4QJlX1lVwfeu8IO4I//TlXA8vsNnMrSMAGelb+TpKI42TgMKKaeZtO0GH957OFZ+UTXX6g+71Wn
y4Ug6mVRBpsAoMt3AiOsPnOZWMgXUBXmOu9imAQi2Pd49oqm1TUQo2ZwSsnwCyXjvTTz23VTMNuA
rEMSppfP9SdphgPKZoEE7Wb7Xh5Cw8Rt7wf9C+7hvXB5uUoK4CcDLZXiH+8eI5uDmXOJx8iTrCYq
qlkfj/stL/aqz+xptqH6hZj4Xhf+7YoX7TLPIaIBnv35vmZuPRkctETV3wX+qpySGvkCv7jIe83p
chEIo2UK+jkHXPju4aGyVAD3Lqhge8LYGV3XrrSkynGm/ftlWEIWhS6apISU7xR2LeOkjy8gRoIZ
MgvooVPC3IpFjY8t7X4hqf/NXaUAFqCBIp8kAY//86Pr1iCJCznjYhbdIUoP1NnTYGq8vb94fn9h
F/AAU+jKCeJPQLADQPv5UmHeeQbEHKvvY3mHxJDMPNN+p3E4KIN5ebsv0lMW/WrN/80NYpPDLQJ1
Apn//gZbUzIWUvRFcuJwJk5j+LrS2NVKyKGhAzIO/vnb+5t3DNwlDAdZiqYC6M/Pd8kxpIVtBcuk
FAwxJVs4VUsS7f5PLpJlILexh6Thu28tDVEvuBavWB5hFAFvZHrxLvlffGN/8+jKMAfqAVYwu5BT
P9/KAoV1QroCXqvirrePyn1P+CMcm/98L7+9OH8Wc7EucBnsgnCElPBrvAMPwoz2QnfrWMcSUlkn
XqbWfcHpB25HnhGwcA+oZ09COVRyoVUOB7XosusYESYYPSF/AI85mBJfl0N5n7vp37+NeBHBpUI+
z4Eavttb+NxP44KqAfOnqD9qhZG99Vqd4OuNagLO6PjPj+Py1f38NJIwBhCaY7GCYU7f7Z6Ry8kQ
a7wlxdQdSuZrWRS3HWJIyOKPzs97z83XWciP/3zZv1LDF7tMmaVpiJ27RFf385edxdtsaQmZSjfd
aVvgkGuyN3puj211t1Y/YKGpluybqc6I/PjFK/PXdZaA1C7QmSEdCUTIu0u3qDxGkRtsOro/4NRq
1pnX6QRX2lz84sX520slKQwW2BFK2B5+vstVjSK2lylJj5E0Qi1CsC4R0gWzX5yBl7f8528RhxGo
VByyZYp4p3evjoLUVk4aezgZuwYScTMvGtr2tnOGN36OLtX5L97WvxDOOYoWkvzGCyG8EJvQz/dW
OLgsgxxVxRIlpPJrdJg5bPpovyDTh89TJD5Nw3Rk0FTGEL2ywMSQzI9dBx31nxfTX+4+QQAOOHfA
9zGQ7vdP2QbR5MWFOElb3C15GFxYQ6asCLJyInlUvzLs/OWduVwPoYw5LCw5Srh370wKjS00QwzF
Yifv56utGhuQhq/z4Z9v6y+FDS5z2dkvbH2J/Jp3W4HKMLzI0LPUGMWrChYTRDxQ/6jT4AkFcAuH
vm3+764Y//yVwvRd9DEExDqT342Eo0EG0G4ggATzvut/eUJfntOfVi1BX3fBkYADozjF2fJuBQGT
GmdW4PSHefMcZfSWTH2j0R9jNDOwY7zB4KyDPdfJ7wvmj+i3+9+v8XuQ2Z/Nj3/2Qv6vp6HH3+/9
kj/9yOHHcElom97/0P+Dpsrf7Fv/s6vyz1mhF1Plbz/+R8Jc8R/sG2kE88bljS4vFcQfCXPFfzCE
uaQGXuLlihwH5X9NlQiYKwBZY2H+/j/xhvzXVIkgQcjySI0Bh41jBYjZf62kP30vyNL747//HDAH
0vPnNYJFkaUoflHhg5PCv7zbrPN5weuGEr4ZedButTFTdmQqBSu0AZzhtJVHOoBrblg+QvvTGDry
IzIPOv6cl86uiGfgKX/Io7EXT3AvF3MzQBvRBxQ6JAadPWjok9M069t+Dstun8OuwA6hm1a2L8eW
Z2eu0j4/Z9tEkIEgJkPGz8vYJ/6RDlovSDbpSnlG0RwkL/CsT/CbqYIh9GhGNkqB6BEefQrXnsJ1
IQBX7GcTIKKDZk7Sm4UtiduZMnZjwwzGsZVeZIgEITF194WZkHVjWrjYMFSQgdwxbRb/zCFBI3Vo
3basCsseFRnGmjPblcTRty7LYBEAkb4MBwupIIMCbAXy2dIlT8TDCBIgeY5psvQ7P47zjFSHoR2C
sMnjxLlzyij3GATDk1l3sboM0RZvk8Yt0AMOpffRUwt1kSL0Jldtc8Htb4NNqXFHF4HsDILhPYZ3
Lfd3k/TPErpYVhlEMH0pgCDcRV1nfaMWQRCBNhvi6iIPhu8gwgPoa0lX1N2ms6GOiE3ThkJpapGl
Ndi+KTIkotQmbSO+n0bUFXgYbQe8IdqGBIkbPNkQtoUbfU7GSEKQhMxzYyWSbE4Cc4AZslCwsDfZ
50v8NOuwmPbIGtRF7RdJ191Y9DmEdju1Sw1fJJCknJb2xjGSiH06J5g/rUxgOTG29CNYox6XThQj
fCcnE0JDYZPuTikwmWfDQFnWGt6RfsdIDFZJU4uZVxBM9JHnc7jUIzxDdlcAIPlOBQIed6TTqmum
gcz8GnM59ci7GXFv+Ujoj7Xw/qX31MzIGQzm7diVpYd9qF+jvklEMEDnSvsYquZSfIJ6FhyJNNCb
qCoyc4a0teaHjEFFQdqVLbPK21V0eyUKXKAnxu3bbMVwGqUmi07FGoxhQ6jeLurJJrHERluaPXTT
4tG7LL8hq9ZjUw6ISasJ09ir4eMb0FW5aUJER8/lHcIkuqza6Dh+WkwP0idSfoirNBGmh0DZj/Nh
zecCs+qEhUs1ORrnN5hGRr4ZIFf2J6BRGtEhedqBwmHzW9EuHcP4HNgKSqmJvmazh4IGm7VGPGEK
wZymGtYlaWd3ixS+klY6kgKeN59QOFqAPj60gJwwheUzglEuFAmt/MgKggw/D7kLklXxpYwYZscU
Rra8GuzQXl73bPoQBhK4lIMiXDYSWZV6b+N583VHsHvcgOidLuk1tBVNrwPkeHUYgj6XXR5PO1JA
zKknUwJEWSYCOM9MQSGaxWFETGPAhQ03KfT8cU3me9Uu81cR9eV3nYw5KLbQupsRS2HG0xUZVOCA
RZijQ/p6RVMCTpmJGGoZRH//KWvHHFE6QZthUfMsu5cht0PjMgrxqUOeA/ZCqNtTJRAjtdSdJkt0
ghre6TozMGhVac/HFtNcFyb7rsMnAJat+7JCOtJ2C0GuhPl0QXQf2h8BkoSUDMR2GvOAVT7JTA/H
O1uTaiBJ8S2R49zXI6yRCvKbRS1RjgypbIOeejx4VmLcZbF73MoE2ngtCRC0fRu0/Z7xLP46pv2A
ssol5GM+AFNCY7vEVx4hT6SCS2V6TGgeBJXFpoOsmc73Q0OQB4PQjxBhrDtFi+hRxogDamUxP07h
ZBE/R9DBHjpgSLjVOKfAkJJoOy60A8yHTMnR1ujMEPGYbovkjYRd5WMaM7CvCk8N/gJBIl4DzZ6Q
5zEnWHMEqaSnuNhIjRGp3cUdv1M4qdq4r7KI8rYiLX/WviWnXOqKb3F3C1zTXuPrYjs/hw8CHqU7
nncNE6CitGTicc2SK9mN4z0U/Eewje2d7/NGFcHVYPgHOmMRmDa+mr2+p27cqnYKMH0q7D3x6U6F
EEdFCvnQMR32Nfb/4dhzgijAMIsap8fxgaYDMK/wxEE1NOXUA3wg0wvOOIEPQB9zVXTPwrsXYI7t
LsSHyEJeC7Ms31mIuKw+fgH6faItz6sJ4VuO0ewOCSQHUaZf3eae8jnIamM9vhEa66PNtsu0Udxs
Y0f3YgoO7dZ9HTLxPOWAEYNlPkOuS37oaN17bCY3c45A15VM89YsSMH5mLAWWjZGbvVsJ3bKHLQM
/A6RuMTubb644LldCIeTV1jvSO5ZxiM35FZA86oMyTDuTa5w7GGXG+LG9iy+i70t9kCSgBpHSAXc
JTZlDY3X4qFUWXzcNpTdVcSDek3DL3m+obhHNGlXTaDyAaZcUTecZ8w0awK+I5n8nWz7BzmL68D6
OaicScX3xaQ3Iui7q43160OucKJk44rMsUHcu2C97ZZ2eepBmzZR74Nj4rtnZ1p1g6/dVgXssoBe
prjm2IsOhQIQEIwFFIYweeCqbA8WyZwpMARziFWQH8GpPI+9lA3NcfK2yORpRLdcxQl9MnFfHsdE
3ABmSz5M1kKr4X30EC3xJTWNPKxmLIHIOPU5hSEZcTRjcY/IJb7bstBf8hcUtkhzOxelQf5o2aIf
SJWaP1in1Vua++E6KYboICz3e49w3Zs5QM5TaKbvMRiu0xioZvAK+w5crWBJ0ngqa76OP6YhukOq
StztVJL0R8CLwwewMhDXVgS89pNSlS+X9r5jq2V4qaS9HUaeN5r3AqcrkI+qaN290OCNCOdPZuWv
oZ6RzIhStS6zGJRmq1/pYi0IWfZNyvkzOg6UNBlmaR8CFg5PGYJKwVsL8h25Ds9diIBJ2QNSCcME
9csWV79lGLuktbuodwdiy7EeuRRHpslnpP0C8lqS70sgENEXVmMcZru2ZMGHvJM49azMmtQXEEg7
eo2pg0CEpcfnz1GztsM1VJb0Vm7IOI7JegOCH28zT8vukAtCTnNSngKRTRXyGx4GpbaTD/TQSGgk
lYvlHg5Yeb9kLP6eEvlI3fYRWPxbuwT2IQicf4pTgWzgGal2ywnYDozmbToiRziDEhcfxiGZ1Kkb
wnQBVzxOEGLxOiv6lYZeh2AzYytu4HS9BBYXv6UXj2zYwNTGok0QVUp/yzhekml6NDMMXOf49zTk
hNtSvlFk5yEnWVDj5l2OUmHTAPDDDqnK4+8Zy0gdtjmOVxFMwzdbmFm3u2H2EZKZURMQJW5T0JaE
gk+H6+yMBJ1lZdCY+igdq6JwvXjoOJnHD6RdgxXW8p6B1nc96ihyzvxm2+7Aez5EyZOBEz7W98DR
Ef12zYY2VOoeBgxZTPdWlLHovtDRMETtTdTSt7DkOWhFBJPhI006c58TRNFWI5/MVsdrhji/wibZ
eliIzh670qFchowm95kuHA7yzKZFiEjHLiDPnSr0RwwtdLhTMY/CV93yJFC/D5n+VTf7/2dUUHwx
if7PXe3Pf2bCn/LWL7/s9+42Tf+T4S/0sTB9xUl8mUP+0d0m+HMGMCvDxAzGt+in/PT4PxFEZ1hS
AG/Arlxi8vJHextl/4GB/qKWpPCzx+W/7G4vA5U/TUAuNizIfBlGPCSCyPNeSWJAj5GlhVQyOUYg
1QB+9T/aBHPmRhnEn65phB7LbFtYxwF8E1UEhOxl23wfnWyH3Dwc6718M33kPzBWorqMkxkJokXc
HWK+TeDlQg5fQ+4orBLAno8ai7meOo+kbwRase+pYuOpmIJntRVpbcDxX+E8msOaEGpe227MEb7c
Bt9pkYSPuVbR3qVQoPCgP6HbRIpCD6ihLMDzHfmoyHTSRrAvayyzTx4B1PD65/KxiDxaWDoLcRIM
k3N8Jdf43ACjSohEsFfqOH1jIKMk0GXrmnFRyX1KAeERTNoR5EbcQ0pSRNUAd0BaOaGDPSCZd0FM
d8mTg59mMCl8nZFaE81b35302G/JFZ3WnJyFkHCLwl/ZfUAIV2wPBCiVbvIJwvUNF2t7GAgiuzuQ
GtiAVY6YwDlv1+c4XYw6bbSTV3k7TT+QgChB+ktUeAheWg12o1E+r3xoJ6R7IAngQ98xFLlHdMNU
fBPjgBBPQL5ikf2LmkYPypJiLJmNh6LYcDJbeJtY2qRopyKOIsQuo31zfMUYBGBsWGCeCxdHj0D3
4EdUwp5zH49p2mclvjAWlzvV0mUwQdMbJHCHN2ufFgJxt1vXsts2QJ4cr7G8AwARDYuzRYikjiNV
RjddUaix2uxi2iZckPuJOJJw+e5c4PGBsYJuZJdO5uRGpArXNkXU43WxTQjQAWxpKexda/ZK0wJO
4CkrRtuMG9rfyrmi/LIsKdiZIRXlVW5sChQMtTJiKFejkFpAoW+Ee7suiBoFyzDVy0JieTMnMrGP
WQIiuk56jKTgG+R+B3qo90AFjC1fy1IUT8UoBgT7dnzZhwh1fMiztbCPUReo9OQwt5xeXFBkL3Qr
u+88VCS5G5HM/XkF6NMetjxYES/bSlaPa1m6eh369L7QWYeUPh0gLTrDjIg/Ty4X4OqXAg2My5X7
lqGeQ8hWGLRoT2VefJtGznyV64vjC2Xj5upIGyDpsGRP5Vk6sX2coU2ic4M/6mqLAYpWSH65JAyv
bdzujII1qwkUiv+CR3aFoUPD5wN5ttyT3JsH3S/xc4o/ECBoaDv6T2qxuLZVBR8QjLuIvXV9ubsw
K9EZhKOv1LYWC3pgS57G1tOptvhTbp67S8uxGwfPT2bwLkR8nWYUxiA3rjuY4tz2JSycwQCKYGBW
8dwzfeYdOJQj+gK+1rMkYQcaaIaHMKIhXHQbzGxPimuOJG2PtQgOfYySOwyhwD6HnuTfzapkVgfI
VwSq7gxgY9kxZF4XbYbxHUzbvuEjTthdLzK7b6OLqZr2ZQkHGiAqkDpRxr9o0SfHAQDTHYQrm+x7
FYhPdCHd/+buTHYkR7L1/CqB3tx7F16XM+mAroDyIebIKXKoyg3hEeHJwTnPpCBAGz2E1lr1Qju9
Qb2JnkSfeaRXB+lRMaTz9pQNNDIzssxIo9mxM/z/f9p8Fk21CTwDGUn0uS3X+QU5CI6/b3raujMS
9V2iNMr5VK+hh8VO6n8zrUZCuDeISQsVU6Ut5yb4Zm/hTgIvPqdwkSxaB6IDqtTA9EIJIedFGzvR
Z/hjyi9k2QTVpbPiLyiq6L82cllI0CgMD43xqAXLkuh2XrJVzE2FpiCkiBn/teMuVQhV7jzyyCC1
qVY6Fxs1sRed46Rvu9KYfplgWJNZPeUMHaOFGp7FZjKlLJ3KhT0PKxvd+hC8K3QdZBopRzZaFYHG
CQvyEooHWgot+4mjHhcaYX5UFZ3jXZCRcMwzJZ3G5GImSFwX83yiWFEBbdxm+5yoZW0jv+pNQt0+
LqoM1diJDSJmMvNqClUwzywDsgToF6kywHEaoK0xH+BxgJw7ef01TJ3pEuywCly7VCSyGdUi9JF6
VlBmhs5mJ1RFoTVrEM/I9FTElXXKmuYckrrTjDe2BttEJhkRSewOYFIkUQDaT6C7blhca+mppW+G
i8bU4MhEmtPgfal6mm3OwLanPk6YLsuXRNqNIi29UmbcpetUUh0ft3i1M8wOWRyFpG3rz4IN8deJ
pQUdeQcpK20TkCYtM5AOLl1TrS9C3cX9m3nqxmg27yYaUFh9lmjTMF36uTy51V0V0dasdpr0UgNo
C44vkr/qiBdvrlsKM0RDVtmSf7ay6NpLUToCDFKSH6lDvUVG1A4LUM5W7CCpqkIpPfWBE7anepPn
3wI9yj9OQB836O6aBryzLAnX+K2Bc2zLRl7MycClkBjVRvmaBBBbPk5qFI+R0jc30LYmykY/CXOS
IW/JTnjJhaMpaEL4jQSNENr1tCNEskMRpgemARt4kivFSZrz8D6g/jA3FnloVfovVagnE+i9mdEV
b4uuRKwUWhphWOKHdX5sykGIlG6dRp06c3zMsaq4hXGmdq0RXroAts5akiv1ZR2WCJzICmN2J1IE
oBvWWdoo7zq4IWihw72gxUcTGcZ7qJOyulC8Svnq5KqJRrXcIXmtZoitvqkNhLKsurXeFrzR9DPy
suj0T7gliJioB2jn8N24oTbg11Abp0wJ/K7YyDjjVi3pb6XI3ECyL+HvzJDnRvU7l20nnlshIsxB
OnGoyBJQvNGhbV7riW0fm66G2cxaHHR3pik+qvMzWSmVr7KXuYkwOlr8NYb28AvYfo+ytcifgthq
OuMsBADpvZ8mbnQtt5Kif574guszn1QbUONYjqkG/wCoLOBjeZp906CiZp9jK4ymy9gPK3eRW0VK
Iwx2f25fZAHwmROfULg7Bt8IQL2w87qiIQAnwmvmQaql6rmjSf5tElRGsrQqhySzy15s31Vh4zpf
S5LHX32j0SmT+AYP6oex+KZBpCfLGJfXO6OrRK5/dKKJDmk31PUiPMY3tIFONmVDgwtXti/LqW10
H2QLTvdHCG8IIHdpPEXsHBS+8pWQpszf0SwjekdVwfzqB5qULukjoKgnZeGxVSICr2yp11pSzWo1
RCMsibq6iWeqHHrV19KXdBXrAB3zuLWmZUXiZoJQb7UxJ2jWw6C1ZgHK4b/Y7G3pKnTDTD9Rp3bn
npG6RzfcQuQ/nxud6YeAqquCV1TTSWnM9HyaVUvV0el8AnpdO8bvcq/kpla+REHjv1XkSfjRonFK
O9dtGWJ5kdZqO8/hksAXkbmCpRh/OHdBFIrsGhk16C9qinjONPsikXwANO2WZbkgJ2lOlgEpo83b
jZ4Um7eAH0nMlptoetp57SQ/pwuGPw+VBsgROMPy3M4la2UneVTNyRZbX1Po+TWK6H5jXE+qHHaf
ZFOrmbWbtjzGnQ2+GSQ7Tu1y4rCbibm/EbY3n5Kykk8qWzLdU+Li5EPHUW2P1TZni3qwAWinAMIJ
BnCAUoEnvbezrnybUSu/M12vlmay5JUKBTXBt+omEmK21GsLYNYa+2VSu+x6C6ICJiL2ptNZPq2p
UxiTqHPMWdXZ6JSDr9EuOleD3ALvSXXvwk2Y6kCFNzbcd428/NwMQyi5aaUav8QT5LnjolLzmWNL
NR0putiq5vVGalZ6lrbaDG4GSdMCfxGV6zwwQvxqOzMvLSN2r+iUBFgrzjNdFjxmiashLs13eOnT
VRhuIL2QXEEDQbU9Uk1UOogefA10I15u9dHtarM87Qq3fWdUJYandTT/VGHTsfld25guzSJrbjYS
ukxn9GDB9OWTiZoeTyET0wZFr0tyfk0ph0t0w92YfD2G/Rkcw6OQNQEUMeEpohJiDAriXSCc9HoS
znVkF1EaT/MQTTzDm14qTR0DLZ7EJSnOrsH442Ow3eXUULs53BPtIzV2N3kGjbSHdLjH0NHUR6Ya
jzpMHxAQZ/gd9LIBq9wEzLnpdOcacYJoIQDRpBENsBUVvjNENDLNHa5G/cyaPIJvExJaZAIA0xn0
NOg/Adc3ZGUP052EEqQ7uuegWt7m3x7kDR6pM+/PgiYVATiFawO8rzJAdBQ+6gqB5sWwAFTtWDYI
oiO7dd6/fhYV3AhyvVtJo8EsGzqbIEOGD0+GqDsjPNFwNOzo4ulZyHX0cgqmCiIV2j7JCwBWpjTY
RHpjEbz5VkRugOgZM4oqDrFD2n4CEOnEz4BU9lcOECwzmjKZEmTxBrOpFnF6YddQdqIph6bVtWYp
2ZBXntkHQxyACeAAgKNpWOibAd0bzFMlUsmlw0607ajyj+nJgddoQzEGoJJES7h13nPyT2LIh8kZ
pjQl+iWihUrRnKizv/VoUjnlgiPND18YzQvPUN/prltdSG5pfJS6OrzF6Dc0XeA8PnPu9qE/2FoZ
xDy4C5R6VLEaD5DTG01ugGJ24Xyj0TtuviGooENQzQKTHsB6gVQAGJhnMB+e+Z57u4dFntLgl2XW
gWDKg5ljA9aP0WrkETYB2Uyn0SHuKHmINkjm+MozWkF78l6IIOmGELVFjkhFtWJwJJTES0KYIvg2
lcq1U0wbLgYfQOsnvaI0NWd+k5KVq3+2Ugsyvp6h2OklG++Xpw/N3vbiOUT7SyR2URpThjJjbS75
ijrRw7lfWMIngSKEyBYlBWcOWJCaJ/yXZ/f0I18ZCB2SULIw+fpwT9MeLuw25LLneqHrn8PYlB15
7vlTPVwEkYTswNSxOhrmbQAVh89I1+19Z11SJZSfqR7g3+xZPNiGIgZ2Q0rmpn0h6Z0bExRa+TeQ
FIQwr1pdMGy6aKkLhIfSCks82FRtbpS0lKF6GhCfXpRQaugDYBm/BvnGX2QWmcFnJhxYJTEhVwWm
loQvbzicMJn6hUtrL28eFyb5UF+vFsHz9nywaUgbg//jjG7B88izDGySblFogyOHrtAGbhW9pOh3
oeUufP6aPk6G1Dx3TQ02zP2EYjo2KwiRobFFCq6KKzvxkAdQla8BAeuXBuNHxkRf0DYKBZqq5aA+
/fEGO4VJKdgLwD5MB/DsQ4uQ62ZW+7RzJBlb39mkYEA+l3eBYjTPfLRHJtpqgnMQBZxTG9gCt/Xk
REEkY95yLGZBIMDIVFVnvrJ5TjTskalQeYdeoSJCjn660revSKq0kkcQMGvsxAfwwUsFuKeLqfjd
08s3lPcT6wc4FrdCJ9sqrHp/LjRBdD9HUWeeqLyRnFAUIuFZF9WVn+qdf24j4f8eVIH9pgMv1qH5
0hUU3Zqwo7WkBvH8itp4UC+ffqz9FdCgX0D4kOlMQ4VksNhRUVmJn3ukiDvCOpsKFjXg0l9Oxe9e
PxVy+qwzLw9jZrAAtK10G+hj7lxOq09mWX+qwvITqKJPr58GV5G7S4YLREPJ/jr7nq8lkUvKvJB9
ndAzCJYAyjSgc1nwA4sHkUoIj7BT2UT9qbwSKfhqQ2m0zgFBuR5yEBaOz9wTv3v6rfaPvCCwqGDH
4VHJ3BX9qUiwBJDSZGeOl+Wfkm3mfCNw18EJwsZQ33Cu9ElU3T4968DvZ8/ibHM5GKBzsdzDmwn2
I+04VYAuWLhpPJeINd/Uelm+neYF+9R16y+dl5VngUU5p7DS8BlP+ZHdabI/wZjSB4KLY/AtCZZr
K0UFhPu/SpR3phQotEMSvgFKJTzQ02+7PxuvigalLAmham0YY0BOS8qpCVEzzdpPKPmQ+DaKTy+w
BfsTUeqD1QFVB0A3wNb+x5R9RAmASZDo7JrtSaBw9kMnAf1jBX4F7rglUX3vT1MkceNBLKfOYXTV
wuMbfU4b5Odd8bvXLp2BX66xerzOvgtTF4XlqHLC0uX+uTjboeSd/8jZZiNoJkebGBAu12DhAl3H
A06pk6LEGF+Qb72jKWF04bvF3dPvs+c4GAiI4wfi9ROnEYf1l04HZIyaA+kOX5P9U02H0v/82zwy
iUnDDwP2iWbtT1KYYevRmcCeoT8XXWu66IXm1trxq1+F7gqYdppGUB0deichqrJUghogFJXqvOd+
iYBBlc/FtPtbWkh8ygqcKhVDMWRT4d/SSNMtbBSAAFQvNN6tOik1H/d5usnx4J9+qUeng1AzJUqf
UqQXP38QGNltHtlmS6pUiWvgxfRmOktbEgMB2mbL108lYOy4W6Ts9g6rmnatTGkAEc5wYzc0ufTi
C2lD4I6eH0oeT0+2tyVIP8jQIon1JGU/1tyE/hRw7ZS2ozboywnx31Jy2XyvnAWvEVA+2CeIXtxI
A4d10m2ySmMacEZst5yM6wKh21cvHLOwaGT/xHXMndX/RrTCrSZGtrGRCZHK+rSEAUYjOTU0P+BL
aukz6Y49J5zZAHFghHD4cR0HJ7Yp1dyiZSZMPW+zFRsCuwDM60OL+tLC9g3n6vVrSBcq8CTcFPh1
g/kktBVTSupTIYRIVtKAhNNM0a569Sy8F1QmdgMsq6HPBPJdiv0U7KkL2L69kMKGcJCGjOmz3Wv2
dh4filSRhX9G3miP29kWXZZoXs2Jor/dhuKaQttn30Lz55ktviWhPcinwM2yJOGZ0YkbdA3/398X
uYOQ6cTl7AbCdle0x7jybFu5CUEjoC6i2i4QgiR+m0wpdk40jZahsgM2+6TNkPOcdS6Q5xkFEpTH
IlWaXEhtWF6Cb8jJZSMztpTNtnxTFpX+FdKBOplv6Pr6xpTD7rM7bckdkGZsPxlaEScXKYK4m2Mz
9Yk8a1Pz3lPSJrNaODrBv7sxUudsk1NpOKV++SW16bt9HoI3/TXXi8Y9VkSU9ampM/sNOXWgwRRv
0IRAnCf/VHeJ5bzJaT+hoQcqqe9SB4TwIgfQcDltZGTeLNrj+UsNzQTyypYyXaN2a4QzbHmtQAIx
mtPOaWPrTeHl8lffnODuWGZJ0ue1OwwZBqDTCrk7LtbhucmBvzW+0DEtHXzYfDOJKDw9u4/3T6e1
vUupLpLQhj3c/+bAEhPJULgewIiSTlKDxn4TTUt8yHpiv5HbpDt73WvBuibQAlQllA6myjBzFmd1
QIpIp8MjHJpvzTTUToKocp7hWw4PDbNgSMmvkiEjNz1M1PsWXCQduMcsa1RccdDfi06fhNdPv8vw
smMWGjnAaBSsfFJyA3NtB55S5q4E2SYq4ws/T9BYygObCCA0ng00HnklIjQOKK4/jvDQXdj4SenF
cTmZlTWy1nHIteBQuLw3Aq/CKr6AefcyOOM/ED9vCzx8AslY3q0iMItR4RWtIOht//33tofWT6AE
YZyiGiuQjEJS4B7CSANDCxUKMnnQ9Ezhuf7O0FOUnxQSuVDmSGbiNour/juEcfoTTqclWjWB0oNb
ijP9CoYelCuOcM+sCxanIbKnTAj7dnAhaoCyiq5AeRJbaHx0U+hTFtKrvi9ll1YELnftSHXmu4si
6vIk+6oV9URplyhTh+1pq3qyRJNw2o2RL5tukkUahpbIFGpTt5uC8usCb24nqloob1Suv0g5RkIS
ppkPqFmDwEQUlKP+kpbI9nm1Hy0mkCRy/6qMNYfapd2oCo2gPYOhSwTEMMBtLMUmMAToee6Jg/Ck
cQPrzW83x5YAqhfHNXTEjXlqbjK6pFCdNilDA+UxltT5p9o8Qo0sBU6ZTOm5aMVGTK93X2k857jU
0RbPEEht6g3Yy41vnm+MiVMGS3TvlWwByjjNvQVYDMCdkzTR9Ts/Igi5ivVML4/bVqTAZrarRd4x
7KFQh91mZQDLUbKi43yUIUEco1xFi18IfPHcjDMEzxJ2CCLXVlJcIZRHYxs6wbR0QQ5zf5N8Q31R
sGM62D3cNyjRpTco87rpG4NiEN0NIa8jFdu12Qb8Dj0HSm5XWac3LDyApJuZWmNZZwUFpc23NtYi
1AY9xZmWFxI1gc2SOjFNBFolAPtEKiH+YsvckDMrm1SQMyPEiJBAo41cFgTpO/CNljFrplp5zefS
SyggXqFepLAXoPH4UakCYrRKKH/0cEpRT2/sC7906OgLIhQK8sbp0PCbKQG6QzOu/S7DtkcA4AuT
BrWJlZHo2bCBk0XA9e7OCugY0Xko5U68dGX+oWOr9B9P7Vi15oCDUCZFTs8pz3Wjlr5YUiVZM41s
I5gBXU4KupV3ofmeBshuAQCI1rSzCOJKU82lAigVlKwGMbNp0fHCctrylmaFAvQXwDKauZjkhQk0
Y6NWCPJ2E0VHrdmRXVrT4sXBkQwD20npTKgFFW2BEqW03hrUNWC8KdZEbRYbMHV3ta269YlpRKoq
nVWy3qgrp96k6i8SXexj6vApiD64Vch/KmcIinWqf1JtaoS3GtB0oBCCro7hJiaqQoLYU99G0ya1
lxmYFGeOhBMP1XlxEtDtUo+moMrsICP9Ok3ak401gSjXuD5KS7Ke32llhnBn5wv5Vrrd2MG8VfHv
Z3VreIhiO5XzjhPbfGbXsoy1lMN48VofybuJVRdvAf4wNB1x+KFf2RnIl6rNp8dTYPS/wlxN82Vc
KvZJjSyptqCfQ/EV+R7p2rQ77Wsn1eZnmPBhhhwTmu1B5sTyqYV2Vn2J1GsJFSlBQw9cgDStF5Tn
oKF1JP9QpUoCjW7pmQLZYBoWKn2JJYuuH7AwkTRFwyAWPezjZlZITfVBeL2/BHriok+IYLg8T8yW
p45Q8I1npmtUv6YaJmZmSm1QnyYSEq6XWTfpjk00oqyvDd1yAHnmGkKubwuJfjxzJUHwGDGtOqQT
bNBYeXQOhcsojzFVrYqUqaIX1zEdx4IrYJZxO0PiNQ6n9MyI9Ek1UwyfUBpyYeijNEIy1+y+FBtK
Dh8mBagxVPfS2kZAuUUEswGl1mipdgVnNYL7lEOpSwUJixZIVYds4gkaEa6J5Fi1Ady30GpJzs4a
lgNl1ipWPUTNgRNcTJyJVpxtYj3Nr9rShXnGuUUjrtbiyEoX9TRFxmtCd2VQnoqUweIsrCpSeT3Q
M84t8YxbfW2mdgZRsbbRoUDVTJ58iazKh6u4CBLwGAAYJ02LQ0ixKZFvpjR06zZnkT9xFDCljorD
j14nwdsnBG30t54TZjneual9qiXEMC9pbIiKnWJUWXaSBGUDDP4XJaUzznxaTSIVfTpXRv9SujYg
gpPwuVBKz+6Aj2+KL34O6+SyKpWk/BB5hpycuS4yzjODA+Neh26lgkjvgggEIuSSdKbGsJD4+kU5
PQ6ou6DRV5AM+eCEuWTOLfTg3ltyrlOUKW142YoA8sCUBlS2SP06fGNXKQX4iEhvZUnoYR+HCJkh
ZCm54RuE0okCAqODXebAPkT8zNMRzED2Nk3RMDWi4EpPUSMjH2UYBSQwFYg3gc3mTaXKHZcpEQlt
T+jfq7wt8A3bk3QSwFTKW9d+Z8ce6H8QLXV7FmuZRCLXKCBeGUbyCyKIXXsMutS8qtI2uXK4m8TW
kKTz0An1YFZ7sOFPu43dgeJHNVg684yc2zPm3lUWtoxROSb4Mpxjt6RI4UAorVr3uGuLajWJw+TO
mTbW5mqSKalx7JdRAr0aXVp6O0jkk5Ccr2u2jJPTURg6unRet7GPDBqOZ0kvhzC3ISSpk4hCIZAz
i8pwCPXRqS3dW1imI194atoCRDP1+islTvRum2zqBsd2lCBew/VdYFWRGpbmCEp7MPgUe3Ou0f2x
mbVdhxqKKOieboppXh87fqJ/bRLXQc462JhJurRMuUgAiE+y7lRCWLX7YKS5a8ynuOpAw6ESnrOh
mnKRThsBa85q45oWGTCGwF66d4YdpMAVy4JuFwE07EWSKVZ8rCZJlb0pIzs7d1T7Q5B2MUOGdfBm
Oq0soIuTNlqFZZ58rCeAgpdNZcBNmxmAfdWrVHfYY54TEcS2hjtxFwhy2pNTO1eUt5qBgt4sT33Z
h3wNsOrML1osP86H+x5Lov6qEg/RaFPTvbXOV2ZBQ19VfqkKRSs/RdZ0Wp5MwPpG82wydZVzKE6V
dBKZVZqeRoWJYCaUd8wi+RtdXqJskCaT942eqMWdFyGlUFOfMGmBW0vT7go5UOXGTRvnOlU1eLwT
qE+3duPalPmDsuS2idOwpA/LxvxAR0MUMu06ozMgHSSyj0YtS3eZRpF4lrmOyXeV1O4WaQQZMwvP
y0epiF4roNUjc0WHTQshP9RzXVgoKABKKDnyhfMWFiXcvk29VKDXn+lANIUIqAazy/e06sp15Nzl
uyXSpwzNVXSVUYU2wbYW+ImTLpE9cIlO6ywjJAEwx0XAw/tyl96EmWMWMxv+AXRxulgamep+mVRR
/AENzVZZmu1Go7NDEldXXkwFacZWxM3Spg6q815RpMUi4oY9y2EbfkPlwIUOXNjf8qaSfilx/ZKT
Fj3aEwOk4GaeeR0A89hyMuWsmFTSui4r2NCNntqfJa8mb6xPY/tLmtHrjpstCRtE4jau8msDJJCO
1YaxMUELu2VkniheJkuLSUCsoD6Tld2L8gExCBknesRRE58qIkR4kJWdVqkOyhKquJsqcciXSCi+
xbKUv/fMTQE4MK0y+bVzauCNdCJ8hfot2b9BNglNK72ycs+cmfImvNDUxDrpNpNm2SKMsdwEVf5M
OnivJMZ81PpkVRETGsP59ElDjxq2OrwH573BfQuamX6tMsx6VPOKelE0MjLqJZheFR/x7dOpgGF0
DvLJnAJGIvEtuGJbHM2DFaatVSvUlfCeQegsp0ZRzBslunt6kmG+gfgNOSORCyKjQfOuAdrPL6if
NhhzZECRUkxag+YYOfnqJcoX8epH5oJ3B/pHJAOHiSHZz53MQxykxOkSGq0hHU2m0mWJSP9z2LFt
lqkXovJiaNuAgJwKrJqgBz7cnxMZqkvQJAYxDdbHaE3UB+pQ6k4zJFDmYUF1PcHrXqSNn56boWrd
TKg/LF0VYgDSstiF2tK+NOhorpIgas+7SYIgyNMLsv+FeUaTPBlSlgTtwzbSleOoMa0jjBlsq3gJ
4Sc41SZQ5rezvCr/8rLkylv6dl0X2XpdXK2SERWQvj/qYlWsltt0x/tynbUf1nkZFPeSTUgDiZ++
i72o+Aj7WOREXvuPdhmNxwf6nmj52Cbr//jTbVwiBc4TOF7cy8EY1OJ7KZvtE22f5KkBghUPXN4x
smL8RLRJ/VWRpve//nQUxJGz+/H0J3A1NBHmCtr+wmwy34MF+qMlePrt7tfy6X/z1AsMslAHLYGs
kbwSpRlx5vrvrlEaIoGKa7H99ff27vuKWq/9/Kr6k0T50JIH765pP1Hpw+QJLLD4hZ39O/vu4okP
+u4K74grgAgBdu7Bd+fdKTsCTwYO+Hf67sJ7OejdVe0nih0gkGh2vf2FHXmwBCoKacgGU+2l5Lb9
9fLP/wLb8LsNBXcU3G2tp7fOH7Off/QPdpZj/+ffrcY2Qa0K/6D3T4U5vZ/93oKIP//XnnXd2rYH
P/wvyO09+GPv396r7j346c4wbh/r+1zf12P/SXsPthRXCIuw+8tTb52tslsYxNu75ftbCam///jT
fBWt7vBl7icWb6riCf7lMfbui9+3ylOjnnCPRsFKOGR/GRjxgIMHvlo33m28G2cr7WfgSh36vNcr
7t6jd6xTtj7isY+uvLRcs4l3Q2+3gBDrO3SmT5FXrO+OrotVsc53w21HFzCsQ0efM0C2Co5+DteZ
d9v7rFy6Fif9D2fgYV70aeerzLu5WffLN4ItA8KHUsgz4z+2gX93Afa3df9qf/3Pvz+OWF+oFPCP
dkfi4aF64lDuHeCHz/+fdiZnKzdjQ+4Wc7vLsal/uLQv/XJtkpW9PSekgA8d9WTVrdjOmZfsxto+
ryibHTo0Kp79RRCBzsGD5tlqHezG2T6r6CZ/8LCoGO9G2Q6q4OUcOuh5nA3qpDgZhw97UdYrr9iN
s31agRs49Gkv1zerqG8y4T4cPu7bcLANBDPp0Id9T8SV7YbZLsF0hF3wtELP9vYVVuPHLtXrNvP6
Jl24bocuxPcL6edsdXO0DL1s715SRljtL+u8OJrR6Gf3vGLFIa3s/vjji/LrOlz3jATaRoeP+iY+
YtP9S3409GG2cIBDl/wkZtij6/LmDhQv93TvKGpQP0c4NB/L6OboLBfP3zP5MqwkiHwjrNHPN+XR
VZn3duT30UfYlv/tw/J6+eHzcvHfj8TmWWcs2HD/Iz8ioL5gugT1U4Tdzy7cw/t7+bub/NjfPogg
ek7D7r960c+/n06x2wGK0KqlN9R3B2Lof/BYEVtsz/fo/7v4Fh/smX/z9xBg/AxTtO+JwoEcntDv
r/xCR+bnCNt9WwyGJR+/9/lfOW4+sK+yaNPQP+2vG3FZZnGy3o2xvWYkUKe7v9iZvdcN+ibOCvdR
F38box70wD+XWKRVMFgHQocDF+I6Lh9/ZtoJCLbiIYv8VpyE/hNDQbM0QL5Q+GDxYyL2L/fXrfk7
3AUnHs4CnwxqCxl26vUA2iUBAe6/SfmXVOtLAyz2zGqwESGDUGnaNpaCOysSLU/dnC+daLYKOEOP
hKLQvDhMFoLdvB9FEpJ6I7zXFQqnSVyswv6nwogD6bMELVpGPV90thpjspXjZuub3Uji5JkqVTv+
J5gUUGqAsY4x0e/h8NGbdeGus70LF4aD6FcE3Rs6m+Dn6uruqXbHf2+TPHYf/XWiZJDE0xddUg+e
+R/iEnJcbERe9COJp77ES++ibp3drDy/P/BT5+WlA2c4toOj8sTGeeGo+OBOsLpb5+5urK0nPsJC
XLWrKOyHVMpT5vClD+yWw482Qjwyy8po7T1cAlF//EPT/cJnna/Cm/iu/80Ez+DQca8z7+iS4Knn
au87UQ+O5Esf2PWi/qAjbNxTKn5HF+L/rn/+sHv5e9dnhC93Ft3F0XpwP6JjsZvoEZv6wsVg5P6n
gxV5+Kjnq6RvGlA5OXzUizZz2m5ozmCeHD70vXeJuv66tzNkdYQlvvcCHxl7hI1xQR5y4+4vyQjn
+nIV57uF3W5k0TPo0EN9tbpdxXtHRB9hla84e/HAhYeCPcYjB3de1S9bADsaZeAVOm39DSfgCIcu
8pt1surnekVbzENHfbfKVrfr4NH0iiAtHT6+EDgamA3BMzl4YEqkXpKQXujt56c94Reaz2svclYJ
ZmP3mFvHQh5hd3x0V55wq3sDj+FbfFz5cGSHK73V9Dp0pT+uaKLZz0uO4WF8LLONcAv3nnkMi/Sp
u1k/shzaCOfws7cugPL2vuAYpu4t2Yq4OjoryqxMjv79aFnEWVyU30/mw+ngzksjvMj3CS/KaJW7
XsaUu996j00KCm8EH+I6ISsftI/ZGwL1MXyfK+/uLlgfLVd58XDR7mumf2x2sCIvqhl/X7Vr19uQ
AIhYtd9/e5+ifjgpaTzyAHv5pvIvmZQXznq1Clbtig+UecH/+x//K9+IP51kLXgHnuB0dROHq91X
69lD0l1oQO1lpV7/BB+9EEH6S5G/fviGJu0UYLnv/urHXdbrNUHBZrfd839feKu4JV7yjt6X0d2q
h5OAGQDteYRJF/HmLmYBP642hJFe2Lu1QXkJVYLDX+1iVXqZ16sXybQrhA86giPzboXU+eTW9VaT
PC93D3sfo2znGOHbXxNpPzLyCDbocoUa8cCtuV+aZ32Pv11iCVAgee+XlD8eHLN/hMxSQNG777mO
sHl+JsrNst7JevbbUh4CSfwUKmub3O8/qzzCaZqtA8cr+5f7CGEMjFYWdovGOl1n3dqJq0G2Qqjh
HOqo8fCrASpmv+jzYEu+8O6BaeoAlOp9QXWEx12sRZKtZxbHqHefZSxD38MWGg+HLu4yL4Y1E2qg
Bw8779bCdu8GEnbbHGFtj+khMVgEcwRzfbzK4vVjvtuThY4X7rPjbBXdrh+uhJByPfS7nXg3FAEH
AJkxAtATuA9Rvm53jyg+ndD6OfiB1xl4jf6wY6wDMNb+6oqu74c+7DyLoUz0tq8s5EcOHfe0JALP
eosA2eLwcc/IdQzOxZaQdejznhWroP+08gircL7OBhsMsbbDF+GcsOVq1faxRogJHT7y5aqoBrth
jKLBpVe45dA1kfexB+Wr46rrIK5Wm+Ejj7DGlx52vVgjObIeoF+FzN6h2+2ybNbUZ8qs75aPkd64
ioM71mT3jNtAQohdHvrIZHJXA7S70Lw5eFhh23fDbB92jCzFH9S/oX3spvrxQJeiRL3q24oxrmY6
JQwN2xjIuHcAdEpnEKGNwX74QMZiEGwo0ggOlTjRw2IzSIDDvxtBMFaTPr69VIQyRtRxnQwg8sAr
RnjgakVAl93tRhKnY6vSf+iZu67Xd/3LQxkDIX5dewUIhOE2ppPC7g1+/NB92ggWQs+53HbsPHQp
viOOLygY3MX9sHGMovZnnKtb9t0cGu1uEbaf8UngzQv9bSwyF9Tayfobeoyo5hogSf9SRcds9wI/
/hVJsK6P4m8cw145QtZHoRLcV4upZa4py/efXogtjnBZXcR5XPVWG41VDaHaw5fmt/8pzs1joRly
/DJqpFPEHC0g3zQEeHa6v11q7TGE2aGJtodvI/YeXMKHf7UEPSkYhlsQ9BM/GpG/JVDDh75VH0H9
d4GODhyYej1nbIS49WcBAOgN+uz2fT57OIuLnJpmb1jRXvrQ62CG59EzTaLNx8GDUhAEz7MbSNj/
MUqkc3fVcw3GCKc+rJPyJgCIi5EGQXqErqHTs3dCeuXQ9Visw/iWKiLTPD/fCDsQKNw6i/tksOfZ
Gc9vwjnijVkfjaOP4AD/zpvdkhWi39dot/Bi/zwJgn6h+zBfJeujz+vsrudVPQkbf+HIC98jti16
O94YwYNfOm1SPFyGMWA5y7RcUan3YCqflLiYPZsi9F4P3e7LzEPKpTfsGL7UsnBRh+yb6zFKqh85
9ieAR/sjWyMEzidUuXvG1RohSDoBS91b2+e9o+dP9v5GgFR++E6Y//Z/i/XR3b+cVbHXxyahBn74
8BfrqO0txSOUofLVGbZL72boFdA74/CnBYkQF27vcsGVHmFc72awCkJ/+dBDfAVQw1nlt31QuTzG
NUImNy76oAw0fsd45GBV92wwnTRGGXYw6Ain+IqL9HaYXRzhSFytANwgwpnv3ltcnvQe2/3xx0PZ
+5GHGTB5jGvuKu6E/UX0Y/eY9089wjZ+4+Hi90Yd48rYjtq/L2gEsJvmx9f43gxPZl6er8rdcNu1
2Kfpvd6wffjtz2U0kB2Tx6ipfSAy6cvYIKu6e/wfX43rdXvrroNg3dvMaDaPMPQ9I3KPHYt22giD
ixxVPwGtCA3FQ03ytVDIWR1druFg7EYTmwNh/d0fD1hsstsD2DqqliOM+3izAZHCaH/8aT8iOL57
tu0SiFZ1B6/vb/87PqJfxG9/3uJe3mW//Z/o1usziGmXdPhEyAN4A8A9Wa4Rxl1F3dBAI3d5+MCf
nL0DPkaVdAagGlTR0fEq73/NMSqOKGx5A5+e7jOHr8WSPAwaAT2XYNv17tDt93UvBqGZ5+HP+9UL
b1Y3dd9ijCHics8nut4732OUHGeguz/izPXoIzDJD1+On2/aPveQPtCia9CUtrOiQRFgkGcPzGPJ
2L9OHnYrs/BPmIh9VFNCf17y7W/3Je4V3Q79FA+fX9yGT2f67+P4+UOpxd0DPIU8BWXpdf3zP4Id
nMfwYI4+DHRARrGwwdH1KqhWoHB3513c8aIP56E29oTU1xpHp5c12FcuKV+dNIB3eyekI3aPuHXa
n9+/z2dm3rDA2cope09Mi47dRD/uQ70jj9TnD8jPowEfbtjl9zrUX8n07VQOd1t+ew6+HxrW8S9b
4xkZ0Iev8J925n7Oypv+Jzv8g6G847ERts7pbJXdcPPuBt36wLs//PiWoHRVekH/dIxBIhRPy3Hu
n44RwjiRukWvkW3cG3oMkvd81QL3eaw8PQZmbT7YHWPkqRZxiFvaV3saw4Hcjft4YWYMBjKCtUMd
3DGQYBj7O2Rky34EN0Ym5RQFx14AQA/Dw0/fOft48P3ocnf4uGDARMAyTK+NUboTiJxcZCWK3WNu
L74xqnXvQKsXsXAw+rHhGNqm94rDFzRAybfW9M268voWZAy66v0sl+VtP1OojAHM+Qisz7tb3W0f
/2N8gz7Wwy9Ay+XdH3/8NhB85/v1mbMv4/wxY0h/ksMnul+ozx5kCoSgBSpIlOLvrcIeXX6M4sZM
5Mhz9+izlzneo0YeccPD3+vT9ZMzjODDzcAoDyprtPM4/Mnn+LIoZOwG2roXYyTOr1d9r4j2L7s5
fnyfIn5QHC3RziMv0y98KGMk5e93Jy5M4f7252AdtrsnFquij5PY5QWuVszQB6mSlRij4H//Ave3
wNG/3pOW/u3hS9DJ7/lQ5aHb/Nf1/EWo/U+pi/aY3OMYwG9wod/iYPPdXj/80gbAU6Tiae0LjNOi
s+zziIS/3Xe/V6c8NNx7IjT8G3V9+DlzRLDaR3GMISQxQ3howGYaQ7F8lq26fiZ2jGqLCN97Sakx
sBDzOIiHSJ4xpE6Wt8QS/XTUGJ0vjgl8bl0BwxpgesbIoR+vgs0fQqxH8NpOSkQHexkINCJ2xuaA
2xwAA4mp3taQx2DrCuEo0ie961u2RvCT362zcvfe2/DneaP6fN7vU1YOH1YZ44R8pjjd0V2l9+EQ
SN29wB99uL/dNfCYnPA/4aVw3zQGofVVKNob3qczt9tphEhkBkV7mC4cYdhrYW7jRwOoMdQQ57GI
Ov/1Yk0BI3L+7bH4c4xocEujERr3giyHSXtsnjEIpXSa3flkvWTDGKzSY8/3Hm6aMZT2jiHNiY4U
u4ZJWyKTd5vtS4A+2XvohRjq73chrNB2T2J0jHLH9/G3VWvxsUWa4Xcte6Hwetf7KGNcDCQgewy7
fR308vWFpjUEye87dPsOV7cLkgDB7u96L7FtBnhvSf7Irj9/E10gBXVDaP1we8ljwGDmboaWHrn7
RwIV+f9zdwYrDQNBGH6VPEAPpbTQkyCh1VMUDS30FsqCwZCI6SK+mzdfzG+bBHbjaNQOUTwWSruT
ncnOzvzz/xp8LYl5iuKsEKbjNEYGk7yHV9QAuW+ykhZlmE5o1EgScKHhr2rErHvAO0M7NWSvYXqv
c5afu911fthT2xIPF1j4Ff4ge6CZ5kwQ0O86RGdFH8WpkG1ySNUQkMkEqBqt7KZcdGkKmjKT6Lym
KFuDGm0qzS5iaYtB4hfb8i7IUxBHOH1T0uqe3DTw1JlGKpEy1xWuVoNSObVMrPcWq+CZW7Y3byrv
a3uA7bJ7rsc6rEav8F2SOdOgDYwdv63r2nRB6697QZERWXFqTowQTyEq1OCQaKfZb4+CjuhGltVj
dGWh6yRfFNM4NK/nCOHOF0uqYOiTDM87/eLFR1A4OfXi41vj3s2fA478b69atMeXpJeGRo+9640k
rzKulU0K9G1Y1YWp6B4FsanBP31j6z42WKO5nL6+ALZ9Nn5IIp7TffzonJY8YBy8j6SDM65fSLZr
e78kwPMPrRTUf/6YlQOb3b4n9wXXr7M3AAAA//8=</cx:binary>
              </cx:geoCache>
            </cx:geography>
          </cx:layoutPr>
        </cx:series>
      </cx:plotAreaRegion>
    </cx:plotArea>
  </cx:chart>
  <cx:spPr>
    <a:solidFill>
      <a:schemeClr val="tx1">
        <a:lumMod val="75000"/>
        <a:lumOff val="25000"/>
      </a:schemeClr>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_xlchart.v5.5</cx:nf>
      </cx:strDim>
      <cx:numDim type="colorVal">
        <cx:f>_xlchart.v5.6</cx:f>
        <cx:nf>_xlchart.v5.7</cx:nf>
      </cx:numDim>
    </cx:data>
  </cx:chartData>
  <cx:chart>
    <cx:title pos="t" align="ctr" overlay="0">
      <cx:tx>
        <cx:rich>
          <a:bodyPr spcFirstLastPara="1" vertOverflow="ellipsis" horzOverflow="overflow" wrap="square" lIns="0" tIns="0" rIns="0" bIns="0" anchor="ctr" anchorCtr="1"/>
          <a:lstStyle/>
          <a:p>
            <a:pPr algn="ctr" rtl="0">
              <a:defRPr/>
            </a:pPr>
            <a:r>
              <a:rPr lang="en-US" sz="2000" b="1" i="0" u="none" strike="noStrike" kern="1200" cap="all" spc="100" baseline="0" dirty="0">
                <a:solidFill>
                  <a:schemeClr val="bg1"/>
                </a:solidFill>
                <a:effectLst>
                  <a:outerShdw blurRad="50800" dist="38100" dir="5400000" algn="t" rotWithShape="0">
                    <a:prstClr val="black">
                      <a:alpha val="40000"/>
                    </a:prstClr>
                  </a:outerShdw>
                </a:effectLst>
                <a:latin typeface="+mn-lt"/>
                <a:ea typeface="+mn-ea"/>
                <a:cs typeface="+mn-cs"/>
              </a:rPr>
              <a:t>Employee</a:t>
            </a:r>
            <a:r>
              <a:rPr lang="en-US" sz="2000" dirty="0"/>
              <a:t> </a:t>
            </a:r>
            <a:r>
              <a:rPr lang="en-US" sz="2000" b="1" i="0" u="none" strike="noStrike" kern="1200" cap="all" spc="100" baseline="0" dirty="0">
                <a:solidFill>
                  <a:schemeClr val="bg1"/>
                </a:solidFill>
                <a:effectLst>
                  <a:outerShdw blurRad="50800" dist="38100" dir="5400000" algn="t" rotWithShape="0">
                    <a:prstClr val="black">
                      <a:alpha val="40000"/>
                    </a:prstClr>
                  </a:outerShdw>
                </a:effectLst>
                <a:latin typeface="+mn-lt"/>
                <a:ea typeface="+mn-ea"/>
                <a:cs typeface="+mn-cs"/>
              </a:rPr>
              <a:t>Distribution</a:t>
            </a:r>
            <a:r>
              <a:rPr lang="en-US" sz="2000" dirty="0"/>
              <a:t> </a:t>
            </a:r>
            <a:r>
              <a:rPr lang="en-US" sz="2000" b="1" i="0" u="none" strike="noStrike" kern="1200" cap="all" spc="100" baseline="0" dirty="0">
                <a:solidFill>
                  <a:schemeClr val="bg1"/>
                </a:solidFill>
                <a:effectLst>
                  <a:outerShdw blurRad="50800" dist="38100" dir="5400000" algn="t" rotWithShape="0">
                    <a:prstClr val="black">
                      <a:alpha val="40000"/>
                    </a:prstClr>
                  </a:outerShdw>
                </a:effectLst>
                <a:latin typeface="+mn-lt"/>
                <a:ea typeface="+mn-ea"/>
                <a:cs typeface="+mn-cs"/>
              </a:rPr>
              <a:t>by</a:t>
            </a:r>
            <a:r>
              <a:rPr lang="en-US" sz="2000" dirty="0"/>
              <a:t> </a:t>
            </a:r>
            <a:r>
              <a:rPr lang="en-US" sz="2000" b="1" i="0" u="none" strike="noStrike" kern="1200" cap="all" spc="100" baseline="0" dirty="0">
                <a:solidFill>
                  <a:schemeClr val="bg1"/>
                </a:solidFill>
                <a:effectLst>
                  <a:outerShdw blurRad="50800" dist="38100" dir="5400000" algn="t" rotWithShape="0">
                    <a:prstClr val="black">
                      <a:alpha val="40000"/>
                    </a:prstClr>
                  </a:outerShdw>
                </a:effectLst>
                <a:latin typeface="+mn-lt"/>
                <a:ea typeface="+mn-ea"/>
                <a:cs typeface="+mn-cs"/>
              </a:rPr>
              <a:t>Country</a:t>
            </a:r>
          </a:p>
        </cx:rich>
      </cx:tx>
    </cx:title>
    <cx:plotArea>
      <cx:plotAreaRegion>
        <cx:series layoutId="regionMap" uniqueId="{0E3C3685-7515-4DB1-B384-C9B97FF02DFA}">
          <cx:tx>
            <cx:txData>
              <cx:f>_xlchart.v5.7</cx:f>
              <cx:v>Count of Full Name</cx:v>
            </cx:txData>
          </cx:tx>
          <cx:dataLabels>
            <cx:txPr>
              <a:bodyPr spcFirstLastPara="1" vertOverflow="ellipsis" horzOverflow="overflow" wrap="square" lIns="0" tIns="0" rIns="0" bIns="0" anchor="ctr" anchorCtr="1"/>
              <a:lstStyle/>
              <a:p>
                <a:pPr algn="ctr" rtl="0">
                  <a:defRPr sz="1400" b="1" i="0" baseline="0">
                    <a:solidFill>
                      <a:schemeClr val="bg1"/>
                    </a:solidFill>
                  </a:defRPr>
                </a:pPr>
                <a:endParaRPr lang="en-US" sz="1400" b="1" i="0" u="none" strike="noStrike" baseline="0">
                  <a:solidFill>
                    <a:schemeClr val="bg1"/>
                  </a:solidFill>
                  <a:latin typeface="Aptos Narrow" panose="02110004020202020204"/>
                </a:endParaRPr>
              </a:p>
            </cx:txPr>
            <cx:visibility seriesName="0" categoryName="0" value="1"/>
          </cx:dataLabels>
          <cx:dataId val="0"/>
          <cx:layoutPr>
            <cx:regionLabelLayout val="showAll"/>
            <cx:geography viewedRegionType="dataOnly" cultureLanguage="en-US" cultureRegion="EG" attribution="Powered by Bing">
              <cx:geoCache provider="{E9337A44-BEBE-4D9F-B70C-5C5E7DAFC167}">
                <cx:binary>zHtpc9w4su1f6ejPj27sy8TMRFyQVSqVdkvy9oUhyxJIgiS4E+Svf1l2d49d9li3352IdxVhO1Qk
KoFEruek//4Y/vZYPj10v4SqrPu/PYZ//JoNQ/O3337rH7On6qF/VeWPne/98/Dq0Ve/+efn/PHp
t0/dw5zX9jeCMPvtMXvohqfw6z//Dt9mn/y5f3wYcl/fjE/d8vqpH8uh/8mzHz765dGP9XBYbuGb
/vHrxi7N8OsvT/WQD8vd0jz949dv3vj1l9+Ov+c7mb+UsK1h/ARriXjFESECEaS//Pz6S+lr+8dj
/UpJhpEmEn3+IX+IvnyoYPmLu/m8l4dPn7qnvv/l93//XPbNxv/8NO99/OXMsT9scXPy+Uy/favT
f/796AM45dEnX6n9WCUvPTrW+mn30P5x8v+50il9hTTnCiP+jbYZe4Ul01JQ/kXb+A+ZX7T90i5+
rOwvq450/eXDY1Wf3vz/V/Xtw/gp/+W/uoeP+cMfx/+fq5yAaokgCvR7rHLOFNYY/W7gRyr/7+7m
x6r/dvXRFXz78Pgqbv/rf8FVjJ8e6v/cHWD2iisGP0dmT/QrprEUWqo/Y9CX+PbF7G9f2sa/Uf6X
Zcda//Lpd+pO/heoe+n+kyZP2SvBEFaC/h7a5TeWT/UrxDTDB8X/Efm/0fpLu/k3Wv+y7FjrXz79
Tuvv/xNa//dh/8/MlzwMD5vPKfOryP/zp5+PB0n8aOnPMu8X9Z1+grRKIFH+mYgPX/H7ut8t+mvd
/vn+00M//ONXRl5RyRh4A5dIISTVr7/MT4cnlL+SlBIkJSKCCon1r7/UvhsyeCRfUYyxkrASMyQI
JJbej58fwffBJXOtmZIUwRf/WZ9c+3Kxvv5TD7///ks9Vtc+r4f+H79iROEkzZcXDzuVBHxYwBYE
JlwjEAe7aB4fXkMVdHj///Qj70IxRCTOaVTZeKVuNUOWIvpUl8s8mZpWpIibvCfVA67qHsWsL8Yt
Vbbw25Jj2xjeDLOLU+G8MnRQVdhUPoxD7CpUV7G3sIGz2UWIxDJr1KMKrk63oXPz2phxHFS012OU
D0Wc8SnnpxSl6T1h0ukkTB2aSzOsquk6k4tMZsaPSIQq0UOL23yz4KGtH0VVEyVM06lMV1s86KGu
L3El2XibyyGwwqhlCMOGDEKU0tjB2+qZVt080Vi32m3akQ5hV5Vy7F+HtB1KUxUZp0nbdSRURg8u
8GeKx0nZmAxjcBejDh26VhFOPxYScdwavhDKghlDXQxv2rIa61NRh5acLINcc4OLFJO41FOn2jga
1ZoqU0VL8cHasNyVheiv2pEZNqY4JnOwO1nj7LGPxBuf0svBTmaygZ+TcjhZEDJFoE9jnt205Szz
uK9La+qx9aZuMTLLoKtYFf4iItV8v2Z9Z1rVd+daY7rhPnOm0tE5bOtt6hjoNG/ai96x/VTYMzsM
D2G+XBq7revszFUica0cY6TS5TRvisx0LJOvxcDPta1jyNLnrFw268B20rtt2wsar655s6ztRQMa
JhdR5dv93PVX65KxKVkWVBo5ZzezrYutLdeCGj+M+xD6yzUlfNtLVpuUj+OGhcW9W5kPlyLj7HKc
8DkaRl2DYaRy2WWO386wSYNH+0ZkGd11WeRuKjJRMy0TMVanOzt33UkVFrsJSoFqGbsfoq6Jp0IW
piJZejI1kTPtkO7LouhgYU8uXCiF3uUpRefS1reI4IR01ZvGDTbRuq2N60aex2IMTRurtcnup474
vRCdNnhpVWZam50h/SSkskktuKwMy9cydnN3PkdtbFcZUxSRzZzuvVoubS0KvvGUsjtvdWQ3DbKu
S/A8FUaDIRhVNbucd69ztnZGyrTeTl24zKUTRsPtm2L1lxNFTQx3n2SFjn2X+R0Xy+up9TvZ5EMy
r0N9IjS7x+W8rWw0mCqt5uuuU43xFWYxzgTYQs69iTjtTrlrpsW01TJelEog+HDZZ+W4nqW1oNt+
hL9kL3lqvBDXY5QW0Slq8SWt09roxRYhxnnzEddDQuo2/9gFx5pYZ8Un2YyuiQe2PvQ9p+fD3ISE
akn3uXb5mRQNuxD5jAxzYdektC2NHts+Vm4lWbykrDFrM3fbvh6zeK3oRcGxMKKI0ot+ZDom1cIT
OJW+Jrll00YXWPgt68ODw+WnmeJ62wwVvmSKlPWO+Wg591ODT4qyDnm8ZLC6rRuZzDOKNnMUWbKX
lgz2ZBVZHkcV42auh9OCDPOmHgm2W0KLniZz3Z4s1cTB2epxhEigSKuSVS90MsTZaTyfaVFUV1Ub
PeNovOqz5lmkgvQxzSNBrxc/3PVhUkmWhTsnmybG42qgr71HrS9jBbH2HPF0bzv2bpF1GX2saEsy
I5TplD8tMJpNrlCFDE5r+tjrwRs01+oyRJ2+gGr6MvcQCl2uy8mkPrpmItt3eXOZ1z07g3huxqZk
V+VUwEsqGiGi6dKgaWAmQnCbVoyQCSh+rguvE1EqZ+jUPnVzlT53mfxQ6mhDJz0ZTV1lVtSo7RLS
t+m0XGCHotMwVOs9qYkzKNXtaTHRS485dXHmmadx31TuwadRfWXr2SaYV3nSsXrn6uKaRtPl4mxH
jHdq2E4ywttoxGBZo1fx4DplmpxbQzQvTMO7pHHzGS7Wi55NdAP+BI9EQG9x2+Yx030W3WDb8jNo
MEoINRZOXvhbOaSJWhH80u8c5y7W0ZiMKpvjuUcnlDX80kGyPG3SoU+EyNS8a1oIGWKOngNvY4g5
PFl7SBjW91WcL/I2pdl7ns7vJPfyfNFvhrrdedVuw9Q2pi/78zVN46VYT0ctxndVkSIj9Xhad+d8
PQ3am6lsr1y7QDad+zamHGzft29sh4YzmwYVY6H0JiPNWehdiMf8ESLdaIrM8ougCXtNA7Of6PRU
NuWGglcTE/W9u84hOCyuvNHDbDgOJ0PqzqUkWYKa9ipfWW/KSqAPvG9fL7o+LzP6WqiHZuDTuUVF
Evpu163pVdv2F8iP/S5aqjQWvi23DGf+o7bjVSP5fs7wRTXg/VKUN46coihsQ5mbNt1jO8SB1lAH
+CRD80WUj+d2wWNc4+h+WfilaKKrdsiq2NbdaUXsEwTf2Z7KVNQx4dlVnrNy2+niXEXPDb4ZPSSV
vtxCcfB20mtkClE0hqZ6oxunjczdCavyMk/m1j02ECd9c0foRzUXZsqY6YpPY+ONDf4KaoMtCnOM
uos0p3FgUFjU9i5nkPkUhlA0mCKycd/jOMrynRguu+i2irq37Xiak2I3QqrWfZrY9UmJKO6aMhYy
SsbQbsti3lX1eClWCD4f1j6PR4goUkBuFzKW6pJIdgEuew31ZFxWUPJ0ateurZnHGdIABOO8SFzf
nNh82vck7Abcngj5WHb8SuX0Oqv8xrUqrkgPZtRAffGeR+cVZWuMW4ShJBiTddIX1XiIim9dKRNR
4aTUG8I+dYhAnCL59ThloC+7D74p4m4Vmy6lMY/6jYrac102waR2niZI2trfrID/sIztCSbbjED9
EfRVo9K4d9VuFNdtnxUc3AE7kxXkovYjN+2swVYQaW4K7aAWgRpZxTPv5lgUqkugraQ7lFanKz3h
S23CRE+ysk9wA9ZSLo+Nt9N+HkuXyDScYMWv5pANRrQ4HeCyG0jDdu1v1jYip5zN9d5HPN/ZBepS
NW7ntu8vfDGA79fDu35h9LRovMyNkGvtjEjz7obM+euqu5JZ4XdThdtkbNcrovoz3E1nZNh0VC0J
kR5NxlUSQqR3rzmtmjeB6mknLNyAk1Oj46KtEs+e5eKutQ6nFpaYmelkrqpbC5VIvHA+7qZ6yeNs
wdvKdWedRsLMzXKuUHbb0hIlHPId+N9pWZ74oaBDzOZmA39i7up3rJ6z/Tz3YN0stbnpBJQ9BQos
ViR7yIg4lbJ4620G5eFMb9Ml22S5PqFtbhbZnzJe3hGQXHd5ZyKBTgqi3rB8TPQyZGYll2y4acnB
4mmZNCPd5rWMIRcnVZTHs1/OcY4WuF9QjHG+OM1kVEDGiKtG7fLcL9vVDpsUiuMl57GewVjzsCsF
SrISDSZAiTdXdZKl1baJ0DuaQ60ZcJIuzW3F/GURltlEkt73qHt7WCW68g0K7jYvog+auws5Da8j
jJ6HaLqfdVuYDkoCo9MpHlrHzACV1NU617fNkm7bsthWob1AJd5HtNrLHEOuR9agQG4x6+8DqhPq
P/YluJdkoI6iOkOlAAsQH3Af3utxfq86eWFHtBFrTU0e9DYi9qTOm/vg00s28t3ordgWo66gGan5
xg6I3s+Sr7EQUbrhii+wtoWYi4KJJpTHPHPlKcnZRmZrjKIxa41txJJUlsNFrsrw1W6hKcjjNoQT
pvWHYcq7s4yEdpd2OGmgom/nZVMu+WYc2s1Ayxub7nVN36s0nDmwlSHYTZVmUCJlCDZLNqLs9Lbw
am/rykRV01qjw46P0E4V2ftVicXweul3dYMeCKJJILnx2ZIoiI5FOhmWiiTrn7OB7b30SdTqB9lH
dzqVd7acToTHpq5KHk8ifOTuLI2INqzpMkNwltSZvhLFFJJKV0lK17NCI2NXzvfR7IozEaC6ZrzZ
aUogClGolHfZ4EhrKH+HZnSim2VDSLWVcyP3mZ+3Ui6vc5mf4p5drll9nnbQPUClAlFm0/b+Q+nE
poHMPqNiQ2SfyGmKFS/Pm5Tvs/XKo8ZI9g4xtKHDs/XRZlzrm3yZ4rwZjfcdFH9DEkBHrL5C1Wiq
evAJh8o4naGqsuhmJWLH+bRjkN2cVSZyQ4Kq4oMvu4tIRG/64UrW4bbl2UVvoVmxDzPUk0lY9NYK
ceGyKSmG+Y2faBtnJWSP1UXurlkU5AfarTju7WXRZzZO8+hZ0LAhqqviqVu3aW+XM4EDL5Myg74K
mpe2fHRWs/E8lRzKPOQ8dDhp1y/QDVFVvJWjkxAIWYBafFx9+lhmeVQaq8awvs68LkNc141mJ5Km
0PWs1YKeZF+QRzwP9nWX1QwOjnPxkDVd9UGjvmIxLYfquUtrCOttUUB6qahebtlSSmqQXZb2Ipt1
cUqHZumSyC61iyfN2x4if1RE0No4fDVBDxeZheNexIWgnY+hyuoeEPSIUOVlqqSxTC2LjEvTPjK+
nJZDq2XtDDmryj6UylfQlLAO7SlfJhGjcRSQrUviglFFH6G4asfBbiUd5Qb5NGyl6FAdO17zbEMy
fClE8G/putCLkWToA221dfFYIej5S7Li0oRoWbpNG+pN1kGRnNCMDTlsn3th8rH0Dt6IQm2aqks3
dSTq5qwG5UJ1NRGkkohycW/7VULo5qO95Pmk6mSkGErAmS/dO1aNoomrrkyzhNCxF1s35fZ8VXMY
krQt8kvY2Hxno7E5n0lEnSnaVd5WUoLR5FPt7orQuDvXan6/6nR+jjiem2RFnS6huatdHiOMqtmU
/aGzmAOC9MpLXtTblpVQwBHPVqjcmU3XpG1lm8V24tWYSAgYMmYTtJvQKHfidVo2/E4V6wSRZZmK
0uCGz9F50euqjIcgudj2op47cLq1chu61kElXOR8NsCX0CvGmhK8fxzllWrLADBT48czqCwViVcs
Rx+7AMkyZmopD3F85oOxOS5u8cA1g5JA8xUqfr+upleTfchdFb3BHQBkJ6V0ObqdZ54foh5D7+ew
Yh73pOiWZI7WR5/zEgzQVTk3QJbVUbzMC+7ir8HNb7C2Rw92m9vsdzrwz1//efEHx/iZy/rX5wdC
8V+/XTVP9e3QPT0NFw/N8ZsHNPTPV/9Fih0wyD8ZsiNM8ws1+W8Az58+/O+hoQKQ538Phn7DIR4g
xsPrX7BQKl4pDW0mUgTaOoA+6R9YKPA5QnMmFaOaUiDSAPD8AwvFrwAbBXqNKgScj+aw6HcslOBX
AINiqiSg3hwDhvpXsFAAYr8BQhl8h2DAaEisKOEStv01EKqixeOOCRvPihkV6K7y5b5pM/CxxrCy
37b53VeK+QH6ClzV9xI1wLkglcL2gaz6WmJTZSrrVmmhWFRnFPmTCrL8z0Vg9L0MoHyBFAANAlOD
QXtfy1hK3JRdnULu6B6z/qpMqclEc9aIxlgbJQxdVsTH1fL8V+Uqqg+MKBIgXDJ1BCvn47hkDoHc
eqCJS/1J1OFLb9WZAACSAhZXNDek5CdKfPi55MM1fY1ngy6FwFRSQJVBpeRIMKDJHjIOcTFgCikE
CigGqGw25TTdAbo2JxKn/AUlf2c5IFIrRUDFBCvCju4xn7iq7Agi+2b52Icw7WWhBpON0fWE5H2n
mX7dV4UzPz/pD8RqkKm14hyIH3IkFgGEIH1eZLFfbYHNjMlHl479Jg3udHYzIGp7Nsvo8edSvzNa
xUCqZpRxIoGEONJvi6EJdADuxWXEehoDBlO+XUoA/bc/lyO+v0cwICB5BcUcrvLIHYUtRde3dRGn
fWlaj7cBcCOP6rN5sS8oEoLLkclwhCH3QpvJIfkcm4ywE5W8BZajloPJ18tAwOHXF4R8r7eDEKBY
qKIIQ//+rSM2a1l6HEVFnHf5Nh8kdMhzmDY/V9oPT8IFIRRYQEBzjoRUoSq6caLQtWc+3UZTaExY
mwdaoCz565IYAKQKM3mg3I8k2UIXBHwczCBDMcTOeACEEpzvhQP9SGuMc0gXjIAdHIL/1+FL+kIx
0vgitiS7k7y7bcvmBRH4hzLAiwgkJorosdKiGY8NCnAzUw9VgEspuS5TwMynzt+uqEoAjdQuAWhq
Smik3a7TSxeTekSvSTcBpRMGPmxCuvgXNvaDyyRA+TJKpKJUoCP/riJMbW9VEa88NwQahx7qdAY8
2M9v8jPD923E5JB9FOQ+rbTQx2loQA0e+nxwMQ3zR6jzwtYOxR3SJU+Q49GGIP+kpRfveWVbk3kB
UAFpx36fc+TOW9vmO1YEftoeOgo50udhpJ2ZS5pB5TmiTz/f7sGwjndLqCIajBxpcNdvLUJIy0rN
JGhluS3DJ5leljG5Wej9z8V8TozfyWFAHDAsgXQHnvUby8MacDIXAJzmk9iPzTQDclSFS+WB5ojr
rp/auOuxlGYhYRaGhm43OjJuOsCaT5bIebFBZftCUPw+5EPdJDU+VESKyOOQXzU9QcvYQ3IDAFJ1
i70Oenpww27kp0M1Rztg/6IXstsPzJBSDdMcFEEBpr+LjlFVQ7jHLm6Z3PhZlSbL633qh/3PNf4D
N4ScAtFEwdHEdxEl5E2/ItS62K21tGaoUiCpvEpf/zUxAoog+H5yyJwwCXdcEBU4IniswH6axUZX
OqNpMs6kf+Ewx9nrWMrhsF+x6qsDzraqMziMb0mSUQtwrl/FGTCT7QaA3fEFwzi+pGN5h+dfycuQ
zu00wal4d8Hw2dq+wS8p7ociKPic5FBxC3bkEMKjsRs0iNDluahXUykAhVj1UjQ6RLWv/Q5OAiNF
AtxOM8Ihv3x7EuLc6Ioagd9xO5/3NBInZdqE95PMpkuEuh44wx5tcwDFQxWuewzBcfXj2r+wkeM4
83kfGAY2Du5GvzsuAM247tXiYttnJ1MNpJ5KRwh/iG8GgqZNof0LNvM5Z353dChEIBhrmOA8zqmK
zzBJWE8uZnIEqK+p0psKpglMKmhp1nwqbtNe82RxKUtaOiWCRmQbXHbtgBmMUXG5ArlE5Q3Gor0b
2vTy557zAwOAQRYFaQJaJBgWObIxvjLoTxhMerB07h8jRd3W6x5SYZoG8YL2X5J18K+v7LlV1HNS
QPRdgK9bEP0kACwLuX/hSAeb/U7jXx3pqIpBopqzeYXKfbZandu62bscsBjBrhadv15IRszgxwfZ
+TL5uTKPo91n8/rcvUKtBrX7keQ1dwOPaAdmLoBoDZ1wZx1RL8VU/J03QfYiGqaZhTwcUx7pEXIw
GmxOoKypsmDyqtoBYhYZDtAKb8S2K+y9n+1Op/V+GrOTUmcvBKbvGlAo3WEeGdgcLbWUSh1FQhtV
XVgV6+Jg7Sc5sMuSlrfIo9yMVXaFu+EOjSTpc2pIl57+XMnfWdGR7COLHfykkeunLu7o4zyVhkS5
gSGQF2wVk2MrOhJzpGTczL6doZWPDzi8lONORvnDADCHEaTZi8pu3LSctuV4SmXEzAQTKwnup5Of
H/a7gHXYhVTAdxGmKD9uMJxsewRTWh2w4cV1m037PIo2EUBmtEw3qa/+coAEeYc4oKAKQ4CcHClX
yXRxNPAuzoQzEDJOQqiBFN92ggO77f9flCwJgdNpwI+gkfo2ImTRNPW9hbsE9nCXNfkehsVuep3v
a9beYACdG9E1Bq/yvMlTYgA9J2bpXorRxwXYwZolQzBGJ6Vk5LgAc7kEJhZI1xiIBjbeDT2BGLVG
vbyKXMu6NzUd5+a2ZNQDxV9ODX/980v+LmxAI6wA7wIADfpwJo+q37oP0ToMUHu6dT4HLVsgjrO/
iKAcmm1IQJxLADQAkjvKwL7IK08C6uImlO8BqI5tk12rQb8WyL8b0uWF+vKHR/pK3MG7vgr1s8vo
mtmiiwsYAQDqo92Habz9udoOHvhNnD860pHagmIZgA1rd8isHMY1AJeu5WZKwRshJrxwIAyp+lge
NMYUiheAviigbse+kfJIZWWVRUDHtigOQL7ghI846p7HVSyAlpeRipJeRC7d6CH1tx5aT24GMXJq
mjVtlhUw+oKLWKmiuVI2HbO3mQXW6jIvcC33DYDuMK8zLHy9JasMl+WMo3dLjeQZXdHqPvR9CySC
GJi/mj00LTDil/rMLEVxAOt7Ne5c13bXSi4VwNMqJ1cpmjp3r/FqMYSNcT2fg34ti0JtehnJewmD
RTcz0A/qPCf9rHbLrKP3WMOQ8Ek/9/6mQzDDg4G+SY1Yp/AGzWSCkmRVyxVDVXUa4P9JbFBL0ucc
Eus7W9rmgngsLwsJQy3AmTU75twz5/3KTmGWRc+mmTBeYputtk2CF1k8dAy5zVJaK04WAp3oYVqE
tCcw7gSNWKfdQ+lUt801JvsaRkjnzcTRgTjrs+kdajQZTJ8CQ0gE0HRcNWu3nwaYm3BDsS3JkJ3N
PE33LXbTtnQwA0PaTrxFkVu7HV8wOke4Zjc6VDSBkZ1bGHgdLluYvD2dYcSSJDCFBFNx2RaYmjoF
OhIok5T4bDPPdTbsIp/6+WPPy6WKhxF4y2lkQ1LRXF5100CuYQKnGTcVBxZrhBtN8BKt461Na3LP
h9DPAEnlDU+C4ro6BeJoPcOuQca1pALFVZvBR2Nuoq4NhvYou56rZT+zYojXeoTpT9SeVI2T74Qv
+2eYHqKbZeoucG9hKrdZYQRnaa+r0AAfrABmCGV4VqI60L6ugnmtrI5SmAQ8aWAEkKA5MmvJxKem
WrIiFrU1rljLJMpnsZFAb/UwZWnpZVsRd41lhG7gvoarkOcIX+h2/cgR8DYILs2a3JagZ1YLbxxU
1FTXz3QKC1Sz6tofcCUfDbEtssrMnpG4bhF76/r1o4RZgfdFSetz3APFndaHDeauOZ28aE5zL4E2
FTY6JQ15bijrOMxPAbVeuXzTWBjNk9pEpbsvgi2NaPypmqIFEFv2Os2e9NKr+kBcRu8C91eLhzuG
wIRNu9C79UBNzuvS7GVTTTG8FO0qucz77pDwI5jqPWvgVZ42I7nKdb9Ad+KXeB0zv6kDwtsCT1cC
Ml3ciwXvZiDvTDmflaHdrCW6K2k79Qa8zsbcHmAvmLNpacg/1D0ULz2QcTHMJz9S1BWbNi+bC43x
uofSyV2V4GGf5jCiNaYCJnLS7sNaFmcAzOE5holoq9/JsJg5ra7KYb2v+Lsm3cwjnu89mEd9Q1QW
/EbNY72ty3zcZb0mNThm7W7nCEgTg3BLbkf0zFZSJkiNich0okqYGCDkwUZgZgEjGE6NepTA1Q93
Dnr9s77oy/s+ZXmC20JsACPP3H6A0NZOeWbGqN2OkSCPPYxAbvO216cVTAvJjYUpOuTwRdewjS0H
s2QwCG41f5JTftaXfF9ndjsvDQwe9+BAjm0yBXPhm6nkA8x0kHWK/y93Z9Zkqc116V/EG4AYb/oC
OGPOWTlU1Y2ippRAQggBEuLX9zq23whX2p8r3H3T0Q6Hww5nFQeOkPbe61mrSDSAgp6HF2albjIQ
ShCM5ypyndm1PQC9Uhb49W47JJwfk2Laqa088R4Qdlh+Tpd4D2ytmXFAyK3d20SBGV5e11w0Ydfi
cl0jIzl/X3oGBsqHxynKdnOid9m6HPVy7MhaRWBpHbDMydIGB0Flh8HNR6sz8jq6aG2Umj5iH2vK
TIb2HHp2RrNr0GVub1kB0qfVutIyf5n1am+7DNsCy0A4jptY9T7CLO8roE+HIiC+C7AuzolJtptQ
kGzctx1xcVVsaJwsW6ZvUzd+K1j6sIVSHosuY301036808lMdzboIrPLVPGBMHzTU5rwu27ZgqEq
3LbtF0PHx1XMG75vomU1+Di8jyMp68Qn4uu25fRkPf1eTBGYamazl1AxedwIv0kUvZ558KLS5GM3
2FoXnQdtUNxnRK27fCIgs7bxPhV2fBzB+lQApbC9qsC1NRvXEeuJLWV0SsfI9Gfj1+ShLzGHjFYK
oISXYwKQCefDJunrrIa4psXSyV2vRreeKRqbQ2nZgUK6r+gWLG9Jr8HvdL71/EnNyt+TUKyHIOiD
a5ZJmh22qc+vZiV40PhiK+oWhMONTOIzXjl2XRRDALaY1XrCvJt3a+XgeKi2KPo2LetraNdMnyEo
JLvFOvqtzP06VnQNtwMIl3sJSAwdey8aJ4DdksEfUNY2wbo26BeaQvhzAbpYGkA7CphjC7jCel4D
SF2PbR6DmSoNyPidWYqhzlB7vAJaHpJzKJVJHidGyA8TjShxtFsAuwB0MNkNCfkNRiSHiU67LXf1
xio63rb2tp0wOdQlgAvJB/BliZkAIqQM4FE2PhpvlrPkxqVVSNoe703RfSwY9/I88dVHoHQAxfB+
BXbly1XihcYrmtIxNieTnjpGzEu5ivQMZwypllDFQOWVkuXVygBEjZhQVFjMYVfPUygq5THJwTg2
qzgH8uPY9lTYZcAN6nF+3uAkwMzJ4Gr1VGRqV7J8O1K25A1Kn28sJOrbNGx2qodIf8RO9QWzbo0p
4pxMTbmW/oHFgTtuWT/eygDsfzPRELT3RD25DYjsB3A5qzfYYoSTjfEirtauGHTlIyrQNgbDzZr7
sBlS0j0Hwgyu6m0HmK1c8nrAIAHwR5ia9hiPMJHUhpWAdrax+Dwa7Q4reIUSR0q6siaeCjdBrlPR
0ti2HNNapsNrqda667KPU66zhsggB9di1+s5Dk6pHj+sRTR8bvN0PshkG/c6C6IcT8+53dw6d9tn
vb/nCi6DNixfSTfDe5EHx1UNjjcrT/tDrkVc46fYXbQOA6BT7NQBAa0XWdpvVTxseg+7zvOUAsps
RqfDxo9ldzP37VB1jLGPLB5QoNAWVpqqH496Vryr4nT7lHh/q9ap6IA+kiMvdB0Q1kqI6Ha4n10x
X1Ng0996T1QTqtIVGBmtDzShh9wOV1E6j48DZ23j0aw3M0/EsV84v1aFO808JBFGjWy3bf0n0y0n
p6ThuxEuD1o8Ka2mO2Bnr8ARWcUU2W+pnjAZXFMI3hhOBomw/Ue24alcycmKg8b5UGNPo7fwu+TH
ZLN3Zc8/FCIdGhgdUB9aYUMAv1n/SCJr20rgXaoGlMABYKLksRtjCVIyCM+JH8wVKMvpo/TrI5PR
A6Hra+DJweVyZkcpseXIeZcSNbQXhDj7AssTsTtqCOkrEUbg2lscNjM9mS2x9+08TLTq0oCW4O+V
+eq4Gl9nWphHjcL3bpzUXLtp00/Lpq98YHvTDE4/tm1pm3ieD0TMeTMMWrxtIP0WataPWuc9wOgW
w9pRJi887dYGFvIv+dL+6PttvQZIyPSubOErMPly03axO0QrbmJQcbjnon0hZBgaI5a+cSuMMtTC
arQ4ecXSIb1jsosPQOWXKrEoxyff3rIwvJ5NvCu3CAdbPrkP48bHpmvXVVQBfBXd0H7JDK8zq/M3
A/oZjYxmd/1SnLNW7HSR7dGc1hm07GQZgsPcoR6QIxmuXUTU0Q6l3WcFn45ZVADFKsAMl0Hescph
G2gCvV3ex3rg2b1fy8qCHbzJZSahGAkgounaz4dSoL91WuLgjiH92iuS2oHXq6GHbM1g04rmt7Ub
MPANvQGoNqxhfxBk9qzO0ZR8W1hOK5e6uE5G7j4bikoIwNHXLAbLtFDYDQY+PZbl8FmNQG5tyLb+
GmYy4E8+BMwfUy5OZomWm1GjyILHY70rjWJNkep12HdltlbZElrRtCJk0OEwLwTXyu1ORxlgLahN
SYv9NF+NGet1o+otJjw4mVWXO9uNXYJjM+fzriPYVfvSYDA1tsMuhicPkvDc7aJ2+qou2NNM21cB
ZLbqHCoq347YxIEk6r00S3KMcyaAbIoWuLdYX1RSigqOmVu2irchXsxDl81K7okrJYh8HJPHGdso
r9sF5FcdzRjDNJkbB9bgxVFfNgf31BldM2VXdou1ul5V7LcBhT1RPUwXbflY0guigRaTrc0SFVbW
LZ17cSzdYtaa5KMa86rEmTnfiH7OoYbRtZybC+YvsFuXIns0mN6QPRQXGzWtD8vTuhIZn7VOfHif
RJmiQPfV5I426YsU8P8cNDzPot0iPfGvrUnipGapwwfognKqoN+wSs9FXolZge1lWUjoazz0tj2E
CQfXHPEIRhCghfrLmFHDqk4IhfIoDeWzn2wud271/hnzfUEOo/blDxYLOzc2yfW17Qi/h3lh/lBm
bPm0xClVOwa33HqtO+vO+Mko+OxYwfpDx03xwvvN+toPciVf21aX92g7BuzKugNbh4Ikdy98idUO
RHgZV8BGffFiA6boHdd2KkAYr3l73YEwZLcD8WHaYHvS2JJ6XeFImq/1wKPjatyjU8N2CtSY4l7M
DwMfJFya8JqCcUSjVUH7NuTcCzWWr4Oyy3KFcbRUdaBJeRAiLQ8t6rH5uG7wn2HAo6pYp0zscHjT
DKuxvPXJDPOHi764qLtSASw9VI2wL0QBcjQq7GzimzPMPLeR49faeImWK1LYBhf4MdJhTtbn1pLU
2YOmT0H5oW3NuYXda1o67CpbrTNa4yTZ4+DTlt8OHEBX8qNl4wfT7Qk9Z0UcX6M1Z2ecprYBYQrn
2SEKH+B+25qVhRJ2VkPy/si3Jk1r1jo0bMEESp3HsP6kS9hMcVtcU7/B16PmaGcL8I4NHvStbOkV
aVOY+fwVMa9J/tlvZb2ZqN1T4odb1hrg2vCYZvTY9bVb6m3DurudeTo8aJU2+XaPCw4fXRzpPbyA
n0WHcp9tEVqtm42+GlClQEaT9cpPC4XvL8WErjPjnnfJVww8gtpZn7SVMupaT+01H8P5ZkZXB8+Y
DvCUMjcvsIsZ+NpWWIGATh7suoU/JqgGS9WmG4VPkRTmSaIXSAVePCCj1JqrMC/JI4mj8cXF47O+
KkhmrgFuSpyW+uJI6+B+gAFlTq5jgL8yrGFdblgf7kQM1HbsmMJ2npXBXlO4hPYyFPSuzYCex+3C
G3TsHay08AQHX2O4EuGkhcVjBiKPTVZtcDgpWB2FquYo2jmrMuzuUtetBeLqUB3iCeVERpWGRHlK
y22Uu9ZkfQBZDfa3SrB2NLXK+IMPexLsEzPw+aZPgzOP48/l5tdvOYPDZIgDLSrmSMFrLEg0N7nK
vigBX+1RDRjKGMzj1XUh2tnsg1UCJMY719gSTpghlH66ZWKkGOgQML4TD/GBUbjJ3TLmydPswecv
jBdVrvSnVYSn3FCHEi5ZVrcbGFb8beAjuH4W/jQCMtM7lyc/poQc+nx6nUd0Yce+n3mOkRXPmhxy
5W2k4ExQOJt3Au/JE2pS9jiXep/KLGE7yml6iiOMoDYXkrvCT5PZywCOlYqMvV2fkmxIKoy+xrqN
CuqaKZ92IZufVsDM2dclCul1J4ocExAYOghO5jreUvieq37Cfqf2PFc0OC1pcCPEFO0Hbs5usLfW
+MvkrTwvgda3S5js1BBGjV+KSTTpvFnNmgW0MgPj5QgHZB+kMKQRss3NzAIsqU2lN3o0C+QGq79E
1MGQ6FFpn3PVx5gnwBZ4GSasQc2tXO8AQ2NXLNoNfVg+vEnJZfegYO77UFLoQnU0wX1VhTJ4HUTH
r9cgD9WdUKFHlTev9LQUo4lpZeJlDKqcmmU723QKrwkQq2JH6TApVAscq0yyrREWBe5eYHoxVOUm
1BMXpTttsNO+Dpx06nqCNSqAgVWO8Y5lsXB3nlrWHbbY5/4cafaE8skHcCrCpFsl65q8hcL3bjcJ
9Ic2iLtmwcD0VKp4/kaTzMEoutHvMjQiONgi6B82mcO1HlgaNUILOEziKVkvW00PcHUDssKZPJSp
Z9+Em8OrMurYkW42n2sq5oFklQRwcypgkd75IoL8sO+mHF6MPWbXuk8f9ZxzuqJo2kqcd3Dha3Sj
n1xLEnReQbJOcM9FU449vgoXBtgo2nO64beAbiuCYIF5lkLV5lpjMJCqlt+jhoIVOTD3ZNrg8uwJ
ufLhlN6tPRqjaCFBgzPUdWc2S/nUWawszCWiYar70BYJ+rMejul49JjCH1cZakcFbNkxfF9fnAOk
E4QJlX1lVwfeu8IO4I//TlXA8vsNnMrSMAGelb+TpKI42TgMKKaeZtO0GH957OFZ+UTXX6g+71Wn
y4Ug6mVRBpsAoMt3AiOsPnOZWMgXUBXmOu9imAQi2Pd49oqm1TUQo2ZwSsnwCyXjvTTz23VTMNuA
rEMSppfP9SdphgPKZoEE7Wb7Xh5Cw8Rt7wf9C+7hvXB5uUoK4CcDLZXiH+8eI5uDmXOJx8iTrCYq
qlkfj/stL/aqz+xptqH6hZj4Xhf+7YoX7TLPIaIBnv35vmZuPRkctETV3wX+qpySGvkCv7jIe83p
chEIo2UK+jkHXPju4aGyVAD3Lqhge8LYGV3XrrSkynGm/ftlWEIWhS6apISU7xR2LeOkjy8gRoIZ
MgvooVPC3IpFjY8t7X4hqf/NXaUAFqCBIp8kAY//86Pr1iCJCznjYhbdIUoP1NnTYGq8vb94fn9h
F/AAU+jKCeJPQLADQPv5UmHeeQbEHKvvY3mHxJDMPNN+p3E4KIN5ebsv0lMW/WrN/80NYpPDLQJ1
Apn//gZbUzIWUvRFcuJwJk5j+LrS2NVKyKGhAzIO/vnb+5t3DNwlDAdZiqYC6M/Pd8kxpIVtBcuk
FAwxJVs4VUsS7f5PLpJlILexh6Thu28tDVEvuBavWB5hFAFvZHrxLvlffGN/8+jKMAfqAVYwu5BT
P9/KAoV1QroCXqvirrePyn1P+CMcm/98L7+9OH8Wc7EucBnsgnCElPBrvAMPwoz2QnfrWMcSUlkn
XqbWfcHpB25HnhGwcA+oZ09COVRyoVUOB7XosusYESYYPSF/AI85mBJfl0N5n7vp37+NeBHBpUI+
z4Eavttb+NxP44KqAfOnqD9qhZG99Vqd4OuNagLO6PjPj+Py1f38NJIwBhCaY7GCYU7f7Z6Ry8kQ
a7wlxdQdSuZrWRS3HWJIyOKPzs97z83XWciP/3zZv1LDF7tMmaVpiJ27RFf385edxdtsaQmZSjfd
aVvgkGuyN3puj211t1Y/YKGpluybqc6I/PjFK/PXdZaA1C7QmSEdCUTIu0u3qDxGkRtsOro/4NRq
1pnX6QRX2lz84sX520slKQwW2BFK2B5+vstVjSK2lylJj5E0Qi1CsC4R0gWzX5yBl7f8528RhxGo
VByyZYp4p3evjoLUVk4aezgZuwYScTMvGtr2tnOGN36OLtX5L97WvxDOOYoWkvzGCyG8EJvQz/dW
OLgsgxxVxRIlpPJrdJg5bPpovyDTh89TJD5Nw3Rk0FTGEL2ywMSQzI9dBx31nxfTX+4+QQAOOHfA
9zGQ7vdP2QbR5MWFOElb3C15GFxYQ6asCLJyInlUvzLs/OWduVwPoYw5LCw5Srh370wKjS00QwzF
Yifv56utGhuQhq/z4Z9v6y+FDS5z2dkvbH2J/Jp3W4HKMLzI0LPUGMWrChYTRDxQ/6jT4AkFcAuH
vm3+764Y//yVwvRd9DEExDqT342Eo0EG0G4ggATzvut/eUJfntOfVi1BX3fBkYADozjF2fJuBQGT
GmdW4PSHefMcZfSWTH2j0R9jNDOwY7zB4KyDPdfJ7wvmj+i3+9+v8XuQ2Z/Nj3/2Qv6vp6HH3+/9
kj/9yOHHcElom97/0P+Dpsrf7Fv/s6vyz1mhF1Plbz/+R8Jc8R/sG2kE88bljS4vFcQfCXPFfzCE
uaQGXuLlihwH5X9NlQiYKwBZY2H+/j/xhvzXVIkgQcjySI0Bh41jBYjZf62kP30vyNL747//HDAH
0vPnNYJFkaUoflHhg5PCv7zbrPN5weuGEr4ZedButTFTdmQqBSu0AZzhtJVHOoBrblg+QvvTGDry
IzIPOv6cl86uiGfgKX/Io7EXT3AvF3MzQBvRBxQ6JAadPWjok9M069t+Dstun8OuwA6hm1a2L8eW
Z2eu0j4/Z9tEkIEgJkPGz8vYJ/6RDlovSDbpSnlG0RwkL/CsT/CbqYIh9GhGNkqB6BEefQrXnsJ1
IQBX7GcTIKKDZk7Sm4UtiduZMnZjwwzGsZVeZIgEITF194WZkHVjWrjYMFSQgdwxbRb/zCFBI3Vo
3basCsseFRnGmjPblcTRty7LYBEAkb4MBwupIIMCbAXy2dIlT8TDCBIgeY5psvQ7P47zjFSHoR2C
sMnjxLlzyij3GATDk1l3sboM0RZvk8Yt0AMOpffRUwt1kSL0Jldtc8Htb4NNqXFHF4HsDILhPYZ3
Lfd3k/TPErpYVhlEMH0pgCDcRV1nfaMWQRCBNhvi6iIPhu8gwgPoa0lX1N2ms6GOiE3ThkJpapGl
Ndi+KTIkotQmbSO+n0bUFXgYbQe8IdqGBIkbPNkQtoUbfU7GSEKQhMxzYyWSbE4Cc4AZslCwsDfZ
50v8NOuwmPbIGtRF7RdJ191Y9DmEdju1Sw1fJJCknJb2xjGSiH06J5g/rUxgOTG29CNYox6XThQj
fCcnE0JDYZPuTikwmWfDQFnWGt6RfsdIDFZJU4uZVxBM9JHnc7jUIzxDdlcAIPlOBQIed6TTqmum
gcz8GnM59ci7GXFv+Ujoj7Xw/qX31MzIGQzm7diVpYd9qF+jvklEMEDnSvsYquZSfIJ6FhyJNNCb
qCoyc4a0teaHjEFFQdqVLbPK21V0eyUKXKAnxu3bbMVwGqUmi07FGoxhQ6jeLurJJrHERluaPXTT
4tG7LL8hq9ZjUw6ISasJ09ir4eMb0FW5aUJER8/lHcIkuqza6Dh+WkwP0idSfoirNBGmh0DZj/Nh
zecCs+qEhUs1ORrnN5hGRr4ZIFf2J6BRGtEhedqBwmHzW9EuHcP4HNgKSqmJvmazh4IGm7VGPGEK
wZymGtYlaWd3ixS+klY6kgKeN59QOFqAPj60gJwwheUzglEuFAmt/MgKggw/D7kLklXxpYwYZscU
Rra8GuzQXl73bPoQBhK4lIMiXDYSWZV6b+N583VHsHvcgOidLuk1tBVNrwPkeHUYgj6XXR5PO1JA
zKknUwJEWSYCOM9MQSGaxWFETGPAhQ03KfT8cU3me9Uu81cR9eV3nYw5KLbQupsRS2HG0xUZVOCA
RZijQ/p6RVMCTpmJGGoZRH//KWvHHFE6QZthUfMsu5cht0PjMgrxqUOeA/ZCqNtTJRAjtdSdJkt0
ghre6TozMGhVac/HFtNcFyb7rsMnAJat+7JCOtJ2C0GuhPl0QXQf2h8BkoSUDMR2GvOAVT7JTA/H
O1uTaiBJ8S2R49zXI6yRCvKbRS1RjgypbIOeejx4VmLcZbF73MoE2ngtCRC0fRu0/Z7xLP46pv2A
ssol5GM+AFNCY7vEVx4hT6SCS2V6TGgeBJXFpoOsmc73Q0OQB4PQjxBhrDtFi+hRxogDamUxP07h
ZBE/R9DBHjpgSLjVOKfAkJJoOy60A8yHTMnR1ujMEPGYbovkjYRd5WMaM7CvCk8N/gJBIl4DzZ6Q
5zEnWHMEqaSnuNhIjRGp3cUdv1M4qdq4r7KI8rYiLX/WviWnXOqKb3F3C1zTXuPrYjs/hw8CHqU7
nncNE6CitGTicc2SK9mN4z0U/Eewje2d7/NGFcHVYPgHOmMRmDa+mr2+p27cqnYKMH0q7D3x6U6F
EEdFCvnQMR32Nfb/4dhzgijAMIsap8fxgaYDMK/wxEE1NOXUA3wg0wvOOIEPQB9zVXTPwrsXYI7t
LsSHyEJeC7Ms31mIuKw+fgH6faItz6sJ4VuO0ewOCSQHUaZf3eae8jnIamM9vhEa66PNtsu0Udxs
Y0f3YgoO7dZ9HTLxPOWAEYNlPkOuS37oaN17bCY3c45A15VM89YsSMH5mLAWWjZGbvVsJ3bKHLQM
/A6RuMTubb644LldCIeTV1jvSO5ZxiM35FZA86oMyTDuTa5w7GGXG+LG9iy+i70t9kCSgBpHSAXc
JTZlDY3X4qFUWXzcNpTdVcSDek3DL3m+obhHNGlXTaDyAaZcUTecZ8w0awK+I5n8nWz7BzmL68D6
OaicScX3xaQ3Iui7q43160OucKJk44rMsUHcu2C97ZZ2eepBmzZR74Nj4rtnZ1p1g6/dVgXssoBe
prjm2IsOhQIQEIwFFIYweeCqbA8WyZwpMARziFWQH8GpPI+9lA3NcfK2yORpRLdcxQl9MnFfHsdE
3ABmSz5M1kKr4X30EC3xJTWNPKxmLIHIOPU5hSEZcTRjcY/IJb7bstBf8hcUtkhzOxelQf5o2aIf
SJWaP1in1Vua++E6KYboICz3e49w3Zs5QM5TaKbvMRiu0xioZvAK+w5crWBJ0ngqa76OP6YhukOq
StztVJL0R8CLwwewMhDXVgS89pNSlS+X9r5jq2V4qaS9HUaeN5r3AqcrkI+qaN290OCNCOdPZuWv
oZ6RzIhStS6zGJRmq1/pYi0IWfZNyvkzOg6UNBlmaR8CFg5PGYJKwVsL8h25Ds9diIBJ2QNSCcME
9csWV79lGLuktbuodwdiy7EeuRRHpslnpP0C8lqS70sgENEXVmMcZru2ZMGHvJM49azMmtQXEEg7
eo2pg0CEpcfnz1GztsM1VJb0Vm7IOI7JegOCH28zT8vukAtCTnNSngKRTRXyGx4GpbaTD/TQSGgk
lYvlHg5Yeb9kLP6eEvlI3fYRWPxbuwT2IQicf4pTgWzgGal2ywnYDozmbToiRziDEhcfxiGZ1Kkb
wnQBVzxOEGLxOiv6lYZeh2AzYytu4HS9BBYXv6UXj2zYwNTGok0QVUp/yzhekml6NDMMXOf49zTk
hNtSvlFk5yEnWVDj5l2OUmHTAPDDDqnK4+8Zy0gdtjmOVxFMwzdbmFm3u2H2EZKZURMQJW5T0JaE
gk+H6+yMBJ1lZdCY+igdq6JwvXjoOJnHD6RdgxXW8p6B1nc96ihyzvxm2+7Aez5EyZOBEz7W98DR
Ef12zYY2VOoeBgxZTPdWlLHovtDRMETtTdTSt7DkOWhFBJPhI006c58TRNFWI5/MVsdrhji/wibZ
eliIzh670qFchowm95kuHA7yzKZFiEjHLiDPnSr0RwwtdLhTMY/CV93yJFC/D5n+VTf7/2dUUHwx
if7PXe3Pf2bCn/LWL7/s9+42Tf+T4S/0sTB9xUl8mUP+0d0m+HMGMCvDxAzGt+in/PT4PxFEZ1hS
AG/Arlxi8vJHextl/4GB/qKWpPCzx+W/7G4vA5U/TUAuNizIfBlGPCSCyPNeSWJAj5GlhVQyOUYg
1QB+9T/aBHPmRhnEn65phB7LbFtYxwF8E1UEhOxl23wfnWyH3Dwc6718M33kPzBWorqMkxkJokXc
HWK+TeDlQg5fQ+4orBLAno8ai7meOo+kbwRase+pYuOpmIJntRVpbcDxX+E8msOaEGpe227MEb7c
Bt9pkYSPuVbR3qVQoPCgP6HbRIpCD6ihLMDzHfmoyHTSRrAvayyzTx4B1PD65/KxiDxaWDoLcRIM
k3N8Jdf43ACjSohEsFfqOH1jIKMk0GXrmnFRyX1KAeERTNoR5EbcQ0pSRNUAd0BaOaGDPSCZd0FM
d8mTg59mMCl8nZFaE81b35302G/JFZ3WnJyFkHCLwl/ZfUAIV2wPBCiVbvIJwvUNF2t7GAgiuzuQ
GtiAVY6YwDlv1+c4XYw6bbSTV3k7TT+QgChB+ktUeAheWg12o1E+r3xoJ6R7IAngQ98xFLlHdMNU
fBPjgBBPQL5ikf2LmkYPypJiLJmNh6LYcDJbeJtY2qRopyKOIsQuo31zfMUYBGBsWGCeCxdHj0D3
4EdUwp5zH49p2mclvjAWlzvV0mUwQdMbJHCHN2ufFgJxt1vXsts2QJ4cr7G8AwARDYuzRYikjiNV
RjddUaix2uxi2iZckPuJOJJw+e5c4PGBsYJuZJdO5uRGpArXNkXU43WxTQjQAWxpKexda/ZK0wJO
4CkrRtuMG9rfyrmi/LIsKdiZIRXlVW5sChQMtTJiKFejkFpAoW+Ee7suiBoFyzDVy0JieTMnMrGP
WQIiuk56jKTgG+R+B3qo90AFjC1fy1IUT8UoBgT7dnzZhwh1fMiztbCPUReo9OQwt5xeXFBkL3Qr
u+88VCS5G5HM/XkF6NMetjxYES/bSlaPa1m6eh369L7QWYeUPh0gLTrDjIg/Ty4X4OqXAg2My5X7
lqGeQ8hWGLRoT2VefJtGznyV64vjC2Xj5upIGyDpsGRP5Vk6sX2coU2ic4M/6mqLAYpWSH65JAyv
bdzujII1qwkUiv+CR3aFoUPD5wN5ttyT3JsH3S/xc4o/ECBoaDv6T2qxuLZVBR8QjLuIvXV9ubsw
K9EZhKOv1LYWC3pgS57G1tOptvhTbp67S8uxGwfPT2bwLkR8nWYUxiA3rjuY4tz2JSycwQCKYGBW
8dwzfeYdOJQj+gK+1rMkYQcaaIaHMKIhXHQbzGxPimuOJG2PtQgOfYySOwyhwD6HnuTfzapkVgfI
VwSq7gxgY9kxZF4XbYbxHUzbvuEjTthdLzK7b6OLqZr2ZQkHGiAqkDpRxr9o0SfHAQDTHYQrm+x7
FYhPdCHd/+buTHYkR7L1/CqB3tx7F16XM+mAroDyIebIKXKoyg3hEeHJwTnPpCBAGz2E1lr1Qju9
Qb2JnkSfeaRXB+lRMaTz9pQNNDIzssxIo9mxM/z/f9p8Fk21CTwDGUn0uS3X+QU5CI6/b3raujMS
9V2iNMr5VK+hh8VO6n8zrUZCuDeISQsVU6Ut5yb4Zm/hTgIvPqdwkSxaB6IDqtTA9EIJIedFGzvR
Z/hjyi9k2QTVpbPiLyiq6L82cllI0CgMD43xqAXLkuh2XrJVzE2FpiCkiBn/teMuVQhV7jzyyCC1
qVY6Fxs1sRed46Rvu9KYfplgWJNZPeUMHaOFGp7FZjKlLJ3KhT0PKxvd+hC8K3QdZBopRzZaFYHG
CQvyEooHWgot+4mjHhcaYX5UFZ3jXZCRcMwzJZ3G5GImSFwX83yiWFEBbdxm+5yoZW0jv+pNQt0+
LqoM1diJDSJmMvNqClUwzywDsgToF6kywHEaoK0xH+BxgJw7ef01TJ3pEuywCly7VCSyGdUi9JF6
VlBmhs5mJ1RFoTVrEM/I9FTElXXKmuYckrrTjDe2BttEJhkRSewOYFIkUQDaT6C7blhca+mppW+G
i8bU4MhEmtPgfal6mm3OwLanPk6YLsuXRNqNIi29UmbcpetUUh0ft3i1M8wOWRyFpG3rz4IN8deJ
pQUdeQcpK20TkCYtM5AOLl1TrS9C3cX9m3nqxmg27yYaUFh9lmjTMF36uTy51V0V0dasdpr0UgNo
C44vkr/qiBdvrlsKM0RDVtmSf7ay6NpLUToCDFKSH6lDvUVG1A4LUM5W7CCpqkIpPfWBE7anepPn
3wI9yj9OQB836O6aBryzLAnX+K2Bc2zLRl7MycClkBjVRvmaBBBbPk5qFI+R0jc30LYmykY/CXOS
IW/JTnjJhaMpaEL4jQSNENr1tCNEskMRpgemARt4kivFSZrz8D6g/jA3FnloVfovVagnE+i9mdEV
b4uuRKwUWhphWOKHdX5sykGIlG6dRp06c3zMsaq4hXGmdq0RXroAts5akiv1ZR2WCJzICmN2J1IE
oBvWWdoo7zq4IWihw72gxUcTGcZ7qJOyulC8Svnq5KqJRrXcIXmtZoitvqkNhLKsurXeFrzR9DPy
suj0T7gliJioB2jn8N24oTbg11Abp0wJ/K7YyDjjVi3pb6XI3ECyL+HvzJDnRvU7l20nnlshIsxB
OnGoyBJQvNGhbV7riW0fm66G2cxaHHR3pik+qvMzWSmVr7KXuYkwOlr8NYb28AvYfo+ytcifgthq
OuMsBADpvZ8mbnQtt5Kif574guszn1QbUONYjqkG/wCoLOBjeZp906CiZp9jK4ymy9gPK3eRW0VK
Iwx2f25fZAHwmROfULg7Bt8IQL2w87qiIQAnwmvmQaql6rmjSf5tElRGsrQqhySzy15s31Vh4zpf
S5LHX32j0SmT+AYP6oex+KZBpCfLGJfXO6OrRK5/dKKJDmk31PUiPMY3tIFONmVDgwtXti/LqW10
H2QLTvdHCG8IIHdpPEXsHBS+8pWQpszf0SwjekdVwfzqB5qULukjoKgnZeGxVSICr2yp11pSzWo1
RCMsibq6iWeqHHrV19KXdBXrAB3zuLWmZUXiZoJQb7UxJ2jWw6C1ZgHK4b/Y7G3pKnTDTD9Rp3bn
npG6RzfcQuQ/nxud6YeAqquCV1TTSWnM9HyaVUvV0el8AnpdO8bvcq/kpla+REHjv1XkSfjRonFK
O9dtGWJ5kdZqO8/hksAXkbmCpRh/OHdBFIrsGhk16C9qinjONPsikXwANO2WZbkgJ2lOlgEpo83b
jZ4Um7eAH0nMlptoetp57SQ/pwuGPw+VBsgROMPy3M4la2UneVTNyRZbX1Po+TWK6H5jXE+qHHaf
ZFOrmbWbtjzGnQ2+GSQ7Tu1y4rCbibm/EbY3n5Kykk8qWzLdU+Li5EPHUW2P1TZni3qwAWinAMIJ
BnCAUoEnvbezrnybUSu/M12vlmay5JUKBTXBt+omEmK21GsLYNYa+2VSu+x6C6ICJiL2ptNZPq2p
UxiTqHPMWdXZ6JSDr9EuOleD3ALvSXXvwk2Y6kCFNzbcd428/NwMQyi5aaUav8QT5LnjolLzmWNL
NR0putiq5vVGalZ6lrbaDG4GSdMCfxGV6zwwQvxqOzMvLSN2r+iUBFgrzjNdFjxmiashLs13eOnT
VRhuIL2QXEEDQbU9Uk1UOogefA10I15u9dHtarM87Qq3fWdUJYandTT/VGHTsfld25guzSJrbjYS
ukxn9GDB9OWTiZoeTyET0wZFr0tyfk0ph0t0w92YfD2G/Rkcw6OQNQEUMeEpohJiDAriXSCc9HoS
znVkF1EaT/MQTTzDm14qTR0DLZ7EJSnOrsH442Ow3eXUULs53BPtIzV2N3kGjbSHdLjH0NHUR6Ya
jzpMHxAQZ/gd9LIBq9wEzLnpdOcacYJoIQDRpBENsBUVvjNENDLNHa5G/cyaPIJvExJaZAIA0xn0
NOg/Adc3ZGUP052EEqQ7uuegWt7m3x7kDR6pM+/PgiYVATiFawO8rzJAdBQ+6gqB5sWwAFTtWDYI
oiO7dd6/fhYV3AhyvVtJo8EsGzqbIEOGD0+GqDsjPNFwNOzo4ulZyHX0cgqmCiIV2j7JCwBWpjTY
RHpjEbz5VkRugOgZM4oqDrFD2n4CEOnEz4BU9lcOECwzmjKZEmTxBrOpFnF6YddQdqIph6bVtWYp
2ZBXntkHQxyACeAAgKNpWOibAd0bzFMlUsmlw0607ajyj+nJgddoQzEGoJJES7h13nPyT2LIh8kZ
pjQl+iWihUrRnKizv/VoUjnlgiPND18YzQvPUN/prltdSG5pfJS6OrzF6Dc0XeA8PnPu9qE/2FoZ
xDy4C5R6VLEaD5DTG01ugGJ24Xyj0TtuviGooENQzQKTHsB6gVQAGJhnMB+e+Z57u4dFntLgl2XW
gWDKg5ljA9aP0WrkETYB2Uyn0SHuKHmINkjm+MozWkF78l6IIOmGELVFjkhFtWJwJJTES0KYIvg2
lcq1U0wbLgYfQOsnvaI0NWd+k5KVq3+2Ugsyvp6h2OklG++Xpw/N3vbiOUT7SyR2URpThjJjbS75
ijrRw7lfWMIngSKEyBYlBWcOWJCaJ/yXZ/f0I18ZCB2SULIw+fpwT9MeLuw25LLneqHrn8PYlB15
7vlTPVwEkYTswNSxOhrmbQAVh89I1+19Z11SJZSfqR7g3+xZPNiGIgZ2Q0rmpn0h6Z0bExRa+TeQ
FIQwr1pdMGy6aKkLhIfSCks82FRtbpS0lKF6GhCfXpRQaugDYBm/BvnGX2QWmcFnJhxYJTEhVwWm
loQvbzicMJn6hUtrL28eFyb5UF+vFsHz9nywaUgbg//jjG7B88izDGySblFogyOHrtAGbhW9pOh3
oeUufP6aPk6G1Dx3TQ02zP2EYjo2KwiRobFFCq6KKzvxkAdQla8BAeuXBuNHxkRf0DYKBZqq5aA+
/fEGO4VJKdgLwD5MB/DsQ4uQ62ZW+7RzJBlb39mkYEA+l3eBYjTPfLRHJtpqgnMQBZxTG9gCt/Xk
REEkY95yLGZBIMDIVFVnvrJ5TjTskalQeYdeoSJCjn660revSKq0kkcQMGvsxAfwwUsFuKeLqfjd
08s3lPcT6wc4FrdCJ9sqrHp/LjRBdD9HUWeeqLyRnFAUIuFZF9WVn+qdf24j4f8eVIH9pgMv1qH5
0hUU3Zqwo7WkBvH8itp4UC+ffqz9FdCgX0D4kOlMQ4VksNhRUVmJn3ukiDvCOpsKFjXg0l9Oxe9e
PxVy+qwzLw9jZrAAtK10G+hj7lxOq09mWX+qwvITqKJPr58GV5G7S4YLREPJ/jr7nq8lkUvKvJB9
ndAzCJYAyjSgc1nwA4sHkUoIj7BT2UT9qbwSKfhqQ2m0zgFBuR5yEBaOz9wTv3v6rfaPvCCwqGDH
4VHJ3BX9qUiwBJDSZGeOl+Wfkm3mfCNw18EJwsZQ33Cu9ElU3T4968DvZ8/ibHM5GKBzsdzDmwn2
I+04VYAuWLhpPJeINd/Uelm+neYF+9R16y+dl5VngUU5p7DS8BlP+ZHdabI/wZjSB4KLY/AtCZZr
K0UFhPu/SpR3phQotEMSvgFKJTzQ02+7PxuvigalLAmham0YY0BOS8qpCVEzzdpPKPmQ+DaKTy+w
BfsTUeqD1QFVB0A3wNb+x5R9RAmASZDo7JrtSaBw9kMnAf1jBX4F7rglUX3vT1MkceNBLKfOYXTV
wuMbfU4b5Odd8bvXLp2BX66xerzOvgtTF4XlqHLC0uX+uTjboeSd/8jZZiNoJkebGBAu12DhAl3H
A06pk6LEGF+Qb72jKWF04bvF3dPvs+c4GAiI4wfi9ROnEYf1l04HZIyaA+kOX5P9U02H0v/82zwy
iUnDDwP2iWbtT1KYYevRmcCeoT8XXWu66IXm1trxq1+F7gqYdppGUB0deichqrJUghogFJXqvOd+
iYBBlc/FtPtbWkh8ygqcKhVDMWRT4d/SSNMtbBSAAFQvNN6tOik1H/d5usnx4J9+qUeng1AzJUqf
UqQXP38QGNltHtlmS6pUiWvgxfRmOktbEgMB2mbL108lYOy4W6Ts9g6rmnatTGkAEc5wYzc0ufTi
C2lD4I6eH0oeT0+2tyVIP8jQIon1JGU/1tyE/hRw7ZS2ozboywnx31Jy2XyvnAWvEVA+2CeIXtxI
A4d10m2ySmMacEZst5yM6wKh21cvHLOwaGT/xHXMndX/RrTCrSZGtrGRCZHK+rSEAUYjOTU0P+BL
aukz6Y49J5zZAHFghHD4cR0HJ7Yp1dyiZSZMPW+zFRsCuwDM60OL+tLC9g3n6vVrSBcq8CTcFPh1
g/kktBVTSupTIYRIVtKAhNNM0a569Sy8F1QmdgMsq6HPBPJdiv0U7KkL2L69kMKGcJCGjOmz3Wv2
dh4filSRhX9G3miP29kWXZZoXs2Jor/dhuKaQttn30Lz55ktviWhPcinwM2yJOGZ0YkbdA3/398X
uYOQ6cTl7AbCdle0x7jybFu5CUEjoC6i2i4QgiR+m0wpdk40jZahsgM2+6TNkPOcdS6Q5xkFEpTH
IlWaXEhtWF6Cb8jJZSMztpTNtnxTFpX+FdKBOplv6Pr6xpTD7rM7bckdkGZsPxlaEScXKYK4m2Mz
9Yk8a1Pz3lPSJrNaODrBv7sxUudsk1NpOKV++SW16bt9HoI3/TXXi8Y9VkSU9ampM/sNOXWgwRRv
0IRAnCf/VHeJ5bzJaT+hoQcqqe9SB4TwIgfQcDltZGTeLNrj+UsNzQTyypYyXaN2a4QzbHmtQAIx
mtPOaWPrTeHl8lffnODuWGZJ0ue1OwwZBqDTCrk7LtbhucmBvzW+0DEtHXzYfDOJKDw9u4/3T6e1
vUupLpLQhj3c/+bAEhPJULgewIiSTlKDxn4TTUt8yHpiv5HbpDt73WvBuibQAlQllA6myjBzFmd1
QIpIp8MjHJpvzTTUToKocp7hWw4PDbNgSMmvkiEjNz1M1PsWXCQduMcsa1RccdDfi06fhNdPv8vw
smMWGjnAaBSsfFJyA3NtB55S5q4E2SYq4ws/T9BYygObCCA0ng00HnklIjQOKK4/jvDQXdj4SenF
cTmZlTWy1nHIteBQuLw3Aq/CKr6AefcyOOM/ED9vCzx8AslY3q0iMItR4RWtIOht//33tofWT6AE
YZyiGiuQjEJS4B7CSANDCxUKMnnQ9Ezhuf7O0FOUnxQSuVDmSGbiNour/juEcfoTTqclWjWB0oNb
ijP9CoYelCuOcM+sCxanIbKnTAj7dnAhaoCyiq5AeRJbaHx0U+hTFtKrvi9ll1YELnftSHXmu4si
6vIk+6oV9URplyhTh+1pq3qyRJNw2o2RL5tukkUahpbIFGpTt5uC8usCb24nqloob1Suv0g5RkIS
ppkPqFmDwEQUlKP+kpbI9nm1Hy0mkCRy/6qMNYfapd2oCo2gPYOhSwTEMMBtLMUmMAToee6Jg/Ck
cQPrzW83x5YAqhfHNXTEjXlqbjK6pFCdNilDA+UxltT5p9o8Qo0sBU6ZTOm5aMVGTK93X2k857jU
0RbPEEht6g3Yy41vnm+MiVMGS3TvlWwByjjNvQVYDMCdkzTR9Ts/Igi5ivVML4/bVqTAZrarRd4x
7KFQh91mZQDLUbKi43yUIUEco1xFi18IfPHcjDMEzxJ2CCLXVlJcIZRHYxs6wbR0QQ5zf5N8Q31R
sGM62D3cNyjRpTco87rpG4NiEN0NIa8jFdu12Qb8Dj0HSm5XWac3LDyApJuZWmNZZwUFpc23NtYi
1AY9xZmWFxI1gc2SOjFNBFolAPtEKiH+YsvckDMrm1SQMyPEiJBAo41cFgTpO/CNljFrplp5zefS
SyggXqFepLAXoPH4UakCYrRKKH/0cEpRT2/sC7906OgLIhQK8sbp0PCbKQG6QzOu/S7DtkcA4AuT
BrWJlZHo2bCBk0XA9e7OCugY0Xko5U68dGX+oWOr9B9P7Vi15oCDUCZFTs8pz3Wjlr5YUiVZM41s
I5gBXU4KupV3ofmeBshuAQCI1rSzCOJKU82lAigVlKwGMbNp0fHCctrylmaFAvQXwDKauZjkhQk0
Y6NWCPJ2E0VHrdmRXVrT4sXBkQwD20npTKgFFW2BEqW03hrUNWC8KdZEbRYbMHV3ta269YlpRKoq
nVWy3qgrp96k6i8SXexj6vApiD64Vch/KmcIinWqf1JtaoS3GtB0oBCCro7hJiaqQoLYU99G0ya1
lxmYFGeOhBMP1XlxEtDtUo+moMrsICP9Ok3ak401gSjXuD5KS7Ke32llhnBn5wv5Vrrd2MG8VfHv
Z3VreIhiO5XzjhPbfGbXsoy1lMN48VofybuJVRdvAf4wNB1x+KFf2RnIl6rNp8dTYPS/wlxN82Vc
KvZJjSyptqCfQ/EV+R7p2rQ77Wsn1eZnmPBhhhwTmu1B5sTyqYV2Vn2J1GsJFSlBQw9cgDStF5Tn
oKF1JP9QpUoCjW7pmQLZYBoWKn2JJYuuH7AwkTRFwyAWPezjZlZITfVBeL2/BHriok+IYLg8T8yW
p45Q8I1npmtUv6YaJmZmSm1QnyYSEq6XWTfpjk00oqyvDd1yAHnmGkKubwuJfjxzJUHwGDGtOqQT
bNBYeXQOhcsojzFVrYqUqaIX1zEdx4IrYJZxO0PiNQ6n9MyI9Ek1UwyfUBpyYeijNEIy1+y+FBtK
Dh8mBagxVPfS2kZAuUUEswGl1mipdgVnNYL7lEOpSwUJixZIVYds4gkaEa6J5Fi1Ady30GpJzs4a
lgNl1ipWPUTNgRNcTJyJVpxtYj3Nr9rShXnGuUUjrtbiyEoX9TRFxmtCd2VQnoqUweIsrCpSeT3Q
M84t8YxbfW2mdgZRsbbRoUDVTJ58iazKh6u4CBLwGAAYJ02LQ0ixKZFvpjR06zZnkT9xFDCljorD
j14nwdsnBG30t54TZjneual9qiXEMC9pbIiKnWJUWXaSBGUDDP4XJaUzznxaTSIVfTpXRv9SujYg
gpPwuVBKz+6Aj2+KL34O6+SyKpWk/BB5hpycuS4yzjODA+Neh26lgkjvgggEIuSSdKbGsJD4+kU5
PQ6ou6DRV5AM+eCEuWTOLfTg3ltyrlOUKW142YoA8sCUBlS2SP06fGNXKQX4iEhvZUnoYR+HCJkh
ZCm54RuE0okCAqODXebAPkT8zNMRzED2Nk3RMDWi4EpPUSMjH2UYBSQwFYg3gc3mTaXKHZcpEQlt
T+jfq7wt8A3bk3QSwFTKW9d+Z8ce6H8QLXV7FmuZRCLXKCBeGUbyCyKIXXsMutS8qtI2uXK4m8TW
kKTz0An1YFZ7sOFPu43dgeJHNVg684yc2zPm3lUWtoxROSb4Mpxjt6RI4UAorVr3uGuLajWJw+TO
mTbW5mqSKalx7JdRAr0aXVp6O0jkk5Ccr2u2jJPTURg6unRet7GPDBqOZ0kvhzC3ISSpk4hCIZAz
i8pwCPXRqS3dW1imI194atoCRDP1+islTvRum2zqBsd2lCBew/VdYFWRGpbmCEp7MPgUe3Ou0f2x
mbVdhxqKKOieboppXh87fqJ/bRLXQc462JhJurRMuUgAiE+y7lRCWLX7YKS5a8ynuOpAw6ESnrOh
mnKRThsBa85q45oWGTCGwF66d4YdpMAVy4JuFwE07EWSKVZ8rCZJlb0pIzs7d1T7Q5B2MUOGdfBm
Oq0soIuTNlqFZZ58rCeAgpdNZcBNmxmAfdWrVHfYY54TEcS2hjtxFwhy2pNTO1eUt5qBgt4sT33Z
h3wNsOrML1osP86H+x5Lov6qEg/RaFPTvbXOV2ZBQ19VfqkKRSs/RdZ0Wp5MwPpG82wydZVzKE6V
dBKZVZqeRoWJYCaUd8wi+RtdXqJskCaT942eqMWdFyGlUFOfMGmBW0vT7go5UOXGTRvnOlU1eLwT
qE+3duPalPmDsuS2idOwpA/LxvxAR0MUMu06ozMgHSSyj0YtS3eZRpF4lrmOyXeV1O4WaQQZMwvP
y0epiF4roNUjc0WHTQshP9RzXVgoKABKKDnyhfMWFiXcvk29VKDXn+lANIUIqAazy/e06sp15Nzl
uyXSpwzNVXSVUYU2wbYW+ImTLpE9cIlO6ywjJAEwx0XAw/tyl96EmWMWMxv+AXRxulgamep+mVRR
/AENzVZZmu1Go7NDEldXXkwFacZWxM3Spg6q815RpMUi4oY9y2EbfkPlwIUOXNjf8qaSfilx/ZKT
Fj3aEwOk4GaeeR0A89hyMuWsmFTSui4r2NCNntqfJa8mb6xPY/tLmtHrjpstCRtE4jau8msDJJCO
1YaxMUELu2VkniheJkuLSUCsoD6Tld2L8gExCBknesRRE58qIkR4kJWdVqkOyhKquJsqcciXSCi+
xbKUv/fMTQE4MK0y+bVzauCNdCJ8hfot2b9BNglNK72ycs+cmfImvNDUxDrpNpNm2SKMsdwEVf5M
OnivJMZ81PpkVRETGsP59ElDjxq2OrwH573BfQuamX6tMsx6VPOKelE0MjLqJZheFR/x7dOpgGF0
DvLJnAJGIvEtuGJbHM2DFaatVSvUlfCeQegsp0ZRzBslunt6kmG+gfgNOSORCyKjQfOuAdrPL6if
NhhzZECRUkxag+YYOfnqJcoX8epH5oJ3B/pHJAOHiSHZz53MQxykxOkSGq0hHU2m0mWJSP9z2LFt
lqkXovJiaNuAgJwKrJqgBz7cnxMZqkvQJAYxDdbHaE3UB+pQ6k4zJFDmYUF1PcHrXqSNn56boWrd
TKg/LF0VYgDSstiF2tK+NOhorpIgas+7SYIgyNMLsv+FeUaTPBlSlgTtwzbSleOoMa0jjBlsq3gJ
4Sc41SZQ5rezvCr/8rLkylv6dl0X2XpdXK2SERWQvj/qYlWsltt0x/tynbUf1nkZFPeSTUgDiZ++
i72o+Aj7WOREXvuPdhmNxwf6nmj52Cbr//jTbVwiBc4TOF7cy8EY1OJ7KZvtE22f5KkBghUPXN4x
smL8RLRJ/VWRpve//nQUxJGz+/H0J3A1NBHmCtr+wmwy34MF+qMlePrt7tfy6X/z1AsMslAHLYGs
kbwSpRlx5vrvrlEaIoGKa7H99ff27vuKWq/9/Kr6k0T50JIH765pP1Hpw+QJLLD4hZ39O/vu4okP
+u4K74grgAgBdu7Bd+fdKTsCTwYO+Hf67sJ7OejdVe0nih0gkGh2vf2FHXmwBCoKacgGU+2l5Lb9
9fLP/wLb8LsNBXcU3G2tp7fOH7Off/QPdpZj/+ffrcY2Qa0K/6D3T4U5vZ/93oKIP//XnnXd2rYH
P/wvyO09+GPv396r7j346c4wbh/r+1zf12P/SXsPthRXCIuw+8tTb52tslsYxNu75ftbCam///jT
fBWt7vBl7icWb6riCf7lMfbui9+3ylOjnnCPRsFKOGR/GRjxgIMHvlo33m28G2cr7WfgSh36vNcr
7t6jd6xTtj7isY+uvLRcs4l3Q2+3gBDrO3SmT5FXrO+OrotVsc53w21HFzCsQ0efM0C2Co5+DteZ
d9v7rFy6Fif9D2fgYV70aeerzLu5WffLN4ItA8KHUsgz4z+2gX93Afa3df9qf/3Pvz+OWF+oFPCP
dkfi4aF64lDuHeCHz/+fdiZnKzdjQ+4Wc7vLsal/uLQv/XJtkpW9PSekgA8d9WTVrdjOmZfsxto+
ryibHTo0Kp79RRCBzsGD5tlqHezG2T6r6CZ/8LCoGO9G2Q6q4OUcOuh5nA3qpDgZhw97UdYrr9iN
s31agRs49Gkv1zerqG8y4T4cPu7bcLANBDPp0Id9T8SV7YbZLsF0hF3wtELP9vYVVuPHLtXrNvP6
Jl24bocuxPcL6edsdXO0DL1s715SRljtL+u8OJrR6Gf3vGLFIa3s/vjji/LrOlz3jATaRoeP+iY+
YtP9S3409GG2cIBDl/wkZtij6/LmDhQv93TvKGpQP0c4NB/L6OboLBfP3zP5MqwkiHwjrNHPN+XR
VZn3duT30UfYlv/tw/J6+eHzcvHfj8TmWWcs2HD/Iz8ioL5gugT1U4Tdzy7cw/t7+bub/NjfPogg
ek7D7r960c+/n06x2wGK0KqlN9R3B2Lof/BYEVtsz/fo/7v4Fh/smX/z9xBg/AxTtO+JwoEcntDv
r/xCR+bnCNt9WwyGJR+/9/lfOW4+sK+yaNPQP+2vG3FZZnGy3o2xvWYkUKe7v9iZvdcN+ibOCvdR
F38box70wD+XWKRVMFgHQocDF+I6Lh9/ZtoJCLbiIYv8VpyE/hNDQbM0QL5Q+GDxYyL2L/fXrfk7
3AUnHs4CnwxqCxl26vUA2iUBAe6/SfmXVOtLAyz2zGqwESGDUGnaNpaCOysSLU/dnC+daLYKOEOP
hKLQvDhMFoLdvB9FEpJ6I7zXFQqnSVyswv6nwogD6bMELVpGPV90thpjspXjZuub3Uji5JkqVTv+
J5gUUGqAsY4x0e/h8NGbdeGus70LF4aD6FcE3Rs6m+Dn6uruqXbHf2+TPHYf/XWiZJDE0xddUg+e
+R/iEnJcbERe9COJp77ES++ibp3drDy/P/BT5+WlA2c4toOj8sTGeeGo+OBOsLpb5+5urK0nPsJC
XLWrKOyHVMpT5vClD+yWw482Qjwyy8po7T1cAlF//EPT/cJnna/Cm/iu/80Ez+DQca8z7+iS4Knn
au87UQ+O5Esf2PWi/qAjbNxTKn5HF+L/rn/+sHv5e9dnhC93Ft3F0XpwP6JjsZvoEZv6wsVg5P6n
gxV5+Kjnq6RvGlA5OXzUizZz2m5ozmCeHD70vXeJuv66tzNkdYQlvvcCHxl7hI1xQR5y4+4vyQjn
+nIV57uF3W5k0TPo0EN9tbpdxXtHRB9hla84e/HAhYeCPcYjB3de1S9bADsaZeAVOm39DSfgCIcu
8pt1surnekVbzENHfbfKVrfr4NH0iiAtHT6+EDgamA3BMzl4YEqkXpKQXujt56c94Reaz2svclYJ
ZmP3mFvHQh5hd3x0V55wq3sDj+FbfFz5cGSHK73V9Dp0pT+uaKLZz0uO4WF8LLONcAv3nnkMi/Sp
u1k/shzaCOfws7cugPL2vuAYpu4t2Yq4OjoryqxMjv79aFnEWVyU30/mw+ngzksjvMj3CS/KaJW7
XsaUu996j00KCm8EH+I6ISsftI/ZGwL1MXyfK+/uLlgfLVd58XDR7mumf2x2sCIvqhl/X7Vr19uQ
AIhYtd9/e5+ifjgpaTzyAHv5pvIvmZQXznq1Clbtig+UecH/+x//K9+IP51kLXgHnuB0dROHq91X
69lD0l1oQO1lpV7/BB+9EEH6S5G/fviGJu0UYLnv/urHXdbrNUHBZrfd839feKu4JV7yjt6X0d2q
h5OAGQDteYRJF/HmLmYBP642hJFe2Lu1QXkJVYLDX+1iVXqZ16sXybQrhA86giPzboXU+eTW9VaT
PC93D3sfo2znGOHbXxNpPzLyCDbocoUa8cCtuV+aZ32Pv11iCVAgee+XlD8eHLN/hMxSQNG777mO
sHl+JsrNst7JevbbUh4CSfwUKmub3O8/qzzCaZqtA8cr+5f7CGEMjFYWdovGOl1n3dqJq0G2Qqjh
HOqo8fCrASpmv+jzYEu+8O6BaeoAlOp9QXWEx12sRZKtZxbHqHefZSxD38MWGg+HLu4yL4Y1E2qg
Bw8779bCdu8GEnbbHGFtj+khMVgEcwRzfbzK4vVjvtuThY4X7rPjbBXdrh+uhJByPfS7nXg3FAEH
AJkxAtATuA9Rvm53jyg+ndD6OfiB1xl4jf6wY6wDMNb+6oqu74c+7DyLoUz0tq8s5EcOHfe0JALP
eosA2eLwcc/IdQzOxZaQdejznhWroP+08gircL7OBhsMsbbDF+GcsOVq1faxRogJHT7y5aqoBrth
jKLBpVe45dA1kfexB+Wr46rrIK5Wm+Ejj7DGlx52vVgjObIeoF+FzN6h2+2ybNbUZ8qs75aPkd64
ioM71mT3jNtAQohdHvrIZHJXA7S70Lw5eFhh23fDbB92jCzFH9S/oX3spvrxQJeiRL3q24oxrmY6
JQwN2xjIuHcAdEpnEKGNwX74QMZiEGwo0ggOlTjRw2IzSIDDvxtBMFaTPr69VIQyRtRxnQwg8sAr
RnjgakVAl93tRhKnY6vSf+iZu67Xd/3LQxkDIX5dewUIhOE2ppPC7g1+/NB92ggWQs+53HbsPHQp
viOOLygY3MX9sHGMovZnnKtb9t0cGu1uEbaf8UngzQv9bSwyF9Tayfobeoyo5hogSf9SRcds9wI/
/hVJsK6P4m8cw145QtZHoRLcV4upZa4py/efXogtjnBZXcR5XPVWG41VDaHaw5fmt/8pzs1joRly
/DJqpFPEHC0g3zQEeHa6v11q7TGE2aGJtodvI/YeXMKHf7UEPSkYhlsQ9BM/GpG/JVDDh75VH0H9
d4GODhyYej1nbIS49WcBAOgN+uz2fT57OIuLnJpmb1jRXvrQ62CG59EzTaLNx8GDUhAEz7MbSNj/
MUqkc3fVcw3GCKc+rJPyJgCIi5EGQXqErqHTs3dCeuXQ9Visw/iWKiLTPD/fCDsQKNw6i/tksOfZ
Gc9vwjnijVkfjaOP4AD/zpvdkhWi39dot/Bi/zwJgn6h+zBfJeujz+vsrudVPQkbf+HIC98jti16
O94YwYNfOm1SPFyGMWA5y7RcUan3YCqflLiYPZsi9F4P3e7LzEPKpTfsGL7UsnBRh+yb6zFKqh85
9ieAR/sjWyMEzidUuXvG1RohSDoBS91b2+e9o+dP9v5GgFR++E6Y//Z/i/XR3b+cVbHXxyahBn74
8BfrqO0txSOUofLVGbZL72boFdA74/CnBYkQF27vcsGVHmFc72awCkJ/+dBDfAVQw1nlt31QuTzG
NUImNy76oAw0fsd45GBV92wwnTRGGXYw6Ain+IqL9HaYXRzhSFytANwgwpnv3ltcnvQe2/3xx0PZ
+5GHGTB5jGvuKu6E/UX0Y/eY9089wjZ+4+Hi90Yd48rYjtq/L2gEsJvmx9f43gxPZl6er8rdcNu1
2Kfpvd6wffjtz2U0kB2Tx6ipfSAy6cvYIKu6e/wfX43rdXvrroNg3dvMaDaPMPQ9I3KPHYt22giD
ixxVPwGtCA3FQ03ytVDIWR1druFg7EYTmwNh/d0fD1hsstsD2DqqliOM+3izAZHCaH/8aT8iOL57
tu0SiFZ1B6/vb/87PqJfxG9/3uJe3mW//Z/o1usziGmXdPhEyAN4A8A9Wa4Rxl1F3dBAI3d5+MCf
nL0DPkaVdAagGlTR0fEq73/NMSqOKGx5A5+e7jOHr8WSPAwaAT2XYNv17tDt93UvBqGZ5+HP+9UL
b1Y3dd9ijCHics8nut4732OUHGeguz/izPXoIzDJD1+On2/aPveQPtCia9CUtrOiQRFgkGcPzGPJ
2L9OHnYrs/BPmIh9VFNCf17y7W/3Je4V3Q79FA+fX9yGT2f67+P4+UOpxd0DPIU8BWXpdf3zP4Id
nMfwYI4+DHRARrGwwdH1KqhWoHB3513c8aIP56E29oTU1xpHp5c12FcuKV+dNIB3eyekI3aPuHXa
n9+/z2dm3rDA2cope09Mi47dRD/uQ70jj9TnD8jPowEfbtjl9zrUX8n07VQOd1t+ew6+HxrW8S9b
4xkZ0Iev8J925n7Oypv+Jzv8g6G847ERts7pbJXdcPPuBt36wLs//PiWoHRVekH/dIxBIhRPy3Hu
n44RwjiRukWvkW3cG3oMkvd81QL3eaw8PQZmbT7YHWPkqRZxiFvaV3saw4Hcjft4YWYMBjKCtUMd
3DGQYBj7O2Rky34EN0Ym5RQFx14AQA/Dw0/fOft48P3ocnf4uGDARMAyTK+NUboTiJxcZCWK3WNu
L74xqnXvQKsXsXAw+rHhGNqm94rDFzRAybfW9M268voWZAy66v0sl+VtP1OojAHM+Qisz7tb3W0f
/2N8gz7Wwy9Ay+XdH3/8NhB85/v1mbMv4/wxY0h/ksMnul+ozx5kCoSgBSpIlOLvrcIeXX6M4sZM
5Mhz9+izlzneo0YeccPD3+vT9ZMzjODDzcAoDyprtPM4/Mnn+LIoZOwG2roXYyTOr1d9r4j2L7s5
fnyfIn5QHC3RziMv0y98KGMk5e93Jy5M4f7252AdtrsnFquij5PY5QWuVszQB6mSlRij4H//Ave3
wNG/3pOW/u3hS9DJ7/lQ5aHb/Nf1/EWo/U+pi/aY3OMYwG9wod/iYPPdXj/80gbAU6Tiae0LjNOi
s+zziIS/3Xe/V6c8NNx7IjT8G3V9+DlzRLDaR3GMISQxQ3howGYaQ7F8lq26fiZ2jGqLCN97Sakx
sBDzOIiHSJ4xpE6Wt8QS/XTUGJ0vjgl8bl0BwxpgesbIoR+vgs0fQqxH8NpOSkQHexkINCJ2xuaA
2xwAA4mp3taQx2DrCuEo0ie961u2RvCT362zcvfe2/DneaP6fN7vU1YOH1YZ44R8pjjd0V2l9+EQ
SN29wB99uL/dNfCYnPA/4aVw3zQGofVVKNob3qczt9tphEhkBkV7mC4cYdhrYW7jRwOoMdQQ57GI
Ov/1Yk0BI3L+7bH4c4xocEujERr3giyHSXtsnjEIpXSa3flkvWTDGKzSY8/3Hm6aMZT2jiHNiY4U
u4ZJWyKTd5vtS4A+2XvohRjq73chrNB2T2J0jHLH9/G3VWvxsUWa4Xcte6Hwetf7KGNcDCQgewy7
fR308vWFpjUEye87dPsOV7cLkgDB7u96L7FtBnhvSf7Irj9/E10gBXVDaP1we8ljwGDmboaWHrn7
RwIV+f9zdwYrDQNBGH6VPEAPpbTQkyCh1VMUDS30FsqCwZCI6SK+mzdfzG+bBHbjaNQOUTwWSruT
ncnOzvzz/xp8LYl5iuKsEKbjNEYGk7yHV9QAuW+ykhZlmE5o1EgScKHhr2rErHvAO0M7NWSvYXqv
c5afu911fthT2xIPF1j4Ff4ge6CZ5kwQ0O86RGdFH8WpkG1ySNUQkMkEqBqt7KZcdGkKmjKT6Lym
KFuDGm0qzS5iaYtB4hfb8i7IUxBHOH1T0uqe3DTw1JlGKpEy1xWuVoNSObVMrPcWq+CZW7Y3byrv
a3uA7bJ7rsc6rEav8F2SOdOgDYwdv63r2nRB6697QZERWXFqTowQTyEq1OCQaKfZb4+CjuhGltVj
dGWh6yRfFNM4NK/nCOHOF0uqYOiTDM87/eLFR1A4OfXi41vj3s2fA478b69atMeXpJeGRo+9640k
rzKulU0K9G1Y1YWp6B4FsanBP31j6z42WKO5nL6+ALZ9Nn5IIp7TffzonJY8YBy8j6SDM65fSLZr
e78kwPMPrRTUf/6YlQOb3b4n9wXXr7M3AAAA//8=</cx:binary>
              </cx:geoCache>
            </cx:geography>
          </cx:layoutPr>
        </cx:series>
      </cx:plotAreaRegion>
    </cx:plotArea>
  </cx:chart>
  <cx:spPr>
    <a:solidFill>
      <a:schemeClr val="tx1">
        <a:lumMod val="75000"/>
        <a:lumOff val="2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3" Type="http://schemas.microsoft.com/office/2014/relationships/chartEx" Target="../charts/chartEx2.xml"/><Relationship Id="rId7" Type="http://schemas.openxmlformats.org/officeDocument/2006/relationships/image" Target="../media/image5.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4.png"/><Relationship Id="rId5" Type="http://schemas.openxmlformats.org/officeDocument/2006/relationships/image" Target="../media/image3.sv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628650</xdr:colOff>
      <xdr:row>1</xdr:row>
      <xdr:rowOff>142875</xdr:rowOff>
    </xdr:from>
    <xdr:to>
      <xdr:col>4</xdr:col>
      <xdr:colOff>85725</xdr:colOff>
      <xdr:row>33</xdr:row>
      <xdr:rowOff>9525</xdr:rowOff>
    </xdr:to>
    <xdr:sp macro="" textlink="">
      <xdr:nvSpPr>
        <xdr:cNvPr id="2" name="Rectangle: Rounded Corners 1">
          <a:extLst>
            <a:ext uri="{FF2B5EF4-FFF2-40B4-BE49-F238E27FC236}">
              <a16:creationId xmlns:a16="http://schemas.microsoft.com/office/drawing/2014/main" id="{CBFA4283-408B-99C5-315A-616C65BEE395}"/>
            </a:ext>
          </a:extLst>
        </xdr:cNvPr>
        <xdr:cNvSpPr/>
      </xdr:nvSpPr>
      <xdr:spPr>
        <a:xfrm>
          <a:off x="628650" y="323850"/>
          <a:ext cx="2200275" cy="5657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295275</xdr:colOff>
      <xdr:row>2</xdr:row>
      <xdr:rowOff>161925</xdr:rowOff>
    </xdr:from>
    <xdr:to>
      <xdr:col>6</xdr:col>
      <xdr:colOff>552450</xdr:colOff>
      <xdr:row>15</xdr:row>
      <xdr:rowOff>123825</xdr:rowOff>
    </xdr:to>
    <xdr:sp macro="" textlink="">
      <xdr:nvSpPr>
        <xdr:cNvPr id="3" name="Rectangle: Rounded Corners 2">
          <a:extLst>
            <a:ext uri="{FF2B5EF4-FFF2-40B4-BE49-F238E27FC236}">
              <a16:creationId xmlns:a16="http://schemas.microsoft.com/office/drawing/2014/main" id="{B3AC92AA-F24D-6F1F-FB3C-7ABC1D7ACFD6}"/>
            </a:ext>
          </a:extLst>
        </xdr:cNvPr>
        <xdr:cNvSpPr/>
      </xdr:nvSpPr>
      <xdr:spPr>
        <a:xfrm>
          <a:off x="3038475" y="523875"/>
          <a:ext cx="1628775" cy="23145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66675</xdr:colOff>
      <xdr:row>2</xdr:row>
      <xdr:rowOff>114300</xdr:rowOff>
    </xdr:from>
    <xdr:to>
      <xdr:col>9</xdr:col>
      <xdr:colOff>533400</xdr:colOff>
      <xdr:row>15</xdr:row>
      <xdr:rowOff>123825</xdr:rowOff>
    </xdr:to>
    <xdr:sp macro="" textlink="">
      <xdr:nvSpPr>
        <xdr:cNvPr id="4" name="Rectangle: Rounded Corners 3">
          <a:extLst>
            <a:ext uri="{FF2B5EF4-FFF2-40B4-BE49-F238E27FC236}">
              <a16:creationId xmlns:a16="http://schemas.microsoft.com/office/drawing/2014/main" id="{64CB750A-CDDD-648B-895A-C833246BD88D}"/>
            </a:ext>
          </a:extLst>
        </xdr:cNvPr>
        <xdr:cNvSpPr/>
      </xdr:nvSpPr>
      <xdr:spPr>
        <a:xfrm>
          <a:off x="4867275" y="476250"/>
          <a:ext cx="1838325" cy="2362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371475</xdr:colOff>
      <xdr:row>16</xdr:row>
      <xdr:rowOff>76200</xdr:rowOff>
    </xdr:from>
    <xdr:to>
      <xdr:col>9</xdr:col>
      <xdr:colOff>457200</xdr:colOff>
      <xdr:row>32</xdr:row>
      <xdr:rowOff>0</xdr:rowOff>
    </xdr:to>
    <xdr:sp macro="" textlink="">
      <xdr:nvSpPr>
        <xdr:cNvPr id="5" name="Rectangle: Rounded Corners 4">
          <a:extLst>
            <a:ext uri="{FF2B5EF4-FFF2-40B4-BE49-F238E27FC236}">
              <a16:creationId xmlns:a16="http://schemas.microsoft.com/office/drawing/2014/main" id="{B9B7B2FF-7E27-6CB5-BF4E-06DAB3FDB781}"/>
            </a:ext>
          </a:extLst>
        </xdr:cNvPr>
        <xdr:cNvSpPr/>
      </xdr:nvSpPr>
      <xdr:spPr>
        <a:xfrm>
          <a:off x="3114675" y="2971800"/>
          <a:ext cx="3514725" cy="2819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133350</xdr:colOff>
      <xdr:row>3</xdr:row>
      <xdr:rowOff>104775</xdr:rowOff>
    </xdr:from>
    <xdr:to>
      <xdr:col>16</xdr:col>
      <xdr:colOff>9525</xdr:colOff>
      <xdr:row>16</xdr:row>
      <xdr:rowOff>28575</xdr:rowOff>
    </xdr:to>
    <xdr:sp macro="" textlink="">
      <xdr:nvSpPr>
        <xdr:cNvPr id="6" name="Rectangle: Rounded Corners 5">
          <a:extLst>
            <a:ext uri="{FF2B5EF4-FFF2-40B4-BE49-F238E27FC236}">
              <a16:creationId xmlns:a16="http://schemas.microsoft.com/office/drawing/2014/main" id="{F4D5E72C-F676-AADA-3D1C-E481C62DCC40}"/>
            </a:ext>
          </a:extLst>
        </xdr:cNvPr>
        <xdr:cNvSpPr/>
      </xdr:nvSpPr>
      <xdr:spPr>
        <a:xfrm>
          <a:off x="6991350" y="647700"/>
          <a:ext cx="3990975" cy="2276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180975</xdr:colOff>
      <xdr:row>17</xdr:row>
      <xdr:rowOff>104775</xdr:rowOff>
    </xdr:from>
    <xdr:to>
      <xdr:col>16</xdr:col>
      <xdr:colOff>0</xdr:colOff>
      <xdr:row>32</xdr:row>
      <xdr:rowOff>9525</xdr:rowOff>
    </xdr:to>
    <xdr:sp macro="" textlink="">
      <xdr:nvSpPr>
        <xdr:cNvPr id="7" name="Rectangle: Rounded Corners 6">
          <a:extLst>
            <a:ext uri="{FF2B5EF4-FFF2-40B4-BE49-F238E27FC236}">
              <a16:creationId xmlns:a16="http://schemas.microsoft.com/office/drawing/2014/main" id="{4CE30028-FD8B-5885-0FF3-53FA18F869ED}"/>
            </a:ext>
          </a:extLst>
        </xdr:cNvPr>
        <xdr:cNvSpPr/>
      </xdr:nvSpPr>
      <xdr:spPr>
        <a:xfrm>
          <a:off x="7038975" y="3181350"/>
          <a:ext cx="3933825" cy="2619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457200</xdr:colOff>
      <xdr:row>2</xdr:row>
      <xdr:rowOff>114300</xdr:rowOff>
    </xdr:from>
    <xdr:to>
      <xdr:col>3</xdr:col>
      <xdr:colOff>171450</xdr:colOff>
      <xdr:row>8</xdr:row>
      <xdr:rowOff>114300</xdr:rowOff>
    </xdr:to>
    <xdr:pic>
      <xdr:nvPicPr>
        <xdr:cNvPr id="9" name="Picture 8">
          <a:extLst>
            <a:ext uri="{FF2B5EF4-FFF2-40B4-BE49-F238E27FC236}">
              <a16:creationId xmlns:a16="http://schemas.microsoft.com/office/drawing/2014/main" id="{F1C064BA-EBFF-FE6B-5F3D-295860D1DC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0" y="476250"/>
          <a:ext cx="1085850" cy="1085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204696</xdr:colOff>
      <xdr:row>3</xdr:row>
      <xdr:rowOff>170087</xdr:rowOff>
    </xdr:from>
    <xdr:to>
      <xdr:col>10</xdr:col>
      <xdr:colOff>218303</xdr:colOff>
      <xdr:row>23</xdr:row>
      <xdr:rowOff>149677</xdr:rowOff>
    </xdr:to>
    <xdr:graphicFrame macro="">
      <xdr:nvGraphicFramePr>
        <xdr:cNvPr id="4" name="Chart 3">
          <a:extLst>
            <a:ext uri="{FF2B5EF4-FFF2-40B4-BE49-F238E27FC236}">
              <a16:creationId xmlns:a16="http://schemas.microsoft.com/office/drawing/2014/main" id="{844A19C2-BFB9-43C3-83F9-97D99F0F7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231323</xdr:colOff>
      <xdr:row>3</xdr:row>
      <xdr:rowOff>156480</xdr:rowOff>
    </xdr:from>
    <xdr:to>
      <xdr:col>20</xdr:col>
      <xdr:colOff>435429</xdr:colOff>
      <xdr:row>23</xdr:row>
      <xdr:rowOff>163285</xdr:rowOff>
    </xdr:to>
    <xdr:graphicFrame macro="">
      <xdr:nvGraphicFramePr>
        <xdr:cNvPr id="5" name="Chart 4">
          <a:extLst>
            <a:ext uri="{FF2B5EF4-FFF2-40B4-BE49-F238E27FC236}">
              <a16:creationId xmlns:a16="http://schemas.microsoft.com/office/drawing/2014/main" id="{213C383B-DAAA-49BE-99CE-10B4ED604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476249</xdr:colOff>
      <xdr:row>4</xdr:row>
      <xdr:rowOff>0</xdr:rowOff>
    </xdr:from>
    <xdr:to>
      <xdr:col>28</xdr:col>
      <xdr:colOff>639535</xdr:colOff>
      <xdr:row>24</xdr:row>
      <xdr:rowOff>0</xdr:rowOff>
    </xdr:to>
    <xdr:graphicFrame macro="">
      <xdr:nvGraphicFramePr>
        <xdr:cNvPr id="6" name="Chart 5">
          <a:extLst>
            <a:ext uri="{FF2B5EF4-FFF2-40B4-BE49-F238E27FC236}">
              <a16:creationId xmlns:a16="http://schemas.microsoft.com/office/drawing/2014/main" id="{69A40E9F-1DE9-47F4-B8F2-331CCB2B1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176893</xdr:colOff>
      <xdr:row>24</xdr:row>
      <xdr:rowOff>0</xdr:rowOff>
    </xdr:from>
    <xdr:to>
      <xdr:col>10</xdr:col>
      <xdr:colOff>190500</xdr:colOff>
      <xdr:row>44</xdr:row>
      <xdr:rowOff>149679</xdr:rowOff>
    </xdr:to>
    <xdr:graphicFrame macro="">
      <xdr:nvGraphicFramePr>
        <xdr:cNvPr id="7" name="Chart 6">
          <a:extLst>
            <a:ext uri="{FF2B5EF4-FFF2-40B4-BE49-F238E27FC236}">
              <a16:creationId xmlns:a16="http://schemas.microsoft.com/office/drawing/2014/main" id="{669AC82D-9097-4F99-959F-C772FAA38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217714</xdr:colOff>
      <xdr:row>24</xdr:row>
      <xdr:rowOff>15616</xdr:rowOff>
    </xdr:from>
    <xdr:to>
      <xdr:col>20</xdr:col>
      <xdr:colOff>489857</xdr:colOff>
      <xdr:row>44</xdr:row>
      <xdr:rowOff>163285</xdr:rowOff>
    </xdr:to>
    <xdr:graphicFrame macro="">
      <xdr:nvGraphicFramePr>
        <xdr:cNvPr id="8" name="Chart 7">
          <a:extLst>
            <a:ext uri="{FF2B5EF4-FFF2-40B4-BE49-F238E27FC236}">
              <a16:creationId xmlns:a16="http://schemas.microsoft.com/office/drawing/2014/main" id="{45F4A0E3-3866-4E0E-9D89-0B529D369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676809</xdr:colOff>
      <xdr:row>3</xdr:row>
      <xdr:rowOff>173181</xdr:rowOff>
    </xdr:from>
    <xdr:to>
      <xdr:col>31</xdr:col>
      <xdr:colOff>431574</xdr:colOff>
      <xdr:row>18</xdr:row>
      <xdr:rowOff>103908</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C55923FF-03A2-44DA-8EFE-DCCF1628493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0073173" y="692727"/>
              <a:ext cx="1832946" cy="2439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668243</xdr:colOff>
      <xdr:row>18</xdr:row>
      <xdr:rowOff>121226</xdr:rowOff>
    </xdr:from>
    <xdr:to>
      <xdr:col>31</xdr:col>
      <xdr:colOff>423008</xdr:colOff>
      <xdr:row>31</xdr:row>
      <xdr:rowOff>13604</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5B3161F0-5602-4ADD-8755-EE42C0E1820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064607" y="3132693"/>
              <a:ext cx="1832946" cy="2249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675901</xdr:colOff>
      <xdr:row>31</xdr:row>
      <xdr:rowOff>1013</xdr:rowOff>
    </xdr:from>
    <xdr:to>
      <xdr:col>31</xdr:col>
      <xdr:colOff>430666</xdr:colOff>
      <xdr:row>44</xdr:row>
      <xdr:rowOff>151493</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925EE84A-13E9-45FA-9D64-31C50AC61D5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0072265" y="5369649"/>
              <a:ext cx="1832946" cy="2401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177800</xdr:colOff>
      <xdr:row>44</xdr:row>
      <xdr:rowOff>172008</xdr:rowOff>
    </xdr:from>
    <xdr:to>
      <xdr:col>31</xdr:col>
      <xdr:colOff>415472</xdr:colOff>
      <xdr:row>53</xdr:row>
      <xdr:rowOff>138793</xdr:rowOff>
    </xdr:to>
    <mc:AlternateContent xmlns:mc="http://schemas.openxmlformats.org/markup-compatibility/2006" xmlns:tsle="http://schemas.microsoft.com/office/drawing/2012/timeslicer">
      <mc:Choice Requires="tsle">
        <xdr:graphicFrame macro="">
          <xdr:nvGraphicFramePr>
            <xdr:cNvPr id="3" name="Hiring Date">
              <a:extLst>
                <a:ext uri="{FF2B5EF4-FFF2-40B4-BE49-F238E27FC236}">
                  <a16:creationId xmlns:a16="http://schemas.microsoft.com/office/drawing/2014/main" id="{131AA577-0180-6E7B-C7B8-84E0AF5CD180}"/>
                </a:ext>
              </a:extLst>
            </xdr:cNvPr>
            <xdr:cNvGraphicFramePr/>
          </xdr:nvGraphicFramePr>
          <xdr:xfrm>
            <a:off x="0" y="0"/>
            <a:ext cx="0" cy="0"/>
          </xdr:xfrm>
          <a:graphic>
            <a:graphicData uri="http://schemas.microsoft.com/office/drawing/2012/timeslicer">
              <tsle:timeslicer name="Hiring Date"/>
            </a:graphicData>
          </a:graphic>
        </xdr:graphicFrame>
      </mc:Choice>
      <mc:Fallback xmlns="">
        <xdr:sp macro="" textlink="">
          <xdr:nvSpPr>
            <xdr:cNvPr id="0" name=""/>
            <xdr:cNvSpPr>
              <a:spLocks noTextEdit="1"/>
            </xdr:cNvSpPr>
          </xdr:nvSpPr>
          <xdr:spPr>
            <a:xfrm>
              <a:off x="870527" y="7792008"/>
              <a:ext cx="21019490" cy="152542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20</xdr:col>
      <xdr:colOff>489857</xdr:colOff>
      <xdr:row>24</xdr:row>
      <xdr:rowOff>13607</xdr:rowOff>
    </xdr:from>
    <xdr:to>
      <xdr:col>28</xdr:col>
      <xdr:colOff>652235</xdr:colOff>
      <xdr:row>44</xdr:row>
      <xdr:rowOff>166008</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6ACEF270-F33D-46DD-BCE4-E97DF4575F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205857" y="4357007"/>
              <a:ext cx="5648778" cy="37719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204106</xdr:colOff>
      <xdr:row>0</xdr:row>
      <xdr:rowOff>95250</xdr:rowOff>
    </xdr:from>
    <xdr:to>
      <xdr:col>9</xdr:col>
      <xdr:colOff>489857</xdr:colOff>
      <xdr:row>3</xdr:row>
      <xdr:rowOff>95250</xdr:rowOff>
    </xdr:to>
    <xdr:sp macro="" textlink="">
      <xdr:nvSpPr>
        <xdr:cNvPr id="13" name="Rectangle: Rounded Corners 12">
          <a:extLst>
            <a:ext uri="{FF2B5EF4-FFF2-40B4-BE49-F238E27FC236}">
              <a16:creationId xmlns:a16="http://schemas.microsoft.com/office/drawing/2014/main" id="{222BA4A3-8DA4-AC83-BCA5-744605EE0994}"/>
            </a:ext>
          </a:extLst>
        </xdr:cNvPr>
        <xdr:cNvSpPr/>
      </xdr:nvSpPr>
      <xdr:spPr>
        <a:xfrm>
          <a:off x="884463" y="95250"/>
          <a:ext cx="5728608" cy="530679"/>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449036</xdr:colOff>
      <xdr:row>0</xdr:row>
      <xdr:rowOff>40822</xdr:rowOff>
    </xdr:from>
    <xdr:to>
      <xdr:col>2</xdr:col>
      <xdr:colOff>408214</xdr:colOff>
      <xdr:row>3</xdr:row>
      <xdr:rowOff>149678</xdr:rowOff>
    </xdr:to>
    <xdr:pic>
      <xdr:nvPicPr>
        <xdr:cNvPr id="16" name="Graphic 15" descr="Aperture with solid fill">
          <a:extLst>
            <a:ext uri="{FF2B5EF4-FFF2-40B4-BE49-F238E27FC236}">
              <a16:creationId xmlns:a16="http://schemas.microsoft.com/office/drawing/2014/main" id="{B0AF0F42-9E78-ED4D-BBEA-65CA50FA3A8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29393" y="40822"/>
          <a:ext cx="639535" cy="639535"/>
        </a:xfrm>
        <a:prstGeom prst="rect">
          <a:avLst/>
        </a:prstGeom>
      </xdr:spPr>
    </xdr:pic>
    <xdr:clientData/>
  </xdr:twoCellAnchor>
  <xdr:twoCellAnchor>
    <xdr:from>
      <xdr:col>2</xdr:col>
      <xdr:colOff>625929</xdr:colOff>
      <xdr:row>0</xdr:row>
      <xdr:rowOff>163286</xdr:rowOff>
    </xdr:from>
    <xdr:to>
      <xdr:col>9</xdr:col>
      <xdr:colOff>285751</xdr:colOff>
      <xdr:row>3</xdr:row>
      <xdr:rowOff>54428</xdr:rowOff>
    </xdr:to>
    <xdr:sp macro="" textlink="">
      <xdr:nvSpPr>
        <xdr:cNvPr id="18" name="TextBox 17">
          <a:extLst>
            <a:ext uri="{FF2B5EF4-FFF2-40B4-BE49-F238E27FC236}">
              <a16:creationId xmlns:a16="http://schemas.microsoft.com/office/drawing/2014/main" id="{CAE1D1B4-076E-D6FA-E575-43F04B463A82}"/>
            </a:ext>
          </a:extLst>
        </xdr:cNvPr>
        <xdr:cNvSpPr txBox="1"/>
      </xdr:nvSpPr>
      <xdr:spPr>
        <a:xfrm>
          <a:off x="1986643" y="163286"/>
          <a:ext cx="4422322"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tx1"/>
              </a:solidFill>
            </a:rPr>
            <a:t>IAMA</a:t>
          </a:r>
          <a:r>
            <a:rPr lang="en-US" sz="2000" b="1" baseline="0">
              <a:solidFill>
                <a:schemeClr val="tx1"/>
              </a:solidFill>
            </a:rPr>
            <a:t> COMPANY FOR CONSULTING</a:t>
          </a:r>
          <a:endParaRPr lang="en-US" sz="2000" b="1">
            <a:solidFill>
              <a:schemeClr val="tx1"/>
            </a:solidFill>
          </a:endParaRPr>
        </a:p>
      </xdr:txBody>
    </xdr:sp>
    <xdr:clientData/>
  </xdr:twoCellAnchor>
  <xdr:twoCellAnchor>
    <xdr:from>
      <xdr:col>11</xdr:col>
      <xdr:colOff>45214</xdr:colOff>
      <xdr:row>0</xdr:row>
      <xdr:rowOff>111491</xdr:rowOff>
    </xdr:from>
    <xdr:to>
      <xdr:col>16</xdr:col>
      <xdr:colOff>31606</xdr:colOff>
      <xdr:row>3</xdr:row>
      <xdr:rowOff>111491</xdr:rowOff>
    </xdr:to>
    <xdr:grpSp>
      <xdr:nvGrpSpPr>
        <xdr:cNvPr id="32" name="Group 31">
          <a:extLst>
            <a:ext uri="{FF2B5EF4-FFF2-40B4-BE49-F238E27FC236}">
              <a16:creationId xmlns:a16="http://schemas.microsoft.com/office/drawing/2014/main" id="{C52E260A-A827-74E1-6CC5-9C50A41CA282}"/>
            </a:ext>
          </a:extLst>
        </xdr:cNvPr>
        <xdr:cNvGrpSpPr/>
      </xdr:nvGrpSpPr>
      <xdr:grpSpPr>
        <a:xfrm>
          <a:off x="7602755" y="111491"/>
          <a:ext cx="3421638" cy="562131"/>
          <a:chOff x="7158237" y="95250"/>
          <a:chExt cx="3443045" cy="553065"/>
        </a:xfrm>
      </xdr:grpSpPr>
      <xdr:sp macro="" textlink="">
        <xdr:nvSpPr>
          <xdr:cNvPr id="19" name="Rectangle: Rounded Corners 18">
            <a:extLst>
              <a:ext uri="{FF2B5EF4-FFF2-40B4-BE49-F238E27FC236}">
                <a16:creationId xmlns:a16="http://schemas.microsoft.com/office/drawing/2014/main" id="{67EB0193-EA4E-4336-9401-D9AE36D34EE3}"/>
              </a:ext>
            </a:extLst>
          </xdr:cNvPr>
          <xdr:cNvSpPr/>
        </xdr:nvSpPr>
        <xdr:spPr>
          <a:xfrm>
            <a:off x="7158237" y="95250"/>
            <a:ext cx="3415832" cy="55306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lang="en-US" sz="2400" b="1" i="1">
                <a:solidFill>
                  <a:schemeClr val="tx1"/>
                </a:solidFill>
                <a:latin typeface="+mj-lt"/>
              </a:rPr>
              <a:t>Count Of Employee</a:t>
            </a:r>
          </a:p>
        </xdr:txBody>
      </xdr:sp>
      <xdr:sp macro="" textlink="Sheet1!B11">
        <xdr:nvSpPr>
          <xdr:cNvPr id="25" name="TextBox 24">
            <a:extLst>
              <a:ext uri="{FF2B5EF4-FFF2-40B4-BE49-F238E27FC236}">
                <a16:creationId xmlns:a16="http://schemas.microsoft.com/office/drawing/2014/main" id="{F172D47E-E587-FE1D-3129-076B41685FB8}"/>
              </a:ext>
            </a:extLst>
          </xdr:cNvPr>
          <xdr:cNvSpPr txBox="1"/>
        </xdr:nvSpPr>
        <xdr:spPr>
          <a:xfrm>
            <a:off x="9882737" y="252390"/>
            <a:ext cx="718545" cy="27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B4A75B-ABB9-4061-A3B1-5F13BD09964F}" type="TxLink">
              <a:rPr lang="en-US" sz="2400" b="1" i="0" u="none" strike="noStrike">
                <a:solidFill>
                  <a:srgbClr val="000000"/>
                </a:solidFill>
                <a:latin typeface="Aptos Narrow"/>
                <a:ea typeface="+mn-ea"/>
                <a:cs typeface="+mn-cs"/>
              </a:rPr>
              <a:pPr marL="0" indent="0" algn="ctr"/>
              <a:t>300</a:t>
            </a:fld>
            <a:endParaRPr lang="en-US" sz="2400" b="1" i="0" u="none" strike="noStrike">
              <a:solidFill>
                <a:srgbClr val="000000"/>
              </a:solidFill>
              <a:latin typeface="Aptos Narrow"/>
              <a:ea typeface="+mn-ea"/>
              <a:cs typeface="+mn-cs"/>
            </a:endParaRPr>
          </a:p>
        </xdr:txBody>
      </xdr:sp>
    </xdr:grpSp>
    <xdr:clientData/>
  </xdr:twoCellAnchor>
  <xdr:twoCellAnchor>
    <xdr:from>
      <xdr:col>18</xdr:col>
      <xdr:colOff>138264</xdr:colOff>
      <xdr:row>0</xdr:row>
      <xdr:rowOff>111491</xdr:rowOff>
    </xdr:from>
    <xdr:to>
      <xdr:col>23</xdr:col>
      <xdr:colOff>530901</xdr:colOff>
      <xdr:row>3</xdr:row>
      <xdr:rowOff>111491</xdr:rowOff>
    </xdr:to>
    <xdr:sp macro="" textlink="">
      <xdr:nvSpPr>
        <xdr:cNvPr id="20" name="Rectangle: Rounded Corners 19">
          <a:extLst>
            <a:ext uri="{FF2B5EF4-FFF2-40B4-BE49-F238E27FC236}">
              <a16:creationId xmlns:a16="http://schemas.microsoft.com/office/drawing/2014/main" id="{A5BB7D4E-EA75-4E30-81FD-5174093D6C4B}"/>
            </a:ext>
          </a:extLst>
        </xdr:cNvPr>
        <xdr:cNvSpPr/>
      </xdr:nvSpPr>
      <xdr:spPr>
        <a:xfrm>
          <a:off x="12505149" y="111491"/>
          <a:ext cx="3827883" cy="562131"/>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lang="en-US" sz="2400" b="1" i="1">
              <a:solidFill>
                <a:schemeClr val="tx1"/>
              </a:solidFill>
            </a:rPr>
            <a:t>Sum</a:t>
          </a:r>
          <a:r>
            <a:rPr lang="en-US" sz="2400" b="1" i="1" baseline="0">
              <a:solidFill>
                <a:schemeClr val="tx1"/>
              </a:solidFill>
            </a:rPr>
            <a:t> Of Salary</a:t>
          </a:r>
          <a:endParaRPr lang="en-US" sz="2400" b="1" i="1">
            <a:solidFill>
              <a:schemeClr val="tx1"/>
            </a:solidFill>
          </a:endParaRPr>
        </a:p>
      </xdr:txBody>
    </xdr:sp>
    <xdr:clientData/>
  </xdr:twoCellAnchor>
  <xdr:twoCellAnchor>
    <xdr:from>
      <xdr:col>20</xdr:col>
      <xdr:colOff>665589</xdr:colOff>
      <xdr:row>1</xdr:row>
      <xdr:rowOff>56168</xdr:rowOff>
    </xdr:from>
    <xdr:to>
      <xdr:col>23</xdr:col>
      <xdr:colOff>628124</xdr:colOff>
      <xdr:row>3</xdr:row>
      <xdr:rowOff>42339</xdr:rowOff>
    </xdr:to>
    <xdr:sp macro="" textlink="Sheet1!E11">
      <xdr:nvSpPr>
        <xdr:cNvPr id="26" name="TextBox 25">
          <a:extLst>
            <a:ext uri="{FF2B5EF4-FFF2-40B4-BE49-F238E27FC236}">
              <a16:creationId xmlns:a16="http://schemas.microsoft.com/office/drawing/2014/main" id="{3970F6A3-7D07-AE5A-FCB6-324748190907}"/>
            </a:ext>
          </a:extLst>
        </xdr:cNvPr>
        <xdr:cNvSpPr txBox="1"/>
      </xdr:nvSpPr>
      <xdr:spPr>
        <a:xfrm>
          <a:off x="14406573" y="243545"/>
          <a:ext cx="2023682" cy="360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824D35-53E1-4A74-A1C0-CED4C3702BEE}" type="TxLink">
            <a:rPr lang="en-US" sz="2400" b="1" i="0" u="none" strike="noStrike">
              <a:solidFill>
                <a:srgbClr val="000000"/>
              </a:solidFill>
              <a:latin typeface="Aptos Narrow"/>
              <a:ea typeface="+mn-ea"/>
              <a:cs typeface="+mn-cs"/>
            </a:rPr>
            <a:pPr marL="0" indent="0" algn="ctr"/>
            <a:t> $1,336,352 </a:t>
          </a:fld>
          <a:endParaRPr lang="en-US" sz="2400" b="1" i="0" u="none" strike="noStrike">
            <a:solidFill>
              <a:srgbClr val="000000"/>
            </a:solidFill>
            <a:latin typeface="Aptos Narrow"/>
            <a:ea typeface="+mn-ea"/>
            <a:cs typeface="+mn-cs"/>
          </a:endParaRPr>
        </a:p>
      </xdr:txBody>
    </xdr:sp>
    <xdr:clientData/>
  </xdr:twoCellAnchor>
  <xdr:twoCellAnchor>
    <xdr:from>
      <xdr:col>25</xdr:col>
      <xdr:colOff>522340</xdr:colOff>
      <xdr:row>0</xdr:row>
      <xdr:rowOff>111491</xdr:rowOff>
    </xdr:from>
    <xdr:to>
      <xdr:col>31</xdr:col>
      <xdr:colOff>467472</xdr:colOff>
      <xdr:row>3</xdr:row>
      <xdr:rowOff>111491</xdr:rowOff>
    </xdr:to>
    <xdr:grpSp>
      <xdr:nvGrpSpPr>
        <xdr:cNvPr id="30" name="Group 29">
          <a:extLst>
            <a:ext uri="{FF2B5EF4-FFF2-40B4-BE49-F238E27FC236}">
              <a16:creationId xmlns:a16="http://schemas.microsoft.com/office/drawing/2014/main" id="{77953742-1E11-A8A3-33DC-5508C2554014}"/>
            </a:ext>
          </a:extLst>
        </xdr:cNvPr>
        <xdr:cNvGrpSpPr/>
      </xdr:nvGrpSpPr>
      <xdr:grpSpPr>
        <a:xfrm>
          <a:off x="17698570" y="111491"/>
          <a:ext cx="4067427" cy="562131"/>
          <a:chOff x="14579400" y="81643"/>
          <a:chExt cx="3939488" cy="553065"/>
        </a:xfrm>
      </xdr:grpSpPr>
      <xdr:sp macro="" textlink="">
        <xdr:nvSpPr>
          <xdr:cNvPr id="22" name="Rectangle: Rounded Corners 21">
            <a:extLst>
              <a:ext uri="{FF2B5EF4-FFF2-40B4-BE49-F238E27FC236}">
                <a16:creationId xmlns:a16="http://schemas.microsoft.com/office/drawing/2014/main" id="{0D386C7D-AD48-42C8-B26B-3F94DAEBDDD0}"/>
              </a:ext>
            </a:extLst>
          </xdr:cNvPr>
          <xdr:cNvSpPr/>
        </xdr:nvSpPr>
        <xdr:spPr>
          <a:xfrm>
            <a:off x="14579400" y="81643"/>
            <a:ext cx="3939488" cy="55306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lang="en-US" sz="2400" b="1" i="1">
                <a:solidFill>
                  <a:schemeClr val="tx1"/>
                </a:solidFill>
              </a:rPr>
              <a:t>AVG. of Experience Year</a:t>
            </a:r>
          </a:p>
        </xdr:txBody>
      </xdr:sp>
      <xdr:sp macro="" textlink="Sheet1!D18">
        <xdr:nvSpPr>
          <xdr:cNvPr id="27" name="TextBox 26">
            <a:extLst>
              <a:ext uri="{FF2B5EF4-FFF2-40B4-BE49-F238E27FC236}">
                <a16:creationId xmlns:a16="http://schemas.microsoft.com/office/drawing/2014/main" id="{E6E3CD2B-4F0D-9E3A-0922-508A0EE01BB2}"/>
              </a:ext>
            </a:extLst>
          </xdr:cNvPr>
          <xdr:cNvSpPr txBox="1"/>
        </xdr:nvSpPr>
        <xdr:spPr>
          <a:xfrm>
            <a:off x="17750738" y="184355"/>
            <a:ext cx="636902"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F1B9C4-A11D-4232-BC64-98C34CD53A22}" type="TxLink">
              <a:rPr lang="en-US" sz="2400" b="1" i="0" u="none" strike="noStrike">
                <a:solidFill>
                  <a:srgbClr val="000000"/>
                </a:solidFill>
                <a:latin typeface="Aptos Narrow"/>
                <a:ea typeface="+mn-ea"/>
                <a:cs typeface="+mn-cs"/>
              </a:rPr>
              <a:pPr marL="0" indent="0" algn="ctr"/>
              <a:t>19</a:t>
            </a:fld>
            <a:endParaRPr lang="en-US" sz="2400" b="1" i="0" u="none" strike="noStrike">
              <a:solidFill>
                <a:srgbClr val="000000"/>
              </a:solidFill>
              <a:latin typeface="Aptos Narrow"/>
              <a:ea typeface="+mn-ea"/>
              <a:cs typeface="+mn-cs"/>
            </a:endParaRPr>
          </a:p>
        </xdr:txBody>
      </xdr:sp>
    </xdr:grpSp>
    <xdr:clientData/>
  </xdr:twoCellAnchor>
  <xdr:twoCellAnchor>
    <xdr:from>
      <xdr:col>10</xdr:col>
      <xdr:colOff>230445</xdr:colOff>
      <xdr:row>0</xdr:row>
      <xdr:rowOff>92178</xdr:rowOff>
    </xdr:from>
    <xdr:to>
      <xdr:col>11</xdr:col>
      <xdr:colOff>138267</xdr:colOff>
      <xdr:row>3</xdr:row>
      <xdr:rowOff>76814</xdr:rowOff>
    </xdr:to>
    <xdr:sp macro="" textlink="">
      <xdr:nvSpPr>
        <xdr:cNvPr id="33" name="Oval 32">
          <a:extLst>
            <a:ext uri="{FF2B5EF4-FFF2-40B4-BE49-F238E27FC236}">
              <a16:creationId xmlns:a16="http://schemas.microsoft.com/office/drawing/2014/main" id="{63B4F73B-9787-9182-B8AF-76154FD5C50D}"/>
            </a:ext>
          </a:extLst>
        </xdr:cNvPr>
        <xdr:cNvSpPr/>
      </xdr:nvSpPr>
      <xdr:spPr>
        <a:xfrm>
          <a:off x="7143751" y="92178"/>
          <a:ext cx="599153" cy="53770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322621</xdr:colOff>
      <xdr:row>0</xdr:row>
      <xdr:rowOff>122904</xdr:rowOff>
    </xdr:from>
    <xdr:to>
      <xdr:col>18</xdr:col>
      <xdr:colOff>230443</xdr:colOff>
      <xdr:row>3</xdr:row>
      <xdr:rowOff>107540</xdr:rowOff>
    </xdr:to>
    <xdr:sp macro="" textlink="">
      <xdr:nvSpPr>
        <xdr:cNvPr id="34" name="Oval 33">
          <a:extLst>
            <a:ext uri="{FF2B5EF4-FFF2-40B4-BE49-F238E27FC236}">
              <a16:creationId xmlns:a16="http://schemas.microsoft.com/office/drawing/2014/main" id="{7C051656-42B7-8EF4-647A-4B9335F900A5}"/>
            </a:ext>
          </a:extLst>
        </xdr:cNvPr>
        <xdr:cNvSpPr/>
      </xdr:nvSpPr>
      <xdr:spPr>
        <a:xfrm>
          <a:off x="12075242" y="122904"/>
          <a:ext cx="599153" cy="53770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15362</xdr:colOff>
      <xdr:row>0</xdr:row>
      <xdr:rowOff>119173</xdr:rowOff>
    </xdr:from>
    <xdr:to>
      <xdr:col>25</xdr:col>
      <xdr:colOff>614515</xdr:colOff>
      <xdr:row>3</xdr:row>
      <xdr:rowOff>103809</xdr:rowOff>
    </xdr:to>
    <xdr:sp macro="" textlink="">
      <xdr:nvSpPr>
        <xdr:cNvPr id="35" name="Oval 34">
          <a:extLst>
            <a:ext uri="{FF2B5EF4-FFF2-40B4-BE49-F238E27FC236}">
              <a16:creationId xmlns:a16="http://schemas.microsoft.com/office/drawing/2014/main" id="{D37E9EE2-A8A9-7391-DAAD-943BB05AB5CF}"/>
            </a:ext>
          </a:extLst>
        </xdr:cNvPr>
        <xdr:cNvSpPr/>
      </xdr:nvSpPr>
      <xdr:spPr>
        <a:xfrm>
          <a:off x="17298628" y="119173"/>
          <a:ext cx="599153" cy="53770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272144</xdr:colOff>
      <xdr:row>0</xdr:row>
      <xdr:rowOff>40822</xdr:rowOff>
    </xdr:from>
    <xdr:to>
      <xdr:col>11</xdr:col>
      <xdr:colOff>122465</xdr:colOff>
      <xdr:row>3</xdr:row>
      <xdr:rowOff>40822</xdr:rowOff>
    </xdr:to>
    <xdr:pic>
      <xdr:nvPicPr>
        <xdr:cNvPr id="39" name="Picture 38">
          <a:extLst>
            <a:ext uri="{FF2B5EF4-FFF2-40B4-BE49-F238E27FC236}">
              <a16:creationId xmlns:a16="http://schemas.microsoft.com/office/drawing/2014/main" id="{F068CBBC-0F67-1D23-600D-983D14CA0E17}"/>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7075715" y="40822"/>
          <a:ext cx="530679" cy="530679"/>
        </a:xfrm>
        <a:prstGeom prst="rect">
          <a:avLst/>
        </a:prstGeom>
      </xdr:spPr>
    </xdr:pic>
    <xdr:clientData/>
  </xdr:twoCellAnchor>
  <xdr:twoCellAnchor editAs="oneCell">
    <xdr:from>
      <xdr:col>17</xdr:col>
      <xdr:colOff>408216</xdr:colOff>
      <xdr:row>0</xdr:row>
      <xdr:rowOff>149679</xdr:rowOff>
    </xdr:from>
    <xdr:to>
      <xdr:col>18</xdr:col>
      <xdr:colOff>136072</xdr:colOff>
      <xdr:row>3</xdr:row>
      <xdr:rowOff>27214</xdr:rowOff>
    </xdr:to>
    <xdr:pic>
      <xdr:nvPicPr>
        <xdr:cNvPr id="43" name="Picture 42">
          <a:extLst>
            <a:ext uri="{FF2B5EF4-FFF2-40B4-BE49-F238E27FC236}">
              <a16:creationId xmlns:a16="http://schemas.microsoft.com/office/drawing/2014/main" id="{238CEAF7-17C9-FF36-9F59-1CE159AC981E}"/>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11974287" y="149679"/>
          <a:ext cx="408214" cy="408214"/>
        </a:xfrm>
        <a:prstGeom prst="rect">
          <a:avLst/>
        </a:prstGeom>
      </xdr:spPr>
    </xdr:pic>
    <xdr:clientData/>
  </xdr:twoCellAnchor>
  <xdr:twoCellAnchor editAs="oneCell">
    <xdr:from>
      <xdr:col>25</xdr:col>
      <xdr:colOff>54426</xdr:colOff>
      <xdr:row>0</xdr:row>
      <xdr:rowOff>149676</xdr:rowOff>
    </xdr:from>
    <xdr:to>
      <xdr:col>25</xdr:col>
      <xdr:colOff>571499</xdr:colOff>
      <xdr:row>3</xdr:row>
      <xdr:rowOff>136070</xdr:rowOff>
    </xdr:to>
    <xdr:pic>
      <xdr:nvPicPr>
        <xdr:cNvPr id="45" name="Picture 44">
          <a:extLst>
            <a:ext uri="{FF2B5EF4-FFF2-40B4-BE49-F238E27FC236}">
              <a16:creationId xmlns:a16="http://schemas.microsoft.com/office/drawing/2014/main" id="{FD61C50B-BB9F-F394-D338-7168A837F765}"/>
            </a:ext>
          </a:extLst>
        </xdr:cNvPr>
        <xdr:cNvPicPr>
          <a:picLocks noChangeAspect="1"/>
        </xdr:cNvPicPr>
      </xdr:nvPicPr>
      <xdr:blipFill>
        <a:blip xmlns:r="http://schemas.openxmlformats.org/officeDocument/2006/relationships" r:embed="rId11" cstate="print">
          <a:lum bright="70000" contrast="-70000"/>
          <a:extLst>
            <a:ext uri="{28A0092B-C50C-407E-A947-70E740481C1C}">
              <a14:useLocalDpi xmlns:a14="http://schemas.microsoft.com/office/drawing/2010/main" val="0"/>
            </a:ext>
          </a:extLst>
        </a:blip>
        <a:stretch>
          <a:fillRect/>
        </a:stretch>
      </xdr:blipFill>
      <xdr:spPr>
        <a:xfrm>
          <a:off x="17063355" y="149676"/>
          <a:ext cx="517073" cy="517073"/>
        </a:xfrm>
        <a:prstGeom prst="rect">
          <a:avLst/>
        </a:prstGeom>
      </xdr:spPr>
    </xdr:pic>
    <xdr:clientData/>
  </xdr:twoCellAnchor>
  <xdr:twoCellAnchor>
    <xdr:from>
      <xdr:col>0</xdr:col>
      <xdr:colOff>0</xdr:colOff>
      <xdr:row>4</xdr:row>
      <xdr:rowOff>177851</xdr:rowOff>
    </xdr:from>
    <xdr:to>
      <xdr:col>1</xdr:col>
      <xdr:colOff>321039</xdr:colOff>
      <xdr:row>22</xdr:row>
      <xdr:rowOff>93688</xdr:rowOff>
    </xdr:to>
    <xdr:sp macro="" textlink="">
      <xdr:nvSpPr>
        <xdr:cNvPr id="38" name="Oval 37">
          <a:extLst>
            <a:ext uri="{FF2B5EF4-FFF2-40B4-BE49-F238E27FC236}">
              <a16:creationId xmlns:a16="http://schemas.microsoft.com/office/drawing/2014/main" id="{CDE55888-CEF3-90A0-ECB1-228D71AD7794}"/>
            </a:ext>
          </a:extLst>
        </xdr:cNvPr>
        <xdr:cNvSpPr/>
      </xdr:nvSpPr>
      <xdr:spPr>
        <a:xfrm>
          <a:off x="0" y="927359"/>
          <a:ext cx="1008088" cy="3288624"/>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n-US" sz="4400">
              <a:solidFill>
                <a:schemeClr val="tx1"/>
              </a:solidFill>
            </a:rPr>
            <a:t>REPORT1</a:t>
          </a:r>
        </a:p>
      </xdr:txBody>
    </xdr:sp>
    <xdr:clientData/>
  </xdr:twoCellAnchor>
  <xdr:twoCellAnchor>
    <xdr:from>
      <xdr:col>0</xdr:col>
      <xdr:colOff>15614</xdr:colOff>
      <xdr:row>25</xdr:row>
      <xdr:rowOff>62460</xdr:rowOff>
    </xdr:from>
    <xdr:to>
      <xdr:col>1</xdr:col>
      <xdr:colOff>242965</xdr:colOff>
      <xdr:row>42</xdr:row>
      <xdr:rowOff>165674</xdr:rowOff>
    </xdr:to>
    <xdr:sp macro="" textlink="">
      <xdr:nvSpPr>
        <xdr:cNvPr id="40" name="Oval 39">
          <a:extLst>
            <a:ext uri="{FF2B5EF4-FFF2-40B4-BE49-F238E27FC236}">
              <a16:creationId xmlns:a16="http://schemas.microsoft.com/office/drawing/2014/main" id="{9F0426EF-9244-42CE-9AB2-BFBE26300D6C}"/>
            </a:ext>
          </a:extLst>
        </xdr:cNvPr>
        <xdr:cNvSpPr/>
      </xdr:nvSpPr>
      <xdr:spPr>
        <a:xfrm>
          <a:off x="15614" y="4746886"/>
          <a:ext cx="914400" cy="3288624"/>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4400">
              <a:solidFill>
                <a:schemeClr val="lt1"/>
              </a:solidFill>
              <a:effectLst/>
              <a:latin typeface="+mn-lt"/>
              <a:ea typeface="+mn-ea"/>
              <a:cs typeface="+mn-cs"/>
            </a:rPr>
            <a:t>REPORT2</a:t>
          </a:r>
          <a:endParaRPr lang="en-US" sz="4400">
            <a:effectLst/>
          </a:endParaRP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156149</xdr:colOff>
      <xdr:row>24</xdr:row>
      <xdr:rowOff>156148</xdr:rowOff>
    </xdr:from>
    <xdr:to>
      <xdr:col>28</xdr:col>
      <xdr:colOff>624591</xdr:colOff>
      <xdr:row>45</xdr:row>
      <xdr:rowOff>15615</xdr:rowOff>
    </xdr:to>
    <xdr:graphicFrame macro="">
      <xdr:nvGraphicFramePr>
        <xdr:cNvPr id="2" name="Chart 1">
          <a:extLst>
            <a:ext uri="{FF2B5EF4-FFF2-40B4-BE49-F238E27FC236}">
              <a16:creationId xmlns:a16="http://schemas.microsoft.com/office/drawing/2014/main" id="{1FE9E05A-195C-4B63-8D2D-1E56F9903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405983</xdr:colOff>
      <xdr:row>4</xdr:row>
      <xdr:rowOff>0</xdr:rowOff>
    </xdr:from>
    <xdr:to>
      <xdr:col>28</xdr:col>
      <xdr:colOff>646019</xdr:colOff>
      <xdr:row>24</xdr:row>
      <xdr:rowOff>140533</xdr:rowOff>
    </xdr:to>
    <xdr:graphicFrame macro="">
      <xdr:nvGraphicFramePr>
        <xdr:cNvPr id="3" name="Chart 2">
          <a:extLst>
            <a:ext uri="{FF2B5EF4-FFF2-40B4-BE49-F238E27FC236}">
              <a16:creationId xmlns:a16="http://schemas.microsoft.com/office/drawing/2014/main" id="{5CCB6D1D-8E6B-4A77-8260-3951D98FF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28</xdr:col>
      <xdr:colOff>661194</xdr:colOff>
      <xdr:row>3</xdr:row>
      <xdr:rowOff>173181</xdr:rowOff>
    </xdr:from>
    <xdr:to>
      <xdr:col>31</xdr:col>
      <xdr:colOff>415959</xdr:colOff>
      <xdr:row>18</xdr:row>
      <xdr:rowOff>103908</xdr:rowOff>
    </xdr:to>
    <mc:AlternateContent xmlns:mc="http://schemas.openxmlformats.org/markup-compatibility/2006" xmlns:a14="http://schemas.microsoft.com/office/drawing/2010/main">
      <mc:Choice Requires="a14">
        <xdr:graphicFrame macro="">
          <xdr:nvGraphicFramePr>
            <xdr:cNvPr id="4" name="Department 2">
              <a:extLst>
                <a:ext uri="{FF2B5EF4-FFF2-40B4-BE49-F238E27FC236}">
                  <a16:creationId xmlns:a16="http://schemas.microsoft.com/office/drawing/2014/main" id="{5C736B76-2743-4EDB-91EA-9D6655F6AAC7}"/>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9898571" y="735312"/>
              <a:ext cx="1815913" cy="2741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668243</xdr:colOff>
      <xdr:row>18</xdr:row>
      <xdr:rowOff>121226</xdr:rowOff>
    </xdr:from>
    <xdr:to>
      <xdr:col>31</xdr:col>
      <xdr:colOff>423008</xdr:colOff>
      <xdr:row>31</xdr:row>
      <xdr:rowOff>13604</xdr:rowOff>
    </xdr:to>
    <mc:AlternateContent xmlns:mc="http://schemas.openxmlformats.org/markup-compatibility/2006" xmlns:a14="http://schemas.microsoft.com/office/drawing/2010/main">
      <mc:Choice Requires="a14">
        <xdr:graphicFrame macro="">
          <xdr:nvGraphicFramePr>
            <xdr:cNvPr id="5" name="Gender 2">
              <a:extLst>
                <a:ext uri="{FF2B5EF4-FFF2-40B4-BE49-F238E27FC236}">
                  <a16:creationId xmlns:a16="http://schemas.microsoft.com/office/drawing/2014/main" id="{FBC2E504-3D4F-4606-AB56-E55CBB98509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9905620" y="3494013"/>
              <a:ext cx="1815913" cy="232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660286</xdr:colOff>
      <xdr:row>31</xdr:row>
      <xdr:rowOff>1013</xdr:rowOff>
    </xdr:from>
    <xdr:to>
      <xdr:col>31</xdr:col>
      <xdr:colOff>415051</xdr:colOff>
      <xdr:row>44</xdr:row>
      <xdr:rowOff>151493</xdr:rowOff>
    </xdr:to>
    <mc:AlternateContent xmlns:mc="http://schemas.openxmlformats.org/markup-compatibility/2006" xmlns:a14="http://schemas.microsoft.com/office/drawing/2010/main">
      <mc:Choice Requires="a14">
        <xdr:graphicFrame macro="">
          <xdr:nvGraphicFramePr>
            <xdr:cNvPr id="6" name="Country 2">
              <a:extLst>
                <a:ext uri="{FF2B5EF4-FFF2-40B4-BE49-F238E27FC236}">
                  <a16:creationId xmlns:a16="http://schemas.microsoft.com/office/drawing/2014/main" id="{84ECDDE0-7513-4D90-A9D0-B0433268C0BE}"/>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9897663" y="5809702"/>
              <a:ext cx="1815913" cy="2586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177800</xdr:colOff>
      <xdr:row>44</xdr:row>
      <xdr:rowOff>172008</xdr:rowOff>
    </xdr:from>
    <xdr:to>
      <xdr:col>31</xdr:col>
      <xdr:colOff>415472</xdr:colOff>
      <xdr:row>53</xdr:row>
      <xdr:rowOff>138793</xdr:rowOff>
    </xdr:to>
    <mc:AlternateContent xmlns:mc="http://schemas.openxmlformats.org/markup-compatibility/2006" xmlns:tsle="http://schemas.microsoft.com/office/drawing/2012/timeslicer">
      <mc:Choice Requires="tsle">
        <xdr:graphicFrame macro="">
          <xdr:nvGraphicFramePr>
            <xdr:cNvPr id="7" name="Hiring Date 2">
              <a:extLst>
                <a:ext uri="{FF2B5EF4-FFF2-40B4-BE49-F238E27FC236}">
                  <a16:creationId xmlns:a16="http://schemas.microsoft.com/office/drawing/2014/main" id="{E25E96DB-0368-4AA4-A234-27ACC65941E1}"/>
                </a:ext>
              </a:extLst>
            </xdr:cNvPr>
            <xdr:cNvGraphicFramePr/>
          </xdr:nvGraphicFramePr>
          <xdr:xfrm>
            <a:off x="0" y="0"/>
            <a:ext cx="0" cy="0"/>
          </xdr:xfrm>
          <a:graphic>
            <a:graphicData uri="http://schemas.microsoft.com/office/drawing/2012/timeslicer">
              <tsle:timeslicer name="Hiring Date 2"/>
            </a:graphicData>
          </a:graphic>
        </xdr:graphicFrame>
      </mc:Choice>
      <mc:Fallback xmlns="">
        <xdr:sp macro="" textlink="">
          <xdr:nvSpPr>
            <xdr:cNvPr id="0" name=""/>
            <xdr:cNvSpPr>
              <a:spLocks noTextEdit="1"/>
            </xdr:cNvSpPr>
          </xdr:nvSpPr>
          <xdr:spPr>
            <a:xfrm>
              <a:off x="864849" y="8416598"/>
              <a:ext cx="20849148" cy="165317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171763</xdr:colOff>
      <xdr:row>3</xdr:row>
      <xdr:rowOff>156148</xdr:rowOff>
    </xdr:from>
    <xdr:to>
      <xdr:col>14</xdr:col>
      <xdr:colOff>390368</xdr:colOff>
      <xdr:row>24</xdr:row>
      <xdr:rowOff>150394</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61ABB162-D4A8-4C75-92C5-C0CA0D945F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57563" y="699073"/>
              <a:ext cx="9134005" cy="379472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204106</xdr:colOff>
      <xdr:row>0</xdr:row>
      <xdr:rowOff>95250</xdr:rowOff>
    </xdr:from>
    <xdr:to>
      <xdr:col>9</xdr:col>
      <xdr:colOff>489857</xdr:colOff>
      <xdr:row>3</xdr:row>
      <xdr:rowOff>95250</xdr:rowOff>
    </xdr:to>
    <xdr:sp macro="" textlink="">
      <xdr:nvSpPr>
        <xdr:cNvPr id="9" name="Rectangle: Rounded Corners 8">
          <a:extLst>
            <a:ext uri="{FF2B5EF4-FFF2-40B4-BE49-F238E27FC236}">
              <a16:creationId xmlns:a16="http://schemas.microsoft.com/office/drawing/2014/main" id="{1E1DD02E-545F-4186-9AD0-9908E300493A}"/>
            </a:ext>
          </a:extLst>
        </xdr:cNvPr>
        <xdr:cNvSpPr/>
      </xdr:nvSpPr>
      <xdr:spPr>
        <a:xfrm>
          <a:off x="889906" y="95250"/>
          <a:ext cx="5772151" cy="5429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449036</xdr:colOff>
      <xdr:row>0</xdr:row>
      <xdr:rowOff>40822</xdr:rowOff>
    </xdr:from>
    <xdr:to>
      <xdr:col>2</xdr:col>
      <xdr:colOff>408214</xdr:colOff>
      <xdr:row>3</xdr:row>
      <xdr:rowOff>149678</xdr:rowOff>
    </xdr:to>
    <xdr:pic>
      <xdr:nvPicPr>
        <xdr:cNvPr id="10" name="Graphic 9" descr="Aperture with solid fill">
          <a:extLst>
            <a:ext uri="{FF2B5EF4-FFF2-40B4-BE49-F238E27FC236}">
              <a16:creationId xmlns:a16="http://schemas.microsoft.com/office/drawing/2014/main" id="{D3D7F7C5-2736-4DE6-8F90-0C8562212FE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34836" y="40822"/>
          <a:ext cx="644978" cy="651781"/>
        </a:xfrm>
        <a:prstGeom prst="rect">
          <a:avLst/>
        </a:prstGeom>
      </xdr:spPr>
    </xdr:pic>
    <xdr:clientData/>
  </xdr:twoCellAnchor>
  <xdr:twoCellAnchor>
    <xdr:from>
      <xdr:col>2</xdr:col>
      <xdr:colOff>625929</xdr:colOff>
      <xdr:row>0</xdr:row>
      <xdr:rowOff>163286</xdr:rowOff>
    </xdr:from>
    <xdr:to>
      <xdr:col>9</xdr:col>
      <xdr:colOff>285751</xdr:colOff>
      <xdr:row>3</xdr:row>
      <xdr:rowOff>54428</xdr:rowOff>
    </xdr:to>
    <xdr:sp macro="" textlink="">
      <xdr:nvSpPr>
        <xdr:cNvPr id="11" name="TextBox 10">
          <a:extLst>
            <a:ext uri="{FF2B5EF4-FFF2-40B4-BE49-F238E27FC236}">
              <a16:creationId xmlns:a16="http://schemas.microsoft.com/office/drawing/2014/main" id="{7AED745A-608E-4808-BF94-4BDA2E69C693}"/>
            </a:ext>
          </a:extLst>
        </xdr:cNvPr>
        <xdr:cNvSpPr txBox="1"/>
      </xdr:nvSpPr>
      <xdr:spPr>
        <a:xfrm>
          <a:off x="1997529" y="163286"/>
          <a:ext cx="4460422" cy="43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tx1"/>
              </a:solidFill>
            </a:rPr>
            <a:t>IAMA</a:t>
          </a:r>
          <a:r>
            <a:rPr lang="en-US" sz="2000" b="1" baseline="0">
              <a:solidFill>
                <a:schemeClr val="tx1"/>
              </a:solidFill>
            </a:rPr>
            <a:t> COMPANY FOR CONSULTING</a:t>
          </a:r>
          <a:endParaRPr lang="en-US" sz="2000" b="1">
            <a:solidFill>
              <a:schemeClr val="tx1"/>
            </a:solidFill>
          </a:endParaRPr>
        </a:p>
      </xdr:txBody>
    </xdr:sp>
    <xdr:clientData/>
  </xdr:twoCellAnchor>
  <xdr:twoCellAnchor>
    <xdr:from>
      <xdr:col>11</xdr:col>
      <xdr:colOff>45214</xdr:colOff>
      <xdr:row>0</xdr:row>
      <xdr:rowOff>111491</xdr:rowOff>
    </xdr:from>
    <xdr:to>
      <xdr:col>16</xdr:col>
      <xdr:colOff>31606</xdr:colOff>
      <xdr:row>3</xdr:row>
      <xdr:rowOff>111491</xdr:rowOff>
    </xdr:to>
    <xdr:grpSp>
      <xdr:nvGrpSpPr>
        <xdr:cNvPr id="12" name="Group 11">
          <a:extLst>
            <a:ext uri="{FF2B5EF4-FFF2-40B4-BE49-F238E27FC236}">
              <a16:creationId xmlns:a16="http://schemas.microsoft.com/office/drawing/2014/main" id="{D2D28F81-B92D-4F6B-984A-D48BC793F2AE}"/>
            </a:ext>
          </a:extLst>
        </xdr:cNvPr>
        <xdr:cNvGrpSpPr/>
      </xdr:nvGrpSpPr>
      <xdr:grpSpPr>
        <a:xfrm>
          <a:off x="7602755" y="111491"/>
          <a:ext cx="3421638" cy="562131"/>
          <a:chOff x="7158237" y="95250"/>
          <a:chExt cx="3443045" cy="553065"/>
        </a:xfrm>
      </xdr:grpSpPr>
      <xdr:sp macro="" textlink="">
        <xdr:nvSpPr>
          <xdr:cNvPr id="13" name="Rectangle: Rounded Corners 12">
            <a:extLst>
              <a:ext uri="{FF2B5EF4-FFF2-40B4-BE49-F238E27FC236}">
                <a16:creationId xmlns:a16="http://schemas.microsoft.com/office/drawing/2014/main" id="{6BBB00B6-99AB-FE59-C680-1800CFD87FB1}"/>
              </a:ext>
            </a:extLst>
          </xdr:cNvPr>
          <xdr:cNvSpPr/>
        </xdr:nvSpPr>
        <xdr:spPr>
          <a:xfrm>
            <a:off x="7158237" y="95250"/>
            <a:ext cx="3415832" cy="55306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lang="en-US" sz="2400" b="1" i="1">
                <a:solidFill>
                  <a:schemeClr val="tx1"/>
                </a:solidFill>
                <a:latin typeface="+mj-lt"/>
              </a:rPr>
              <a:t>Count Of Employee</a:t>
            </a:r>
          </a:p>
        </xdr:txBody>
      </xdr:sp>
      <xdr:sp macro="" textlink="Sheet1!B11">
        <xdr:nvSpPr>
          <xdr:cNvPr id="14" name="TextBox 13">
            <a:extLst>
              <a:ext uri="{FF2B5EF4-FFF2-40B4-BE49-F238E27FC236}">
                <a16:creationId xmlns:a16="http://schemas.microsoft.com/office/drawing/2014/main" id="{E2A04A3C-BA88-9E55-2F54-7639995D4EFD}"/>
              </a:ext>
            </a:extLst>
          </xdr:cNvPr>
          <xdr:cNvSpPr txBox="1"/>
        </xdr:nvSpPr>
        <xdr:spPr>
          <a:xfrm>
            <a:off x="9882737" y="252390"/>
            <a:ext cx="718545" cy="279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B4A75B-ABB9-4061-A3B1-5F13BD09964F}" type="TxLink">
              <a:rPr lang="en-US" sz="2400" b="1" i="0" u="none" strike="noStrike">
                <a:solidFill>
                  <a:srgbClr val="000000"/>
                </a:solidFill>
                <a:latin typeface="Aptos Narrow"/>
                <a:ea typeface="+mn-ea"/>
                <a:cs typeface="+mn-cs"/>
              </a:rPr>
              <a:pPr marL="0" indent="0" algn="ctr"/>
              <a:t>300</a:t>
            </a:fld>
            <a:endParaRPr lang="en-US" sz="2400" b="1" i="0" u="none" strike="noStrike">
              <a:solidFill>
                <a:srgbClr val="000000"/>
              </a:solidFill>
              <a:latin typeface="Aptos Narrow"/>
              <a:ea typeface="+mn-ea"/>
              <a:cs typeface="+mn-cs"/>
            </a:endParaRPr>
          </a:p>
        </xdr:txBody>
      </xdr:sp>
    </xdr:grpSp>
    <xdr:clientData/>
  </xdr:twoCellAnchor>
  <xdr:twoCellAnchor>
    <xdr:from>
      <xdr:col>18</xdr:col>
      <xdr:colOff>138264</xdr:colOff>
      <xdr:row>0</xdr:row>
      <xdr:rowOff>111491</xdr:rowOff>
    </xdr:from>
    <xdr:to>
      <xdr:col>23</xdr:col>
      <xdr:colOff>530901</xdr:colOff>
      <xdr:row>3</xdr:row>
      <xdr:rowOff>111491</xdr:rowOff>
    </xdr:to>
    <xdr:sp macro="" textlink="">
      <xdr:nvSpPr>
        <xdr:cNvPr id="15" name="Rectangle: Rounded Corners 14">
          <a:extLst>
            <a:ext uri="{FF2B5EF4-FFF2-40B4-BE49-F238E27FC236}">
              <a16:creationId xmlns:a16="http://schemas.microsoft.com/office/drawing/2014/main" id="{3C1BB9D3-0CBA-4F05-8AF0-584D5B320A1A}"/>
            </a:ext>
          </a:extLst>
        </xdr:cNvPr>
        <xdr:cNvSpPr/>
      </xdr:nvSpPr>
      <xdr:spPr>
        <a:xfrm>
          <a:off x="12482664" y="111491"/>
          <a:ext cx="3821637" cy="5429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lang="en-US" sz="2400" b="1" i="1">
              <a:solidFill>
                <a:schemeClr val="tx1"/>
              </a:solidFill>
            </a:rPr>
            <a:t>Sum</a:t>
          </a:r>
          <a:r>
            <a:rPr lang="en-US" sz="2400" b="1" i="1" baseline="0">
              <a:solidFill>
                <a:schemeClr val="tx1"/>
              </a:solidFill>
            </a:rPr>
            <a:t> Of Salary</a:t>
          </a:r>
          <a:endParaRPr lang="en-US" sz="2400" b="1" i="1">
            <a:solidFill>
              <a:schemeClr val="tx1"/>
            </a:solidFill>
          </a:endParaRPr>
        </a:p>
      </xdr:txBody>
    </xdr:sp>
    <xdr:clientData/>
  </xdr:twoCellAnchor>
  <xdr:twoCellAnchor>
    <xdr:from>
      <xdr:col>20</xdr:col>
      <xdr:colOff>665589</xdr:colOff>
      <xdr:row>1</xdr:row>
      <xdr:rowOff>56168</xdr:rowOff>
    </xdr:from>
    <xdr:to>
      <xdr:col>23</xdr:col>
      <xdr:colOff>628124</xdr:colOff>
      <xdr:row>3</xdr:row>
      <xdr:rowOff>42339</xdr:rowOff>
    </xdr:to>
    <xdr:sp macro="" textlink="Sheet1!E11">
      <xdr:nvSpPr>
        <xdr:cNvPr id="16" name="TextBox 15">
          <a:extLst>
            <a:ext uri="{FF2B5EF4-FFF2-40B4-BE49-F238E27FC236}">
              <a16:creationId xmlns:a16="http://schemas.microsoft.com/office/drawing/2014/main" id="{8C44EEE9-FD6C-4701-8418-0FDDBFA866C6}"/>
            </a:ext>
          </a:extLst>
        </xdr:cNvPr>
        <xdr:cNvSpPr txBox="1"/>
      </xdr:nvSpPr>
      <xdr:spPr>
        <a:xfrm>
          <a:off x="14381589" y="237143"/>
          <a:ext cx="2019935" cy="348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824D35-53E1-4A74-A1C0-CED4C3702BEE}" type="TxLink">
            <a:rPr lang="en-US" sz="2400" b="1" i="0" u="none" strike="noStrike">
              <a:solidFill>
                <a:srgbClr val="000000"/>
              </a:solidFill>
              <a:latin typeface="Aptos Narrow"/>
              <a:ea typeface="+mn-ea"/>
              <a:cs typeface="+mn-cs"/>
            </a:rPr>
            <a:pPr marL="0" indent="0" algn="ctr"/>
            <a:t> $1,336,352 </a:t>
          </a:fld>
          <a:endParaRPr lang="en-US" sz="2400" b="1" i="0" u="none" strike="noStrike">
            <a:solidFill>
              <a:srgbClr val="000000"/>
            </a:solidFill>
            <a:latin typeface="Aptos Narrow"/>
            <a:ea typeface="+mn-ea"/>
            <a:cs typeface="+mn-cs"/>
          </a:endParaRPr>
        </a:p>
      </xdr:txBody>
    </xdr:sp>
    <xdr:clientData/>
  </xdr:twoCellAnchor>
  <xdr:twoCellAnchor>
    <xdr:from>
      <xdr:col>25</xdr:col>
      <xdr:colOff>522340</xdr:colOff>
      <xdr:row>0</xdr:row>
      <xdr:rowOff>111491</xdr:rowOff>
    </xdr:from>
    <xdr:to>
      <xdr:col>31</xdr:col>
      <xdr:colOff>467472</xdr:colOff>
      <xdr:row>3</xdr:row>
      <xdr:rowOff>111491</xdr:rowOff>
    </xdr:to>
    <xdr:grpSp>
      <xdr:nvGrpSpPr>
        <xdr:cNvPr id="17" name="Group 16">
          <a:extLst>
            <a:ext uri="{FF2B5EF4-FFF2-40B4-BE49-F238E27FC236}">
              <a16:creationId xmlns:a16="http://schemas.microsoft.com/office/drawing/2014/main" id="{7F203F46-E175-4A82-833F-6E309D9829BB}"/>
            </a:ext>
          </a:extLst>
        </xdr:cNvPr>
        <xdr:cNvGrpSpPr/>
      </xdr:nvGrpSpPr>
      <xdr:grpSpPr>
        <a:xfrm>
          <a:off x="17698570" y="111491"/>
          <a:ext cx="4067427" cy="562131"/>
          <a:chOff x="14579400" y="81643"/>
          <a:chExt cx="3939488" cy="553065"/>
        </a:xfrm>
      </xdr:grpSpPr>
      <xdr:sp macro="" textlink="">
        <xdr:nvSpPr>
          <xdr:cNvPr id="18" name="Rectangle: Rounded Corners 17">
            <a:extLst>
              <a:ext uri="{FF2B5EF4-FFF2-40B4-BE49-F238E27FC236}">
                <a16:creationId xmlns:a16="http://schemas.microsoft.com/office/drawing/2014/main" id="{BBE0F82E-D4D0-E6CA-58FA-D5F460541D85}"/>
              </a:ext>
            </a:extLst>
          </xdr:cNvPr>
          <xdr:cNvSpPr/>
        </xdr:nvSpPr>
        <xdr:spPr>
          <a:xfrm>
            <a:off x="14579400" y="81643"/>
            <a:ext cx="3939488" cy="55306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lang="en-US" sz="2400" b="1" i="1">
                <a:solidFill>
                  <a:schemeClr val="tx1"/>
                </a:solidFill>
              </a:rPr>
              <a:t>AVG. of Experience Year</a:t>
            </a:r>
          </a:p>
        </xdr:txBody>
      </xdr:sp>
      <xdr:sp macro="" textlink="Sheet1!D18">
        <xdr:nvSpPr>
          <xdr:cNvPr id="19" name="TextBox 18">
            <a:extLst>
              <a:ext uri="{FF2B5EF4-FFF2-40B4-BE49-F238E27FC236}">
                <a16:creationId xmlns:a16="http://schemas.microsoft.com/office/drawing/2014/main" id="{9C386F08-8419-530B-6FD4-E08E215623C7}"/>
              </a:ext>
            </a:extLst>
          </xdr:cNvPr>
          <xdr:cNvSpPr txBox="1"/>
        </xdr:nvSpPr>
        <xdr:spPr>
          <a:xfrm>
            <a:off x="17750738" y="184355"/>
            <a:ext cx="636902"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F1B9C4-A11D-4232-BC64-98C34CD53A22}" type="TxLink">
              <a:rPr lang="en-US" sz="2400" b="1" i="0" u="none" strike="noStrike">
                <a:solidFill>
                  <a:srgbClr val="000000"/>
                </a:solidFill>
                <a:latin typeface="Aptos Narrow"/>
                <a:ea typeface="+mn-ea"/>
                <a:cs typeface="+mn-cs"/>
              </a:rPr>
              <a:pPr marL="0" indent="0" algn="ctr"/>
              <a:t>19</a:t>
            </a:fld>
            <a:endParaRPr lang="en-US" sz="2400" b="1" i="0" u="none" strike="noStrike">
              <a:solidFill>
                <a:srgbClr val="000000"/>
              </a:solidFill>
              <a:latin typeface="Aptos Narrow"/>
              <a:ea typeface="+mn-ea"/>
              <a:cs typeface="+mn-cs"/>
            </a:endParaRPr>
          </a:p>
        </xdr:txBody>
      </xdr:sp>
    </xdr:grpSp>
    <xdr:clientData/>
  </xdr:twoCellAnchor>
  <xdr:twoCellAnchor>
    <xdr:from>
      <xdr:col>10</xdr:col>
      <xdr:colOff>230445</xdr:colOff>
      <xdr:row>0</xdr:row>
      <xdr:rowOff>92178</xdr:rowOff>
    </xdr:from>
    <xdr:to>
      <xdr:col>11</xdr:col>
      <xdr:colOff>138267</xdr:colOff>
      <xdr:row>3</xdr:row>
      <xdr:rowOff>76814</xdr:rowOff>
    </xdr:to>
    <xdr:sp macro="" textlink="">
      <xdr:nvSpPr>
        <xdr:cNvPr id="20" name="Oval 19">
          <a:extLst>
            <a:ext uri="{FF2B5EF4-FFF2-40B4-BE49-F238E27FC236}">
              <a16:creationId xmlns:a16="http://schemas.microsoft.com/office/drawing/2014/main" id="{AE347B72-86AB-4F94-80E7-456DE0415EF8}"/>
            </a:ext>
          </a:extLst>
        </xdr:cNvPr>
        <xdr:cNvSpPr/>
      </xdr:nvSpPr>
      <xdr:spPr>
        <a:xfrm>
          <a:off x="7088445" y="92178"/>
          <a:ext cx="593622" cy="52756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322621</xdr:colOff>
      <xdr:row>0</xdr:row>
      <xdr:rowOff>122904</xdr:rowOff>
    </xdr:from>
    <xdr:to>
      <xdr:col>18</xdr:col>
      <xdr:colOff>230443</xdr:colOff>
      <xdr:row>3</xdr:row>
      <xdr:rowOff>107540</xdr:rowOff>
    </xdr:to>
    <xdr:sp macro="" textlink="">
      <xdr:nvSpPr>
        <xdr:cNvPr id="21" name="Oval 20">
          <a:extLst>
            <a:ext uri="{FF2B5EF4-FFF2-40B4-BE49-F238E27FC236}">
              <a16:creationId xmlns:a16="http://schemas.microsoft.com/office/drawing/2014/main" id="{D5E2A7AC-F680-4B06-9432-666AAEEECCFD}"/>
            </a:ext>
          </a:extLst>
        </xdr:cNvPr>
        <xdr:cNvSpPr/>
      </xdr:nvSpPr>
      <xdr:spPr>
        <a:xfrm>
          <a:off x="11981221" y="122904"/>
          <a:ext cx="593622" cy="52756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15362</xdr:colOff>
      <xdr:row>0</xdr:row>
      <xdr:rowOff>119173</xdr:rowOff>
    </xdr:from>
    <xdr:to>
      <xdr:col>25</xdr:col>
      <xdr:colOff>614515</xdr:colOff>
      <xdr:row>3</xdr:row>
      <xdr:rowOff>103809</xdr:rowOff>
    </xdr:to>
    <xdr:sp macro="" textlink="">
      <xdr:nvSpPr>
        <xdr:cNvPr id="22" name="Oval 21">
          <a:extLst>
            <a:ext uri="{FF2B5EF4-FFF2-40B4-BE49-F238E27FC236}">
              <a16:creationId xmlns:a16="http://schemas.microsoft.com/office/drawing/2014/main" id="{46B1DA15-93A8-4E9F-BB6F-942D39AF4B91}"/>
            </a:ext>
          </a:extLst>
        </xdr:cNvPr>
        <xdr:cNvSpPr/>
      </xdr:nvSpPr>
      <xdr:spPr>
        <a:xfrm>
          <a:off x="17160362" y="119173"/>
          <a:ext cx="599153" cy="52756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272144</xdr:colOff>
      <xdr:row>0</xdr:row>
      <xdr:rowOff>40822</xdr:rowOff>
    </xdr:from>
    <xdr:to>
      <xdr:col>11</xdr:col>
      <xdr:colOff>122465</xdr:colOff>
      <xdr:row>3</xdr:row>
      <xdr:rowOff>40822</xdr:rowOff>
    </xdr:to>
    <xdr:pic>
      <xdr:nvPicPr>
        <xdr:cNvPr id="23" name="Picture 22">
          <a:extLst>
            <a:ext uri="{FF2B5EF4-FFF2-40B4-BE49-F238E27FC236}">
              <a16:creationId xmlns:a16="http://schemas.microsoft.com/office/drawing/2014/main" id="{FF93E1C0-ED21-4E34-BC74-7F35680DF26F}"/>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7130144" y="40822"/>
          <a:ext cx="536121" cy="542925"/>
        </a:xfrm>
        <a:prstGeom prst="rect">
          <a:avLst/>
        </a:prstGeom>
      </xdr:spPr>
    </xdr:pic>
    <xdr:clientData/>
  </xdr:twoCellAnchor>
  <xdr:twoCellAnchor editAs="oneCell">
    <xdr:from>
      <xdr:col>17</xdr:col>
      <xdr:colOff>408216</xdr:colOff>
      <xdr:row>0</xdr:row>
      <xdr:rowOff>149679</xdr:rowOff>
    </xdr:from>
    <xdr:to>
      <xdr:col>18</xdr:col>
      <xdr:colOff>136072</xdr:colOff>
      <xdr:row>3</xdr:row>
      <xdr:rowOff>27214</xdr:rowOff>
    </xdr:to>
    <xdr:pic>
      <xdr:nvPicPr>
        <xdr:cNvPr id="24" name="Picture 23">
          <a:extLst>
            <a:ext uri="{FF2B5EF4-FFF2-40B4-BE49-F238E27FC236}">
              <a16:creationId xmlns:a16="http://schemas.microsoft.com/office/drawing/2014/main" id="{A2F06FF4-28BF-4BA5-AAC4-83E46F4E9E64}"/>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12066816" y="149679"/>
          <a:ext cx="413656" cy="420460"/>
        </a:xfrm>
        <a:prstGeom prst="rect">
          <a:avLst/>
        </a:prstGeom>
      </xdr:spPr>
    </xdr:pic>
    <xdr:clientData/>
  </xdr:twoCellAnchor>
  <xdr:twoCellAnchor editAs="oneCell">
    <xdr:from>
      <xdr:col>25</xdr:col>
      <xdr:colOff>54426</xdr:colOff>
      <xdr:row>0</xdr:row>
      <xdr:rowOff>149676</xdr:rowOff>
    </xdr:from>
    <xdr:to>
      <xdr:col>25</xdr:col>
      <xdr:colOff>571499</xdr:colOff>
      <xdr:row>3</xdr:row>
      <xdr:rowOff>136070</xdr:rowOff>
    </xdr:to>
    <xdr:pic>
      <xdr:nvPicPr>
        <xdr:cNvPr id="25" name="Picture 24">
          <a:extLst>
            <a:ext uri="{FF2B5EF4-FFF2-40B4-BE49-F238E27FC236}">
              <a16:creationId xmlns:a16="http://schemas.microsoft.com/office/drawing/2014/main" id="{84339B57-EB07-4635-A7EA-4DAE0AE825D2}"/>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17199426" y="149676"/>
          <a:ext cx="517073" cy="529319"/>
        </a:xfrm>
        <a:prstGeom prst="rect">
          <a:avLst/>
        </a:prstGeom>
      </xdr:spPr>
    </xdr:pic>
    <xdr:clientData/>
  </xdr:twoCellAnchor>
  <xdr:twoCellAnchor>
    <xdr:from>
      <xdr:col>0</xdr:col>
      <xdr:colOff>0</xdr:colOff>
      <xdr:row>4</xdr:row>
      <xdr:rowOff>171763</xdr:rowOff>
    </xdr:from>
    <xdr:to>
      <xdr:col>1</xdr:col>
      <xdr:colOff>249836</xdr:colOff>
      <xdr:row>22</xdr:row>
      <xdr:rowOff>87600</xdr:rowOff>
    </xdr:to>
    <xdr:sp macro="" textlink="">
      <xdr:nvSpPr>
        <xdr:cNvPr id="26" name="Oval 25">
          <a:extLst>
            <a:ext uri="{FF2B5EF4-FFF2-40B4-BE49-F238E27FC236}">
              <a16:creationId xmlns:a16="http://schemas.microsoft.com/office/drawing/2014/main" id="{EF529CF3-E0B4-497B-81BB-A6E469FF07C8}"/>
            </a:ext>
          </a:extLst>
        </xdr:cNvPr>
        <xdr:cNvSpPr/>
      </xdr:nvSpPr>
      <xdr:spPr>
        <a:xfrm>
          <a:off x="0" y="921271"/>
          <a:ext cx="936885" cy="3288624"/>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n-US" sz="4400">
              <a:solidFill>
                <a:schemeClr val="bg1"/>
              </a:solidFill>
            </a:rPr>
            <a:t>REPORT1</a:t>
          </a:r>
        </a:p>
      </xdr:txBody>
    </xdr:sp>
    <xdr:clientData/>
  </xdr:twoCellAnchor>
  <xdr:twoCellAnchor>
    <xdr:from>
      <xdr:col>0</xdr:col>
      <xdr:colOff>0</xdr:colOff>
      <xdr:row>26</xdr:row>
      <xdr:rowOff>109304</xdr:rowOff>
    </xdr:from>
    <xdr:to>
      <xdr:col>1</xdr:col>
      <xdr:colOff>227351</xdr:colOff>
      <xdr:row>44</xdr:row>
      <xdr:rowOff>25141</xdr:rowOff>
    </xdr:to>
    <xdr:sp macro="" textlink="">
      <xdr:nvSpPr>
        <xdr:cNvPr id="27" name="Oval 26">
          <a:extLst>
            <a:ext uri="{FF2B5EF4-FFF2-40B4-BE49-F238E27FC236}">
              <a16:creationId xmlns:a16="http://schemas.microsoft.com/office/drawing/2014/main" id="{2FC2DADE-EFE0-4336-9E3E-37AD01A18583}"/>
            </a:ext>
          </a:extLst>
        </xdr:cNvPr>
        <xdr:cNvSpPr/>
      </xdr:nvSpPr>
      <xdr:spPr>
        <a:xfrm>
          <a:off x="0" y="4981107"/>
          <a:ext cx="914400" cy="3288624"/>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4400">
              <a:solidFill>
                <a:schemeClr val="tx1"/>
              </a:solidFill>
              <a:effectLst/>
              <a:latin typeface="+mn-lt"/>
              <a:ea typeface="+mn-ea"/>
              <a:cs typeface="+mn-cs"/>
            </a:rPr>
            <a:t>REPORT2</a:t>
          </a:r>
          <a:endParaRPr lang="en-US" sz="4400">
            <a:solidFill>
              <a:schemeClr val="tx1"/>
            </a:solidFill>
            <a:effectLst/>
          </a:endParaRPr>
        </a:p>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hmed\Desktop\Excel-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ulas"/>
      <sheetName val="AutoFill"/>
      <sheetName val="Data Type"/>
      <sheetName val="Table &amp; Pivot"/>
      <sheetName val="Absolute Cell Reference"/>
      <sheetName val="IF"/>
      <sheetName val="Lookup"/>
      <sheetName val="Customer Info"/>
      <sheetName val="Order Info"/>
      <sheetName val="Payment Info"/>
    </sheetNames>
    <sheetDataSet>
      <sheetData sheetId="0"/>
      <sheetData sheetId="1"/>
      <sheetData sheetId="2"/>
      <sheetData sheetId="3"/>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2.39627824074" createdVersion="6" refreshedVersion="6" minRefreshableVersion="3" recordCount="300" xr:uid="{44AC4A1C-D949-4E9C-B2AB-80696F9CCEA7}">
  <cacheSource type="worksheet">
    <worksheetSource ref="A1:V301" sheet="Basic"/>
  </cacheSource>
  <cacheFields count="26">
    <cacheField name="ID" numFmtId="0">
      <sharedItems containsSemiMixedTypes="0" containsString="0" containsNumber="1" containsInteger="1" minValue="1001" maxValue="1300"/>
    </cacheField>
    <cacheField name="First Name" numFmtId="0">
      <sharedItems/>
    </cacheField>
    <cacheField name="Last Name" numFmtId="0">
      <sharedItems/>
    </cacheField>
    <cacheField name="Full Name" numFmtId="0">
      <sharedItems/>
    </cacheField>
    <cacheField name="Gender" numFmtId="0">
      <sharedItems count="2">
        <s v="Female"/>
        <s v="Male"/>
      </sharedItems>
    </cacheField>
    <cacheField name="Phone" numFmtId="0">
      <sharedItems/>
    </cacheField>
    <cacheField name="Country" numFmtId="0">
      <sharedItems count="5">
        <s v="Sudan"/>
        <s v="Syria"/>
        <s v="Saudi Arabia"/>
        <s v="Egypt"/>
        <s v="Iraq"/>
      </sharedItems>
    </cacheField>
    <cacheField name="Work Type" numFmtId="0">
      <sharedItems/>
    </cacheField>
    <cacheField name="Department" numFmtId="0">
      <sharedItems count="9">
        <s v="Manufacturing"/>
        <s v="Marketing"/>
        <s v="Account Management"/>
        <s v="Quality Control"/>
        <s v="Engineering"/>
        <s v="IT"/>
        <s v="Product Development"/>
        <s v="Creative"/>
        <s v="Sales"/>
      </sharedItems>
    </cacheField>
    <cacheField name="MonyTransfere" numFmtId="49">
      <sharedItems count="4">
        <s v="Debt Card"/>
        <s v="Hawala"/>
        <s v="Master Card"/>
        <s v="Western Union"/>
      </sharedItems>
    </cacheField>
    <cacheField name="Email" numFmtId="0">
      <sharedItems/>
    </cacheField>
    <cacheField name="Hire Day" numFmtId="0">
      <sharedItems containsSemiMixedTypes="0" containsString="0" containsNumber="1" containsInteger="1" minValue="1" maxValue="31"/>
    </cacheField>
    <cacheField name="Hire Month" numFmtId="0">
      <sharedItems containsSemiMixedTypes="0" containsString="0" containsNumber="1" containsInteger="1" minValue="1" maxValue="12"/>
    </cacheField>
    <cacheField name="Hire Year" numFmtId="0">
      <sharedItems containsSemiMixedTypes="0" containsString="0" containsNumber="1" containsInteger="1" minValue="1990" maxValue="2023"/>
    </cacheField>
    <cacheField name="Hiring Date" numFmtId="14">
      <sharedItems containsSemiMixedTypes="0" containsNonDate="0" containsDate="1" containsString="0" minDate="1990-01-04T00:00:00" maxDate="2023-11-29T00:00:00" count="298">
        <d v="2023-04-05T00:00:00"/>
        <d v="2001-01-06T00:00:00"/>
        <d v="2007-01-07T00:00:00"/>
        <d v="1993-01-21T00:00:00"/>
        <d v="2019-01-26T00:00:00"/>
        <d v="2003-01-26T00:00:00"/>
        <d v="1994-01-29T00:00:00"/>
        <d v="2012-01-29T00:00:00"/>
        <d v="2004-01-30T00:00:00"/>
        <d v="2003-02-11T00:00:00"/>
        <d v="1993-02-11T00:00:00"/>
        <d v="2005-02-17T00:00:00"/>
        <d v="2019-02-25T00:00:00"/>
        <d v="2004-02-26T00:00:00"/>
        <d v="2011-03-02T00:00:00"/>
        <d v="2020-03-10T00:00:00"/>
        <d v="1999-04-06T00:00:00"/>
        <d v="2004-04-12T00:00:00"/>
        <d v="1999-04-13T00:00:00"/>
        <d v="2020-04-28T00:00:00"/>
        <d v="2012-05-01T00:00:00"/>
        <d v="1996-05-07T00:00:00"/>
        <d v="2007-05-12T00:00:00"/>
        <d v="2002-05-18T00:00:00"/>
        <d v="2002-05-19T00:00:00"/>
        <d v="2016-05-20T00:00:00"/>
        <d v="2000-05-26T00:00:00"/>
        <d v="2000-06-07T00:00:00"/>
        <d v="2015-06-08T00:00:00"/>
        <d v="2020-06-10T00:00:00"/>
        <d v="1993-06-14T00:00:00"/>
        <d v="1999-06-18T00:00:00"/>
        <d v="2011-06-21T00:00:00"/>
        <d v="1997-07-01T00:00:00"/>
        <d v="2008-07-08T00:00:00"/>
        <d v="1994-07-09T00:00:00"/>
        <d v="2014-07-11T00:00:00"/>
        <d v="2013-07-15T00:00:00"/>
        <d v="2008-07-16T00:00:00"/>
        <d v="2005-07-28T00:00:00"/>
        <d v="2005-07-30T00:00:00"/>
        <d v="2017-07-31T00:00:00"/>
        <d v="1990-08-13T00:00:00"/>
        <d v="2022-08-16T00:00:00"/>
        <d v="2009-08-26T00:00:00"/>
        <d v="2010-09-04T00:00:00"/>
        <d v="2004-09-10T00:00:00"/>
        <d v="2005-09-16T00:00:00"/>
        <d v="1997-09-24T00:00:00"/>
        <d v="1993-09-27T00:00:00"/>
        <d v="2004-02-11T00:00:00"/>
        <d v="2001-02-11T00:00:00"/>
        <d v="1999-02-17T00:00:00"/>
        <d v="2006-02-25T00:00:00"/>
        <d v="1998-02-26T00:00:00"/>
        <d v="2020-03-02T00:00:00"/>
        <d v="1996-03-10T00:00:00"/>
        <d v="2011-04-06T00:00:00"/>
        <d v="2011-04-12T00:00:00"/>
        <d v="2021-04-13T00:00:00"/>
        <d v="2013-04-28T00:00:00"/>
        <d v="1993-05-01T00:00:00"/>
        <d v="1999-02-12T00:00:00"/>
        <d v="2006-01-21T00:00:00"/>
        <d v="1996-03-09T00:00:00"/>
        <d v="2006-11-04T00:00:00"/>
        <d v="2021-12-20T00:00:00"/>
        <d v="2011-12-18T00:00:00"/>
        <d v="1994-03-08T00:00:00"/>
        <d v="2000-03-24T00:00:00"/>
        <d v="2016-10-04T00:00:00"/>
        <d v="2018-08-11T00:00:00"/>
        <d v="1993-11-10T00:00:00"/>
        <d v="2002-02-13T00:00:00"/>
        <d v="2012-02-20T00:00:00"/>
        <d v="1994-03-20T00:00:00"/>
        <d v="2006-01-07T00:00:00"/>
        <d v="2001-06-13T00:00:00"/>
        <d v="2017-06-28T00:00:00"/>
        <d v="2019-10-22T00:00:00"/>
        <d v="2011-09-02T00:00:00"/>
        <d v="2002-10-15T00:00:00"/>
        <d v="1995-05-22T00:00:00"/>
        <d v="2019-01-17T00:00:00"/>
        <d v="2015-12-04T00:00:00"/>
        <d v="2018-12-14T00:00:00"/>
        <d v="1993-12-14T00:00:00"/>
        <d v="2002-05-20T00:00:00"/>
        <d v="2008-09-16T00:00:00"/>
        <d v="2015-11-06T00:00:00"/>
        <d v="2004-05-28T00:00:00"/>
        <d v="2011-07-27T00:00:00"/>
        <d v="2019-08-11T00:00:00"/>
        <d v="2007-10-16T00:00:00"/>
        <d v="2020-12-25T00:00:00"/>
        <d v="1997-10-28T00:00:00"/>
        <d v="2008-04-03T00:00:00"/>
        <d v="1998-01-03T00:00:00"/>
        <d v="2006-04-21T00:00:00"/>
        <d v="2003-09-25T00:00:00"/>
        <d v="1996-09-23T00:00:00"/>
        <d v="2022-08-26T00:00:00"/>
        <d v="1995-07-19T00:00:00"/>
        <d v="2009-01-02T00:00:00"/>
        <d v="2005-07-20T00:00:00"/>
        <d v="1991-06-05T00:00:00"/>
        <d v="1990-01-04T00:00:00"/>
        <d v="2021-08-12T00:00:00"/>
        <d v="1994-11-18T00:00:00"/>
        <d v="1995-03-24T00:00:00"/>
        <d v="1995-10-27T00:00:00"/>
        <d v="2004-09-09T00:00:00"/>
        <d v="2001-02-24T00:00:00"/>
        <d v="1994-08-14T00:00:00"/>
        <d v="1990-12-10T00:00:00"/>
        <d v="2010-11-09T00:00:00"/>
        <d v="2014-10-18T00:00:00"/>
        <d v="1995-11-22T00:00:00"/>
        <d v="1995-12-17T00:00:00"/>
        <d v="1991-01-26T00:00:00"/>
        <d v="2020-09-24T00:00:00"/>
        <d v="2018-04-26T00:00:00"/>
        <d v="2019-11-10T00:00:00"/>
        <d v="2002-05-02T00:00:00"/>
        <d v="2023-11-28T00:00:00"/>
        <d v="1997-06-08T00:00:00"/>
        <d v="2001-04-01T00:00:00"/>
        <d v="2018-06-25T00:00:00"/>
        <d v="1993-05-22T00:00:00"/>
        <d v="2022-08-15T00:00:00"/>
        <d v="2021-10-25T00:00:00"/>
        <d v="2014-03-08T00:00:00"/>
        <d v="1996-07-03T00:00:00"/>
        <d v="1992-09-24T00:00:00"/>
        <d v="2014-06-17T00:00:00"/>
        <d v="1992-05-12T00:00:00"/>
        <d v="2009-07-18T00:00:00"/>
        <d v="2001-04-09T00:00:00"/>
        <d v="2011-03-23T00:00:00"/>
        <d v="2020-07-03T00:00:00"/>
        <d v="1991-03-04T00:00:00"/>
        <d v="2015-09-18T00:00:00"/>
        <d v="1998-12-08T00:00:00"/>
        <d v="2018-11-23T00:00:00"/>
        <d v="2018-09-21T00:00:00"/>
        <d v="1994-12-04T00:00:00"/>
        <d v="2019-06-02T00:00:00"/>
        <d v="2019-08-06T00:00:00"/>
        <d v="1992-02-10T00:00:00"/>
        <d v="1992-10-22T00:00:00"/>
        <d v="1991-02-08T00:00:00"/>
        <d v="2023-03-15T00:00:00"/>
        <d v="2004-08-20T00:00:00"/>
        <d v="1996-01-10T00:00:00"/>
        <d v="2008-03-17T00:00:00"/>
        <d v="2020-09-04T00:00:00"/>
        <d v="2013-06-20T00:00:00"/>
        <d v="2021-01-13T00:00:00"/>
        <d v="2008-09-25T00:00:00"/>
        <d v="1994-02-11T00:00:00"/>
        <d v="2022-03-22T00:00:00"/>
        <d v="2016-09-04T00:00:00"/>
        <d v="1998-01-28T00:00:00"/>
        <d v="2023-01-15T00:00:00"/>
        <d v="2010-12-01T00:00:00"/>
        <d v="2004-02-25T00:00:00"/>
        <d v="1990-10-06T00:00:00"/>
        <d v="1992-10-23T00:00:00"/>
        <d v="2020-11-09T00:00:00"/>
        <d v="2009-12-15T00:00:00"/>
        <d v="1992-12-06T00:00:00"/>
        <d v="2011-10-08T00:00:00"/>
        <d v="1993-04-24T00:00:00"/>
        <d v="2008-05-21T00:00:00"/>
        <d v="2004-06-23T00:00:00"/>
        <d v="2010-07-26T00:00:00"/>
        <d v="2015-06-24T00:00:00"/>
        <d v="2004-08-04T00:00:00"/>
        <d v="2014-03-26T00:00:00"/>
        <d v="2013-05-27T00:00:00"/>
        <d v="2012-03-25T00:00:00"/>
        <d v="2004-09-22T00:00:00"/>
        <d v="2018-11-21T00:00:00"/>
        <d v="2018-02-12T00:00:00"/>
        <d v="1991-08-16T00:00:00"/>
        <d v="1992-01-17T00:00:00"/>
        <d v="1998-10-03T00:00:00"/>
        <d v="2017-09-26T00:00:00"/>
        <d v="1997-10-22T00:00:00"/>
        <d v="2000-04-02T00:00:00"/>
        <d v="1997-10-25T00:00:00"/>
        <d v="2013-07-04T00:00:00"/>
        <d v="2023-10-09T00:00:00"/>
        <d v="2001-04-20T00:00:00"/>
        <d v="1998-01-26T00:00:00"/>
        <d v="2017-07-26T00:00:00"/>
        <d v="2016-06-06T00:00:00"/>
        <d v="1999-05-20T00:00:00"/>
        <d v="2023-02-25T00:00:00"/>
        <d v="2011-09-07T00:00:00"/>
        <d v="2001-12-24T00:00:00"/>
        <d v="2003-05-28T00:00:00"/>
        <d v="1995-09-10T00:00:00"/>
        <d v="2011-01-12T00:00:00"/>
        <d v="1990-05-18T00:00:00"/>
        <d v="2021-10-16T00:00:00"/>
        <d v="1996-11-18T00:00:00"/>
        <d v="1991-04-05T00:00:00"/>
        <d v="2019-02-01T00:00:00"/>
        <d v="1995-08-24T00:00:00"/>
        <d v="1996-04-17T00:00:00"/>
        <d v="2002-02-09T00:00:00"/>
        <d v="1996-01-13T00:00:00"/>
        <d v="2005-03-23T00:00:00"/>
        <d v="2016-01-05T00:00:00"/>
        <d v="2010-11-06T00:00:00"/>
        <d v="2018-09-17T00:00:00"/>
        <d v="1992-07-19T00:00:00"/>
        <d v="2014-09-09T00:00:00"/>
        <d v="1996-06-15T00:00:00"/>
        <d v="2007-08-07T00:00:00"/>
        <d v="2001-09-02T00:00:00"/>
        <d v="2017-02-11T00:00:00"/>
        <d v="1992-01-20T00:00:00"/>
        <d v="2017-07-17T00:00:00"/>
        <d v="2013-11-21T00:00:00"/>
        <d v="2012-10-23T00:00:00"/>
        <d v="1995-09-07T00:00:00"/>
        <d v="2019-07-01T00:00:00"/>
        <d v="1997-09-03T00:00:00"/>
        <d v="1990-10-10T00:00:00"/>
        <d v="2010-01-09T00:00:00"/>
        <d v="2012-02-15T00:00:00"/>
        <d v="2012-06-11T00:00:00"/>
        <d v="2017-04-22T00:00:00"/>
        <d v="1990-02-28T00:00:00"/>
        <d v="2002-06-11T00:00:00"/>
        <d v="2014-05-22T00:00:00"/>
        <d v="1991-12-10T00:00:00"/>
        <d v="2022-09-15T00:00:00"/>
        <d v="2017-12-18T00:00:00"/>
        <d v="2000-07-21T00:00:00"/>
        <d v="2002-12-03T00:00:00"/>
        <d v="1994-06-14T00:00:00"/>
        <d v="2022-07-25T00:00:00"/>
        <d v="2003-06-04T00:00:00"/>
        <d v="2002-07-15T00:00:00"/>
        <d v="2012-10-26T00:00:00"/>
        <d v="2008-01-02T00:00:00"/>
        <d v="2008-01-16T00:00:00"/>
        <d v="1991-03-12T00:00:00"/>
        <d v="2015-06-09T00:00:00"/>
        <d v="1991-04-24T00:00:00"/>
        <d v="2006-05-22T00:00:00"/>
        <d v="1992-10-09T00:00:00"/>
        <d v="2020-11-25T00:00:00"/>
        <d v="2011-07-10T00:00:00"/>
        <d v="2013-05-12T00:00:00"/>
        <d v="2003-09-05T00:00:00"/>
        <d v="2009-09-04T00:00:00"/>
        <d v="2007-10-18T00:00:00"/>
        <d v="2000-02-05T00:00:00"/>
        <d v="1992-08-21T00:00:00"/>
        <d v="2001-09-03T00:00:00"/>
        <d v="2012-09-25T00:00:00"/>
        <d v="2010-09-24T00:00:00"/>
        <d v="1993-01-24T00:00:00"/>
        <d v="2013-07-21T00:00:00"/>
        <d v="1996-12-08T00:00:00"/>
        <d v="2001-11-10T00:00:00"/>
        <d v="2020-08-11T00:00:00"/>
        <d v="1993-05-19T00:00:00"/>
        <d v="2018-03-09T00:00:00"/>
        <d v="1995-02-24T00:00:00"/>
        <d v="2023-02-26T00:00:00"/>
        <d v="2005-08-28T00:00:00"/>
        <d v="1994-11-06T00:00:00"/>
        <d v="2007-12-25T00:00:00"/>
        <d v="2007-10-25T00:00:00"/>
        <d v="2015-11-05T00:00:00"/>
        <d v="2008-07-05T00:00:00"/>
        <d v="2016-01-14T00:00:00"/>
        <d v="1994-05-19T00:00:00"/>
        <d v="2022-04-08T00:00:00"/>
        <d v="2000-05-16T00:00:00"/>
        <d v="2002-04-01T00:00:00"/>
        <d v="2000-04-15T00:00:00"/>
        <d v="2003-10-26T00:00:00"/>
        <d v="2021-12-08T00:00:00"/>
        <d v="1997-11-07T00:00:00"/>
        <d v="1993-07-28T00:00:00"/>
        <d v="1992-04-28T00:00:00"/>
        <d v="2015-08-13T00:00:00"/>
        <d v="1992-11-09T00:00:00"/>
        <d v="2001-04-10T00:00:00"/>
        <d v="2010-01-21T00:00:00"/>
        <d v="2001-07-13T00:00:00"/>
        <d v="2015-03-08T00:00:00"/>
      </sharedItems>
      <fieldGroup par="23" base="14">
        <rangePr groupBy="months" startDate="1990-01-04T00:00:00" endDate="2023-11-29T00:00:00"/>
        <groupItems count="14">
          <s v="&lt;1/4/1990"/>
          <s v="Jan"/>
          <s v="Feb"/>
          <s v="Mar"/>
          <s v="Apr"/>
          <s v="May"/>
          <s v="Jun"/>
          <s v="Jul"/>
          <s v="Aug"/>
          <s v="Sep"/>
          <s v="Oct"/>
          <s v="Nov"/>
          <s v="Dec"/>
          <s v="&gt;11/29/2023"/>
        </groupItems>
      </fieldGroup>
    </cacheField>
    <cacheField name="Experience Year" numFmtId="0">
      <sharedItems containsSemiMixedTypes="0" containsString="0" containsNumber="1" containsInteger="1" minValue="2" maxValue="36"/>
    </cacheField>
    <cacheField name="Salary" numFmtId="165">
      <sharedItems containsSemiMixedTypes="0" containsString="0" containsNumber="1" containsInteger="1" minValue="742" maxValue="7478"/>
    </cacheField>
    <cacheField name="Tax 10%" numFmtId="165">
      <sharedItems containsSemiMixedTypes="0" containsString="0" containsNumber="1" minValue="74.2" maxValue="747.80000000000007"/>
    </cacheField>
    <cacheField name="Bonus 3%" numFmtId="165">
      <sharedItems containsSemiMixedTypes="0" containsString="0" containsNumber="1" minValue="22.259999999999998" maxValue="224.34"/>
    </cacheField>
    <cacheField name="Net Salary" numFmtId="165">
      <sharedItems containsSemiMixedTypes="0" containsString="0" containsNumber="1" minValue="690.06" maxValue="6954.54" count="48">
        <n v="6089.6399999999994"/>
        <n v="6672.75"/>
        <n v="3785.1000000000004"/>
        <n v="1772.58"/>
        <n v="2418"/>
        <n v="3490.29"/>
        <n v="4729.9799999999996"/>
        <n v="2260.83"/>
        <n v="2748.15"/>
        <n v="1811.64"/>
        <n v="3063.42"/>
        <n v="6624.3899999999994"/>
        <n v="6729.48"/>
        <n v="6363.99"/>
        <n v="995.09999999999991"/>
        <n v="1388.49"/>
        <n v="5447.01"/>
        <n v="4908.54"/>
        <n v="5310.3"/>
        <n v="5714.85"/>
        <n v="5960.3700000000008"/>
        <n v="6954.54"/>
        <n v="4297.53"/>
        <n v="1946.49"/>
        <n v="6819.69"/>
        <n v="1110.4199999999998"/>
        <n v="4759.74"/>
        <n v="4996.8899999999994"/>
        <n v="1588.44"/>
        <n v="2695.14"/>
        <n v="5776.23"/>
        <n v="5557.6799999999994"/>
        <n v="690.06"/>
        <n v="5503.74"/>
        <n v="2858.8199999999997"/>
        <n v="5289.84"/>
        <n v="3126.66"/>
        <n v="5619.99"/>
        <n v="5821.8"/>
        <n v="3491.22"/>
        <n v="6118.4699999999993"/>
        <n v="1293.6300000000001"/>
        <n v="2351.04"/>
        <n v="5617.2"/>
        <n v="3573.0600000000004"/>
        <n v="1434.06"/>
        <n v="2914.62"/>
        <n v="4576.53"/>
      </sharedItems>
    </cacheField>
    <cacheField name="Salary Status" numFmtId="0">
      <sharedItems/>
    </cacheField>
    <cacheField name="Extra Bonus" numFmtId="9">
      <sharedItems containsSemiMixedTypes="0" containsString="0" containsNumber="1" minValue="0.02" maxValue="0.1" count="4">
        <n v="0.02"/>
        <n v="0.05"/>
        <n v="0.08"/>
        <n v="0.1"/>
      </sharedItems>
    </cacheField>
    <cacheField name="Quarters" numFmtId="0" databaseField="0">
      <fieldGroup base="14">
        <rangePr groupBy="quarters" startDate="1990-01-04T00:00:00" endDate="2023-11-29T00:00:00"/>
        <groupItems count="6">
          <s v="&lt;1/4/1990"/>
          <s v="Qtr1"/>
          <s v="Qtr2"/>
          <s v="Qtr3"/>
          <s v="Qtr4"/>
          <s v="&gt;11/29/2023"/>
        </groupItems>
      </fieldGroup>
    </cacheField>
    <cacheField name="Years" numFmtId="0" databaseField="0">
      <fieldGroup base="14">
        <rangePr groupBy="years" startDate="1990-01-04T00:00:00" endDate="2023-11-29T00:00:00"/>
        <groupItems count="36">
          <s v="&lt;1/4/1990"/>
          <s v="1990"/>
          <s v="1991"/>
          <s v="1992"/>
          <s v="1993"/>
          <s v="1994"/>
          <s v="1995"/>
          <s v="1996"/>
          <s v="1997"/>
          <s v="1998"/>
          <s v="1999"/>
          <s v="2000"/>
          <s v="2001"/>
          <s v="2002"/>
          <s v="2003"/>
          <s v="2004"/>
          <s v="2005"/>
          <s v="2006"/>
          <s v="2007"/>
          <s v="2008"/>
          <s v="2009"/>
          <s v="2010"/>
          <s v="2011"/>
          <s v="2012"/>
          <s v="2013"/>
          <s v="2014"/>
          <s v="2015"/>
          <s v="2016"/>
          <s v="2017"/>
          <s v="2018"/>
          <s v="2019"/>
          <s v="2020"/>
          <s v="2021"/>
          <s v="2022"/>
          <s v="2023"/>
          <s v="&gt;11/29/2023"/>
        </groupItems>
      </fieldGroup>
    </cacheField>
    <cacheField name="Field1" numFmtId="0" formula=" (Salary/ 0.7) -Salary" databaseField="0"/>
    <cacheField name="Margien" numFmtId="0" formula=" (Salary+'Net Salary') * 0.2" databaseField="0"/>
  </cacheFields>
  <extLst>
    <ext xmlns:x14="http://schemas.microsoft.com/office/spreadsheetml/2009/9/main" uri="{725AE2AE-9491-48be-B2B4-4EB974FC3084}">
      <x14:pivotCacheDefinition pivotCacheId="243158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    Ghadir"/>
    <s v="AhmeD"/>
    <s v="Ghadir Ahmed"/>
    <x v="0"/>
    <s v="012-2910-2426"/>
    <x v="0"/>
    <s v="Full Time"/>
    <x v="0"/>
    <x v="0"/>
    <s v="g.ahmed@email.com"/>
    <n v="5"/>
    <n v="4"/>
    <n v="2023"/>
    <x v="0"/>
    <n v="2"/>
    <n v="6548"/>
    <n v="654.80000000000007"/>
    <n v="196.44"/>
    <x v="0"/>
    <s v="over"/>
    <x v="0"/>
  </r>
  <r>
    <n v="1002"/>
    <s v="OmAr    "/>
    <s v="    hisham"/>
    <s v="Omar Hisham"/>
    <x v="1"/>
    <s v="011-2304-6179"/>
    <x v="1"/>
    <s v="Contract"/>
    <x v="1"/>
    <x v="1"/>
    <s v="o.hishan@email.com"/>
    <n v="6"/>
    <n v="1"/>
    <n v="2001"/>
    <x v="1"/>
    <n v="25"/>
    <n v="7175"/>
    <n v="717.5"/>
    <n v="215.25"/>
    <x v="1"/>
    <s v="over"/>
    <x v="0"/>
  </r>
  <r>
    <n v="1003"/>
    <s v="    Ailya"/>
    <s v="ShaRaf"/>
    <s v="Ailya Sharaf"/>
    <x v="0"/>
    <s v="012-4071-7821"/>
    <x v="2"/>
    <s v="Half-Time"/>
    <x v="0"/>
    <x v="0"/>
    <s v="a.sharaf@email.com"/>
    <n v="7"/>
    <n v="1"/>
    <n v="2007"/>
    <x v="2"/>
    <n v="19"/>
    <n v="4070"/>
    <n v="407"/>
    <n v="122.1"/>
    <x v="2"/>
    <s v="normal"/>
    <x v="1"/>
  </r>
  <r>
    <n v="1004"/>
    <s v="       Lwiy"/>
    <s v="Qbany"/>
    <s v="Lwiy Qbany"/>
    <x v="1"/>
    <s v="010-5618-2492"/>
    <x v="0"/>
    <s v="Full Time"/>
    <x v="2"/>
    <x v="1"/>
    <s v="l.qbany@email.com"/>
    <n v="21"/>
    <n v="1"/>
    <n v="1993"/>
    <x v="3"/>
    <n v="32"/>
    <n v="1906"/>
    <n v="190.60000000000002"/>
    <n v="57.18"/>
    <x v="3"/>
    <s v="normal"/>
    <x v="2"/>
  </r>
  <r>
    <n v="1005"/>
    <s v="     Ahmad"/>
    <s v="       bikri"/>
    <s v="Ahmad Bikri"/>
    <x v="1"/>
    <s v="011-7329-6122"/>
    <x v="3"/>
    <s v="Half-Time"/>
    <x v="2"/>
    <x v="1"/>
    <s v="a.bikri@email.com"/>
    <n v="26"/>
    <n v="1"/>
    <n v="2019"/>
    <x v="4"/>
    <n v="6"/>
    <n v="2600"/>
    <n v="260"/>
    <n v="78"/>
    <x v="4"/>
    <s v="normal"/>
    <x v="2"/>
  </r>
  <r>
    <n v="1006"/>
    <s v="Muhamad"/>
    <s v="Zueitr"/>
    <s v="Muhamad Zueitr"/>
    <x v="1"/>
    <s v="011-2527-4512"/>
    <x v="2"/>
    <s v="Contract"/>
    <x v="3"/>
    <x v="1"/>
    <s v="m.zueitr@email.com"/>
    <n v="26"/>
    <n v="1"/>
    <n v="2003"/>
    <x v="5"/>
    <n v="22"/>
    <n v="3753"/>
    <n v="375.3"/>
    <n v="112.58999999999999"/>
    <x v="5"/>
    <s v="normal"/>
    <x v="1"/>
  </r>
  <r>
    <n v="1007"/>
    <s v="Iin"/>
    <s v="Alhalaliu"/>
    <s v="Iin Alhalaliu"/>
    <x v="0"/>
    <s v="012-2640-9521"/>
    <x v="4"/>
    <s v="Full Time"/>
    <x v="4"/>
    <x v="2"/>
    <s v="i.alhalaliu@email.com"/>
    <n v="29"/>
    <n v="1"/>
    <n v="1994"/>
    <x v="6"/>
    <n v="31"/>
    <n v="5086"/>
    <n v="508.6"/>
    <n v="152.57999999999998"/>
    <x v="6"/>
    <s v="normal"/>
    <x v="1"/>
  </r>
  <r>
    <n v="1008"/>
    <s v="Muhamad"/>
    <s v="Alaya"/>
    <s v="Muhamad Alaya"/>
    <x v="1"/>
    <s v="010-8241-1311"/>
    <x v="2"/>
    <s v="Hourly"/>
    <x v="0"/>
    <x v="3"/>
    <s v="m.alaya@email.com"/>
    <n v="29"/>
    <n v="1"/>
    <n v="2012"/>
    <x v="7"/>
    <n v="13"/>
    <n v="2431"/>
    <n v="243.10000000000002"/>
    <n v="72.929999999999993"/>
    <x v="7"/>
    <s v="normal"/>
    <x v="2"/>
  </r>
  <r>
    <n v="1009"/>
    <s v="Susin"/>
    <s v="Almilat"/>
    <s v="Susin Almilat"/>
    <x v="0"/>
    <s v="012-1039-8810"/>
    <x v="3"/>
    <s v="Full Time"/>
    <x v="0"/>
    <x v="1"/>
    <s v="s.almilat@email.com"/>
    <n v="30"/>
    <n v="1"/>
    <n v="2004"/>
    <x v="8"/>
    <n v="21"/>
    <n v="2955"/>
    <n v="295.5"/>
    <n v="88.649999999999991"/>
    <x v="8"/>
    <s v="normal"/>
    <x v="2"/>
  </r>
  <r>
    <n v="1010"/>
    <s v="Muhamad"/>
    <s v="Alrifaei"/>
    <s v="Muhamad Alrifaei"/>
    <x v="1"/>
    <s v="010-7467-7662"/>
    <x v="3"/>
    <s v="Half-Time"/>
    <x v="4"/>
    <x v="1"/>
    <s v="m.alrifaei@email.com"/>
    <n v="11"/>
    <n v="2"/>
    <n v="2003"/>
    <x v="9"/>
    <n v="22"/>
    <n v="1948"/>
    <n v="194.8"/>
    <n v="58.44"/>
    <x v="9"/>
    <s v="normal"/>
    <x v="2"/>
  </r>
  <r>
    <n v="1011"/>
    <s v="Muhamad"/>
    <s v="Alqadah"/>
    <s v="Muhamad Alqadah"/>
    <x v="1"/>
    <s v="011-8317-7634"/>
    <x v="4"/>
    <s v="Half-Time"/>
    <x v="1"/>
    <x v="3"/>
    <s v="m.alqadah@email.com"/>
    <n v="11"/>
    <n v="2"/>
    <n v="1993"/>
    <x v="10"/>
    <n v="32"/>
    <n v="3294"/>
    <n v="329.40000000000003"/>
    <n v="98.82"/>
    <x v="10"/>
    <s v="normal"/>
    <x v="1"/>
  </r>
  <r>
    <n v="1012"/>
    <s v="Muhamad"/>
    <s v="Iad"/>
    <s v="Muhamad Iad"/>
    <x v="1"/>
    <s v="011-6548-2919"/>
    <x v="0"/>
    <s v="Contract"/>
    <x v="4"/>
    <x v="0"/>
    <s v="m.iad@email.com"/>
    <n v="17"/>
    <n v="2"/>
    <n v="2005"/>
    <x v="11"/>
    <n v="20"/>
    <n v="7123"/>
    <n v="712.30000000000007"/>
    <n v="213.69"/>
    <x v="11"/>
    <s v="over"/>
    <x v="0"/>
  </r>
  <r>
    <n v="1013"/>
    <s v="Razaan"/>
    <s v="Nasif"/>
    <s v="Razaan Nasif"/>
    <x v="0"/>
    <s v="010-6241-6559"/>
    <x v="2"/>
    <s v="Full Time"/>
    <x v="1"/>
    <x v="0"/>
    <s v="r.nasif@email.com"/>
    <n v="25"/>
    <n v="2"/>
    <n v="2019"/>
    <x v="12"/>
    <n v="6"/>
    <n v="7236"/>
    <n v="723.6"/>
    <n v="217.07999999999998"/>
    <x v="12"/>
    <s v="over"/>
    <x v="0"/>
  </r>
  <r>
    <n v="1014"/>
    <s v="Iilian"/>
    <s v="mohamed"/>
    <s v="Iilian Mohamed"/>
    <x v="0"/>
    <s v="012-0080-0351"/>
    <x v="0"/>
    <s v="Full Time"/>
    <x v="4"/>
    <x v="1"/>
    <s v="i.dbs@email.com"/>
    <n v="26"/>
    <n v="2"/>
    <n v="2004"/>
    <x v="13"/>
    <n v="21"/>
    <n v="6843"/>
    <n v="684.30000000000007"/>
    <n v="205.29"/>
    <x v="13"/>
    <s v="over"/>
    <x v="0"/>
  </r>
  <r>
    <n v="1015"/>
    <s v="Bayan"/>
    <s v="   mostafa"/>
    <s v="Bayan Mostafa"/>
    <x v="0"/>
    <s v="011-5953-5296"/>
    <x v="0"/>
    <s v="Hourly"/>
    <x v="4"/>
    <x v="1"/>
    <s v="b.qdw@email.com"/>
    <n v="2"/>
    <n v="3"/>
    <n v="2011"/>
    <x v="14"/>
    <n v="14"/>
    <n v="1070"/>
    <n v="107"/>
    <n v="32.1"/>
    <x v="14"/>
    <s v="normal"/>
    <x v="3"/>
  </r>
  <r>
    <n v="1016"/>
    <s v="Alaa"/>
    <s v="Muhamad"/>
    <s v="Alaa Muhamad"/>
    <x v="1"/>
    <s v="010-5319-7669"/>
    <x v="2"/>
    <s v="Hourly"/>
    <x v="4"/>
    <x v="0"/>
    <s v="a.muhamad@email.com"/>
    <n v="10"/>
    <n v="3"/>
    <n v="2020"/>
    <x v="15"/>
    <n v="5"/>
    <n v="1493"/>
    <n v="149.30000000000001"/>
    <n v="44.79"/>
    <x v="15"/>
    <s v="normal"/>
    <x v="2"/>
  </r>
  <r>
    <n v="1017"/>
    <s v="Sandra"/>
    <s v="Ziad"/>
    <s v="Sandra Ziad"/>
    <x v="0"/>
    <s v="011-2332-0982"/>
    <x v="4"/>
    <s v="Full Time"/>
    <x v="1"/>
    <x v="1"/>
    <s v="s.ziad@email.com"/>
    <n v="6"/>
    <n v="4"/>
    <n v="1999"/>
    <x v="16"/>
    <n v="26"/>
    <n v="5857"/>
    <n v="585.70000000000005"/>
    <n v="175.70999999999998"/>
    <x v="16"/>
    <s v="normal"/>
    <x v="1"/>
  </r>
  <r>
    <n v="1018"/>
    <s v="Farahad"/>
    <s v="Husayn"/>
    <s v="Farahad Husayn"/>
    <x v="1"/>
    <s v="010-1442-5932"/>
    <x v="4"/>
    <s v="Contract"/>
    <x v="5"/>
    <x v="1"/>
    <s v="f.husayn@email.com"/>
    <n v="12"/>
    <n v="4"/>
    <n v="2004"/>
    <x v="17"/>
    <n v="21"/>
    <n v="5278"/>
    <n v="527.80000000000007"/>
    <n v="158.34"/>
    <x v="17"/>
    <s v="normal"/>
    <x v="1"/>
  </r>
  <r>
    <n v="1019"/>
    <s v="Ahed"/>
    <s v="Salim"/>
    <s v="Ahed Salim"/>
    <x v="0"/>
    <s v="011-6732-2351"/>
    <x v="0"/>
    <s v="Full Time"/>
    <x v="5"/>
    <x v="1"/>
    <s v="a.salim@email.com"/>
    <n v="13"/>
    <n v="4"/>
    <n v="1999"/>
    <x v="18"/>
    <n v="26"/>
    <n v="5710"/>
    <n v="571"/>
    <n v="171.29999999999998"/>
    <x v="18"/>
    <s v="normal"/>
    <x v="1"/>
  </r>
  <r>
    <n v="1020"/>
    <s v="Ayham"/>
    <s v="Tutwnji"/>
    <s v="Ayham Tutwnji"/>
    <x v="1"/>
    <s v="011-8295-8045"/>
    <x v="2"/>
    <s v="Full Time"/>
    <x v="2"/>
    <x v="1"/>
    <s v="a.tutwnji@email.com"/>
    <n v="28"/>
    <n v="4"/>
    <n v="2020"/>
    <x v="19"/>
    <n v="5"/>
    <n v="6145"/>
    <n v="614.5"/>
    <n v="184.35"/>
    <x v="19"/>
    <s v="normal"/>
    <x v="1"/>
  </r>
  <r>
    <n v="1021"/>
    <s v="Samir"/>
    <s v="Alsafdi"/>
    <s v="Samir Alsafdi"/>
    <x v="1"/>
    <s v="010-8655-8298"/>
    <x v="3"/>
    <s v="Contract"/>
    <x v="5"/>
    <x v="3"/>
    <s v="s.alsafdi@email.com"/>
    <n v="1"/>
    <n v="5"/>
    <n v="2012"/>
    <x v="20"/>
    <n v="13"/>
    <n v="5278"/>
    <n v="527.80000000000007"/>
    <n v="158.34"/>
    <x v="17"/>
    <s v="normal"/>
    <x v="1"/>
  </r>
  <r>
    <n v="1022"/>
    <s v="Bilal"/>
    <s v="Jalal"/>
    <s v="Bilal Jalal"/>
    <x v="1"/>
    <s v="010-2145-8500"/>
    <x v="3"/>
    <s v="Contract"/>
    <x v="0"/>
    <x v="0"/>
    <s v="b.jalal@email.com"/>
    <n v="7"/>
    <n v="5"/>
    <n v="1996"/>
    <x v="21"/>
    <n v="29"/>
    <n v="6409"/>
    <n v="640.90000000000009"/>
    <n v="192.26999999999998"/>
    <x v="20"/>
    <s v="normal"/>
    <x v="1"/>
  </r>
  <r>
    <n v="1023"/>
    <s v="Riad"/>
    <s v="Sahalul"/>
    <s v="Riad Sahalul"/>
    <x v="1"/>
    <s v="010-3436-0371"/>
    <x v="2"/>
    <s v="Full Time"/>
    <x v="0"/>
    <x v="1"/>
    <s v="r.sahalul@email.com"/>
    <n v="12"/>
    <n v="5"/>
    <n v="2007"/>
    <x v="22"/>
    <n v="18"/>
    <n v="7478"/>
    <n v="747.80000000000007"/>
    <n v="224.34"/>
    <x v="21"/>
    <s v="over"/>
    <x v="0"/>
  </r>
  <r>
    <n v="1024"/>
    <s v="Ahmad"/>
    <s v="Ahmad"/>
    <s v="Ahmad Ahmad"/>
    <x v="1"/>
    <s v="011-2766-3217"/>
    <x v="0"/>
    <s v="Full Time"/>
    <x v="0"/>
    <x v="2"/>
    <s v="a.ahmad@email.com"/>
    <n v="18"/>
    <n v="5"/>
    <n v="2002"/>
    <x v="23"/>
    <n v="23"/>
    <n v="4621"/>
    <n v="462.1"/>
    <n v="138.63"/>
    <x v="22"/>
    <s v="normal"/>
    <x v="1"/>
  </r>
  <r>
    <n v="1025"/>
    <s v="Muhamad"/>
    <s v="Altarah"/>
    <s v="Muhamad Altarah"/>
    <x v="1"/>
    <s v="012-3389-6143"/>
    <x v="3"/>
    <s v="Contract"/>
    <x v="6"/>
    <x v="2"/>
    <s v="m.altarah@email.com"/>
    <n v="19"/>
    <n v="5"/>
    <n v="2002"/>
    <x v="24"/>
    <n v="23"/>
    <n v="2093"/>
    <n v="209.3"/>
    <n v="62.79"/>
    <x v="23"/>
    <s v="normal"/>
    <x v="2"/>
  </r>
  <r>
    <n v="1026"/>
    <s v="Lwna"/>
    <s v="Abu"/>
    <s v="Lwna Abu"/>
    <x v="0"/>
    <s v="012-8625-1136"/>
    <x v="0"/>
    <s v="Contract"/>
    <x v="4"/>
    <x v="1"/>
    <s v="l.abu@email.com"/>
    <n v="20"/>
    <n v="5"/>
    <n v="2016"/>
    <x v="25"/>
    <n v="9"/>
    <n v="7333"/>
    <n v="733.30000000000007"/>
    <n v="219.98999999999998"/>
    <x v="24"/>
    <s v="over"/>
    <x v="0"/>
  </r>
  <r>
    <n v="1027"/>
    <s v="Jalal"/>
    <s v="Almuluhi"/>
    <s v="Jalal Almuluhi"/>
    <x v="1"/>
    <s v="012-4625-1433"/>
    <x v="3"/>
    <s v="Hourly"/>
    <x v="2"/>
    <x v="0"/>
    <s v="j.almuluhi@email.com"/>
    <n v="26"/>
    <n v="5"/>
    <n v="2000"/>
    <x v="26"/>
    <n v="25"/>
    <n v="1194"/>
    <n v="119.4"/>
    <n v="35.82"/>
    <x v="25"/>
    <s v="normal"/>
    <x v="2"/>
  </r>
  <r>
    <n v="1028"/>
    <s v="Rana"/>
    <s v="Mius"/>
    <s v="Rana Mius"/>
    <x v="0"/>
    <s v="012-0257-2928"/>
    <x v="1"/>
    <s v="Full Time"/>
    <x v="2"/>
    <x v="3"/>
    <s v="r.mius@email.com"/>
    <n v="7"/>
    <n v="6"/>
    <n v="2000"/>
    <x v="27"/>
    <n v="25"/>
    <n v="5118"/>
    <n v="511.8"/>
    <n v="153.54"/>
    <x v="26"/>
    <s v="normal"/>
    <x v="1"/>
  </r>
  <r>
    <n v="1029"/>
    <s v="Lina"/>
    <s v="Aljabaan"/>
    <s v="Lina Aljabaan"/>
    <x v="0"/>
    <s v="012-4501-4254"/>
    <x v="3"/>
    <s v="Contract"/>
    <x v="7"/>
    <x v="1"/>
    <s v="l.aljabaan@email.com"/>
    <n v="8"/>
    <n v="6"/>
    <n v="2015"/>
    <x v="28"/>
    <n v="10"/>
    <n v="5373"/>
    <n v="537.30000000000007"/>
    <n v="161.19"/>
    <x v="27"/>
    <s v="normal"/>
    <x v="1"/>
  </r>
  <r>
    <n v="1030"/>
    <s v="Rami"/>
    <s v="Shanan"/>
    <s v="Rami Shanan"/>
    <x v="1"/>
    <s v="012-3910-3574"/>
    <x v="3"/>
    <s v="Half-Time"/>
    <x v="8"/>
    <x v="1"/>
    <s v="r.shanan@email.com"/>
    <n v="10"/>
    <n v="6"/>
    <n v="2020"/>
    <x v="29"/>
    <n v="5"/>
    <n v="1708"/>
    <n v="170.8"/>
    <n v="51.239999999999995"/>
    <x v="28"/>
    <s v="normal"/>
    <x v="2"/>
  </r>
  <r>
    <n v="1031"/>
    <s v="Eala"/>
    <s v="Alhaj"/>
    <s v="Eala Alhaj"/>
    <x v="0"/>
    <s v="011-8626-6402"/>
    <x v="4"/>
    <s v="Full Time"/>
    <x v="4"/>
    <x v="1"/>
    <s v="e.alhaj@email.com"/>
    <n v="14"/>
    <n v="6"/>
    <n v="1993"/>
    <x v="30"/>
    <n v="32"/>
    <n v="2898"/>
    <n v="289.8"/>
    <n v="86.94"/>
    <x v="29"/>
    <s v="normal"/>
    <x v="2"/>
  </r>
  <r>
    <n v="1032"/>
    <s v="Ghalib"/>
    <s v="Zakianiin"/>
    <s v="Ghalib Zakianiin"/>
    <x v="1"/>
    <s v="011-9168-5404"/>
    <x v="1"/>
    <s v="Full Time"/>
    <x v="5"/>
    <x v="0"/>
    <s v="g.zakianiin@email.com"/>
    <n v="18"/>
    <n v="6"/>
    <n v="1999"/>
    <x v="31"/>
    <n v="26"/>
    <n v="6211"/>
    <n v="621.1"/>
    <n v="186.32999999999998"/>
    <x v="30"/>
    <s v="normal"/>
    <x v="1"/>
  </r>
  <r>
    <n v="1033"/>
    <s v="Muhamad"/>
    <s v="Eurul"/>
    <s v="Muhamad Eurul"/>
    <x v="1"/>
    <s v="011-2668-9895"/>
    <x v="4"/>
    <s v="Contract"/>
    <x v="0"/>
    <x v="0"/>
    <s v="m.eurul@email.com"/>
    <n v="21"/>
    <n v="6"/>
    <n v="2011"/>
    <x v="32"/>
    <n v="14"/>
    <n v="5976"/>
    <n v="597.6"/>
    <n v="179.28"/>
    <x v="31"/>
    <s v="normal"/>
    <x v="1"/>
  </r>
  <r>
    <n v="1034"/>
    <s v="Eizat"/>
    <s v="Ghanim"/>
    <s v="Eizat Ghanim"/>
    <x v="1"/>
    <s v="010-6953-9820"/>
    <x v="4"/>
    <s v="Hourly"/>
    <x v="0"/>
    <x v="1"/>
    <s v="e.ghanim@email.com"/>
    <n v="1"/>
    <n v="7"/>
    <n v="1997"/>
    <x v="33"/>
    <n v="28"/>
    <n v="742"/>
    <n v="74.2"/>
    <n v="22.259999999999998"/>
    <x v="32"/>
    <s v="normal"/>
    <x v="3"/>
  </r>
  <r>
    <n v="1035"/>
    <s v="Ahmad"/>
    <s v="Swyd"/>
    <s v="Ahmad Swyd"/>
    <x v="1"/>
    <s v="010-4964-9184"/>
    <x v="2"/>
    <s v="Full Time"/>
    <x v="6"/>
    <x v="2"/>
    <s v="a.swyd@email.com"/>
    <n v="8"/>
    <n v="7"/>
    <n v="2008"/>
    <x v="34"/>
    <n v="17"/>
    <n v="5918"/>
    <n v="591.80000000000007"/>
    <n v="177.54"/>
    <x v="33"/>
    <s v="normal"/>
    <x v="1"/>
  </r>
  <r>
    <n v="1036"/>
    <s v="Muhamad"/>
    <s v="Aleass"/>
    <s v="Muhamad Aleass"/>
    <x v="1"/>
    <s v="010-4140-8892"/>
    <x v="2"/>
    <s v="Full Time"/>
    <x v="2"/>
    <x v="2"/>
    <s v="m.aleass@email.com"/>
    <n v="9"/>
    <n v="7"/>
    <n v="1994"/>
    <x v="35"/>
    <n v="31"/>
    <n v="3074"/>
    <n v="307.40000000000003"/>
    <n v="92.22"/>
    <x v="34"/>
    <s v="normal"/>
    <x v="2"/>
  </r>
  <r>
    <n v="1037"/>
    <s v="Rima"/>
    <s v="AlAsfar"/>
    <s v="Rima Alasfar"/>
    <x v="0"/>
    <s v="010-8208-5862"/>
    <x v="4"/>
    <s v="Contract"/>
    <x v="8"/>
    <x v="0"/>
    <s v="r.alasfar@email.com"/>
    <n v="11"/>
    <n v="7"/>
    <n v="2014"/>
    <x v="36"/>
    <n v="11"/>
    <n v="5688"/>
    <n v="568.80000000000007"/>
    <n v="170.64"/>
    <x v="35"/>
    <s v="normal"/>
    <x v="1"/>
  </r>
  <r>
    <n v="1038"/>
    <s v="Zayn"/>
    <s v="Atef"/>
    <s v="Zayn Atef"/>
    <x v="0"/>
    <s v="011-7361-0501"/>
    <x v="2"/>
    <s v="Full Time"/>
    <x v="8"/>
    <x v="3"/>
    <s v="z.atef@email.com"/>
    <n v="15"/>
    <n v="7"/>
    <n v="2013"/>
    <x v="37"/>
    <n v="12"/>
    <n v="3362"/>
    <n v="336.20000000000005"/>
    <n v="100.86"/>
    <x v="36"/>
    <s v="normal"/>
    <x v="1"/>
  </r>
  <r>
    <n v="1039"/>
    <s v="Hazim"/>
    <s v="Alshshatim"/>
    <s v="Hazim Alshshatim"/>
    <x v="1"/>
    <s v="011-1741-5520"/>
    <x v="3"/>
    <s v="Contract"/>
    <x v="8"/>
    <x v="1"/>
    <s v="h.alshshatim@email.com"/>
    <n v="16"/>
    <n v="7"/>
    <n v="2008"/>
    <x v="38"/>
    <n v="17"/>
    <n v="6043"/>
    <n v="604.30000000000007"/>
    <n v="181.29"/>
    <x v="37"/>
    <s v="normal"/>
    <x v="1"/>
  </r>
  <r>
    <n v="1040"/>
    <s v="Dia"/>
    <s v="Alshahf"/>
    <s v="Dia Alshahf"/>
    <x v="1"/>
    <s v="010-3478-7173"/>
    <x v="3"/>
    <s v="Full Time"/>
    <x v="8"/>
    <x v="3"/>
    <s v="d.alshahf@email.com"/>
    <n v="28"/>
    <n v="7"/>
    <n v="2005"/>
    <x v="39"/>
    <n v="20"/>
    <n v="6260"/>
    <n v="626"/>
    <n v="187.79999999999998"/>
    <x v="38"/>
    <s v="normal"/>
    <x v="1"/>
  </r>
  <r>
    <n v="1041"/>
    <s v="Ayham"/>
    <s v="Almusaa"/>
    <s v="Ayham Almusaa"/>
    <x v="1"/>
    <s v="011-0193-2313"/>
    <x v="3"/>
    <s v="Contract"/>
    <x v="0"/>
    <x v="3"/>
    <s v="a.almusaa@email.com"/>
    <n v="30"/>
    <n v="7"/>
    <n v="2005"/>
    <x v="40"/>
    <n v="20"/>
    <n v="3754"/>
    <n v="375.40000000000003"/>
    <n v="112.61999999999999"/>
    <x v="39"/>
    <s v="normal"/>
    <x v="1"/>
  </r>
  <r>
    <n v="1042"/>
    <s v="Abd Allatif"/>
    <s v="Mabrukh"/>
    <s v="Abd Allatif Mabrukh"/>
    <x v="1"/>
    <s v="010-4618-3103"/>
    <x v="2"/>
    <s v="Full Time"/>
    <x v="1"/>
    <x v="1"/>
    <s v="a.mabrukh@email.com"/>
    <n v="31"/>
    <n v="7"/>
    <n v="2017"/>
    <x v="41"/>
    <n v="8"/>
    <n v="6579"/>
    <n v="657.90000000000009"/>
    <n v="197.37"/>
    <x v="40"/>
    <s v="over"/>
    <x v="0"/>
  </r>
  <r>
    <n v="1043"/>
    <s v="Salim"/>
    <s v="Abumaeun"/>
    <s v="Salim Abumaeun"/>
    <x v="1"/>
    <s v="011-2489-3299"/>
    <x v="3"/>
    <s v="Full Time"/>
    <x v="3"/>
    <x v="0"/>
    <s v="s.abumaeun@email.com"/>
    <n v="13"/>
    <n v="8"/>
    <n v="1990"/>
    <x v="42"/>
    <n v="35"/>
    <n v="5373"/>
    <n v="537.30000000000007"/>
    <n v="161.19"/>
    <x v="27"/>
    <s v="normal"/>
    <x v="1"/>
  </r>
  <r>
    <n v="1044"/>
    <s v="Rafat"/>
    <s v="Hamza"/>
    <s v="Rafat Hamza"/>
    <x v="1"/>
    <s v="010-1138-0035"/>
    <x v="2"/>
    <s v="Hourly"/>
    <x v="2"/>
    <x v="0"/>
    <s v="r.hamza@email.com"/>
    <n v="16"/>
    <n v="8"/>
    <n v="2022"/>
    <x v="43"/>
    <n v="3"/>
    <n v="1391"/>
    <n v="139.1"/>
    <n v="41.73"/>
    <x v="41"/>
    <s v="normal"/>
    <x v="2"/>
  </r>
  <r>
    <n v="1045"/>
    <s v="Ahmad"/>
    <s v="Laylana"/>
    <s v="Ahmad Laylana"/>
    <x v="1"/>
    <s v="010-2588-7176"/>
    <x v="3"/>
    <s v="Contract"/>
    <x v="4"/>
    <x v="1"/>
    <s v="a.laylana@email.com"/>
    <n v="26"/>
    <n v="8"/>
    <n v="2009"/>
    <x v="44"/>
    <n v="16"/>
    <n v="2528"/>
    <n v="252.8"/>
    <n v="75.84"/>
    <x v="42"/>
    <s v="normal"/>
    <x v="2"/>
  </r>
  <r>
    <n v="1046"/>
    <s v="Lobnaa"/>
    <s v="Khalifih"/>
    <s v="Lobnaa Khalifih"/>
    <x v="0"/>
    <s v="011-9617-0308"/>
    <x v="3"/>
    <s v="Contract"/>
    <x v="8"/>
    <x v="2"/>
    <s v="l.khalifih@email.com"/>
    <n v="4"/>
    <n v="9"/>
    <n v="2010"/>
    <x v="45"/>
    <n v="15"/>
    <n v="6040"/>
    <n v="604"/>
    <n v="181.2"/>
    <x v="43"/>
    <s v="normal"/>
    <x v="1"/>
  </r>
  <r>
    <n v="1047"/>
    <s v="Sami"/>
    <s v="Alkhujih"/>
    <s v="Sami Alkhujih"/>
    <x v="1"/>
    <s v="010-2952-2470"/>
    <x v="0"/>
    <s v="Half-Time"/>
    <x v="3"/>
    <x v="0"/>
    <s v="s.alkhujih@email.com"/>
    <n v="10"/>
    <n v="9"/>
    <n v="2004"/>
    <x v="46"/>
    <n v="21"/>
    <n v="3842"/>
    <n v="384.20000000000005"/>
    <n v="115.25999999999999"/>
    <x v="44"/>
    <s v="normal"/>
    <x v="1"/>
  </r>
  <r>
    <n v="1048"/>
    <s v="Salam"/>
    <s v="Alealbi"/>
    <s v="Salam Alealbi"/>
    <x v="0"/>
    <s v="012-4800-6218"/>
    <x v="3"/>
    <s v="Hourly"/>
    <x v="4"/>
    <x v="1"/>
    <s v="s.alealbi@email.com"/>
    <n v="16"/>
    <n v="9"/>
    <n v="2005"/>
    <x v="47"/>
    <n v="20"/>
    <n v="1542"/>
    <n v="154.20000000000002"/>
    <n v="46.26"/>
    <x v="45"/>
    <s v="normal"/>
    <x v="2"/>
  </r>
  <r>
    <n v="1049"/>
    <s v="Rim"/>
    <s v="Almusaa"/>
    <s v="Rim Almusaa"/>
    <x v="0"/>
    <s v="012-5827-0039"/>
    <x v="3"/>
    <s v="Hourly"/>
    <x v="0"/>
    <x v="1"/>
    <s v="r.almusaa@email.com"/>
    <n v="24"/>
    <n v="9"/>
    <n v="1997"/>
    <x v="48"/>
    <n v="28"/>
    <n v="3134"/>
    <n v="313.40000000000003"/>
    <n v="94.02"/>
    <x v="46"/>
    <s v="normal"/>
    <x v="2"/>
  </r>
  <r>
    <n v="1050"/>
    <s v="Ghada"/>
    <s v="Aleasimii"/>
    <s v="Ghada Aleasimii"/>
    <x v="0"/>
    <s v="010-6343-6964"/>
    <x v="3"/>
    <s v="Contract"/>
    <x v="1"/>
    <x v="0"/>
    <s v="g.aleasimii@email.com"/>
    <n v="27"/>
    <n v="9"/>
    <n v="1993"/>
    <x v="49"/>
    <n v="32"/>
    <n v="4921"/>
    <n v="492.1"/>
    <n v="147.63"/>
    <x v="47"/>
    <s v="normal"/>
    <x v="1"/>
  </r>
  <r>
    <n v="1051"/>
    <s v="Abd Alwahhab"/>
    <s v="Muhamad"/>
    <s v="Abd Alwahhab Muhamad"/>
    <x v="1"/>
    <s v="011-7467-7667"/>
    <x v="3"/>
    <s v="Half-Time"/>
    <x v="4"/>
    <x v="1"/>
    <s v="a.muhamad@email.com"/>
    <n v="11"/>
    <n v="2"/>
    <n v="2004"/>
    <x v="50"/>
    <n v="21"/>
    <n v="1948"/>
    <n v="194.8"/>
    <n v="58.44"/>
    <x v="9"/>
    <s v="normal"/>
    <x v="2"/>
  </r>
  <r>
    <n v="1052"/>
    <s v="Ayman"/>
    <s v="Eubayd"/>
    <s v="Ayman Eubayd"/>
    <x v="1"/>
    <s v="011-8317-7630"/>
    <x v="4"/>
    <s v="Half-Time"/>
    <x v="1"/>
    <x v="3"/>
    <s v="a.eubayd@email.com"/>
    <n v="11"/>
    <n v="2"/>
    <n v="2001"/>
    <x v="51"/>
    <n v="24"/>
    <n v="3294"/>
    <n v="329.40000000000003"/>
    <n v="98.82"/>
    <x v="10"/>
    <s v="normal"/>
    <x v="1"/>
  </r>
  <r>
    <n v="1053"/>
    <s v="Faras"/>
    <s v="Karim"/>
    <s v="Faras Karim"/>
    <x v="1"/>
    <s v="011-6548-2913"/>
    <x v="0"/>
    <s v="Contract"/>
    <x v="4"/>
    <x v="0"/>
    <s v="f.karim@email.com"/>
    <n v="17"/>
    <n v="2"/>
    <n v="1999"/>
    <x v="52"/>
    <n v="26"/>
    <n v="7123"/>
    <n v="712.30000000000007"/>
    <n v="213.69"/>
    <x v="11"/>
    <s v="over"/>
    <x v="0"/>
  </r>
  <r>
    <n v="1054"/>
    <s v="Shadi"/>
    <s v="Salayk"/>
    <s v="Shadi Salayk"/>
    <x v="1"/>
    <s v="012-6241-6555"/>
    <x v="2"/>
    <s v="Full Time"/>
    <x v="1"/>
    <x v="0"/>
    <s v="s.salayk@email.com"/>
    <n v="25"/>
    <n v="2"/>
    <n v="2006"/>
    <x v="53"/>
    <n v="19"/>
    <n v="7236"/>
    <n v="723.6"/>
    <n v="217.07999999999998"/>
    <x v="12"/>
    <s v="over"/>
    <x v="0"/>
  </r>
  <r>
    <n v="1055"/>
    <s v="Eubay"/>
    <s v="Alttahir"/>
    <s v="Eubay Alttahir"/>
    <x v="1"/>
    <s v="012-0080-0358"/>
    <x v="0"/>
    <s v="Full Time"/>
    <x v="8"/>
    <x v="1"/>
    <s v="e.alttahir@email.com"/>
    <n v="26"/>
    <n v="2"/>
    <n v="1998"/>
    <x v="54"/>
    <n v="27"/>
    <n v="6843"/>
    <n v="684.30000000000007"/>
    <n v="205.29"/>
    <x v="13"/>
    <s v="over"/>
    <x v="0"/>
  </r>
  <r>
    <n v="1056"/>
    <s v="Abd Alhadi"/>
    <s v="Alzzahir"/>
    <s v="Abd Alhadi Alzzahir"/>
    <x v="1"/>
    <s v="011-5953-5298"/>
    <x v="0"/>
    <s v="Hourly"/>
    <x v="8"/>
    <x v="1"/>
    <s v="a.alzzahir@email.com"/>
    <n v="2"/>
    <n v="3"/>
    <n v="2020"/>
    <x v="55"/>
    <n v="5"/>
    <n v="1070"/>
    <n v="107"/>
    <n v="32.1"/>
    <x v="14"/>
    <s v="normal"/>
    <x v="3"/>
  </r>
  <r>
    <n v="1057"/>
    <s v="Majdulin"/>
    <s v="Ashbrh"/>
    <s v="Majdulin Ashbrh"/>
    <x v="0"/>
    <s v="011-5319-7666"/>
    <x v="2"/>
    <s v="Hourly"/>
    <x v="1"/>
    <x v="0"/>
    <s v="m.ashbrh@email.com"/>
    <n v="10"/>
    <n v="3"/>
    <n v="1996"/>
    <x v="56"/>
    <n v="29"/>
    <n v="1493"/>
    <n v="149.30000000000001"/>
    <n v="44.79"/>
    <x v="15"/>
    <s v="normal"/>
    <x v="2"/>
  </r>
  <r>
    <n v="1058"/>
    <s v="Aylyn"/>
    <s v="Dahadal"/>
    <s v="Aylyn Dahadal"/>
    <x v="0"/>
    <s v="012-2332-0986"/>
    <x v="4"/>
    <s v="Full Time"/>
    <x v="1"/>
    <x v="1"/>
    <s v="a.dahadal@email.com"/>
    <n v="6"/>
    <n v="4"/>
    <n v="2011"/>
    <x v="57"/>
    <n v="14"/>
    <n v="5857"/>
    <n v="585.70000000000005"/>
    <n v="175.70999999999998"/>
    <x v="16"/>
    <s v="normal"/>
    <x v="1"/>
  </r>
  <r>
    <n v="1059"/>
    <s v="Tala"/>
    <s v="Tuish"/>
    <s v="Tala Tuish"/>
    <x v="0"/>
    <s v="012-1442-5931"/>
    <x v="4"/>
    <s v="Contract"/>
    <x v="4"/>
    <x v="1"/>
    <s v="t.tuish@email.com"/>
    <n v="12"/>
    <n v="4"/>
    <n v="2011"/>
    <x v="58"/>
    <n v="14"/>
    <n v="5278"/>
    <n v="527.80000000000007"/>
    <n v="158.34"/>
    <x v="17"/>
    <s v="normal"/>
    <x v="1"/>
  </r>
  <r>
    <n v="1060"/>
    <s v="Muhamad"/>
    <s v="Qarh"/>
    <s v="Muhamad Qarh"/>
    <x v="1"/>
    <s v="010-6732-2354"/>
    <x v="0"/>
    <s v="Full Time"/>
    <x v="5"/>
    <x v="1"/>
    <s v="m.qarh@email.com"/>
    <n v="13"/>
    <n v="4"/>
    <n v="2021"/>
    <x v="59"/>
    <n v="4"/>
    <n v="5710"/>
    <n v="571"/>
    <n v="171.29999999999998"/>
    <x v="18"/>
    <s v="normal"/>
    <x v="1"/>
  </r>
  <r>
    <n v="1061"/>
    <s v="Eala"/>
    <s v="Almisri"/>
    <s v="Eala Almisri"/>
    <x v="0"/>
    <s v="012-8295-8040"/>
    <x v="2"/>
    <s v="Full Time"/>
    <x v="2"/>
    <x v="1"/>
    <s v="e.almisri@email.com"/>
    <n v="28"/>
    <n v="4"/>
    <n v="2013"/>
    <x v="60"/>
    <n v="12"/>
    <n v="6145"/>
    <n v="614.5"/>
    <n v="184.35"/>
    <x v="19"/>
    <s v="normal"/>
    <x v="1"/>
  </r>
  <r>
    <n v="1062"/>
    <s v="Muhamad"/>
    <s v="Alzaybq"/>
    <s v="Muhamad Alzaybq"/>
    <x v="1"/>
    <s v="010-8655-8296"/>
    <x v="3"/>
    <s v="Contract"/>
    <x v="5"/>
    <x v="3"/>
    <s v="m.alzaybq@email.com"/>
    <n v="1"/>
    <n v="5"/>
    <n v="1993"/>
    <x v="61"/>
    <n v="32"/>
    <n v="5278"/>
    <n v="527.80000000000007"/>
    <n v="158.34"/>
    <x v="17"/>
    <s v="normal"/>
    <x v="1"/>
  </r>
  <r>
    <n v="1063"/>
    <s v="Muhamad"/>
    <s v="Rajab"/>
    <s v="Muhamad Rajab"/>
    <x v="1"/>
    <s v="011-6987-2784"/>
    <x v="0"/>
    <s v="Contract"/>
    <x v="0"/>
    <x v="1"/>
    <s v="m.rajab@email.com"/>
    <n v="12"/>
    <n v="2"/>
    <n v="1999"/>
    <x v="62"/>
    <n v="26"/>
    <n v="6548"/>
    <n v="654.80000000000007"/>
    <n v="196.44"/>
    <x v="0"/>
    <s v="over"/>
    <x v="0"/>
  </r>
  <r>
    <n v="1064"/>
    <s v="Ghadir"/>
    <s v="Hmshw"/>
    <s v="Ghadir Hmshw"/>
    <x v="0"/>
    <s v="011-3511-1589"/>
    <x v="1"/>
    <s v="Contract"/>
    <x v="1"/>
    <x v="1"/>
    <s v="g.hmshw@email.com"/>
    <n v="21"/>
    <n v="1"/>
    <n v="2006"/>
    <x v="63"/>
    <n v="19"/>
    <n v="7175"/>
    <n v="717.5"/>
    <n v="215.25"/>
    <x v="1"/>
    <s v="over"/>
    <x v="0"/>
  </r>
  <r>
    <n v="1065"/>
    <s v="Ailya"/>
    <s v="Sharaf"/>
    <s v="Ailya Sharaf"/>
    <x v="0"/>
    <s v="010-4688-8466"/>
    <x v="2"/>
    <s v="Full Time"/>
    <x v="0"/>
    <x v="0"/>
    <s v="a.sharaf@email.com"/>
    <n v="9"/>
    <n v="3"/>
    <n v="1996"/>
    <x v="64"/>
    <n v="29"/>
    <n v="4070"/>
    <n v="407"/>
    <n v="122.1"/>
    <x v="2"/>
    <s v="normal"/>
    <x v="1"/>
  </r>
  <r>
    <n v="1066"/>
    <s v="Ahmad"/>
    <s v="Bikri"/>
    <s v="Ahmad Bikri"/>
    <x v="1"/>
    <s v="011-8428-3949"/>
    <x v="0"/>
    <s v="Contract"/>
    <x v="2"/>
    <x v="0"/>
    <s v="a.bikri@email.com"/>
    <n v="4"/>
    <n v="11"/>
    <n v="2006"/>
    <x v="65"/>
    <n v="19"/>
    <n v="1906"/>
    <n v="190.60000000000002"/>
    <n v="57.18"/>
    <x v="3"/>
    <s v="normal"/>
    <x v="2"/>
  </r>
  <r>
    <n v="1067"/>
    <s v="Hamdah"/>
    <s v="Alkhalifa"/>
    <s v="Hamdah Alkhalifa"/>
    <x v="1"/>
    <s v="011-7474-1200"/>
    <x v="3"/>
    <s v="Full Time"/>
    <x v="2"/>
    <x v="0"/>
    <s v="h.alkhalifa@email.com"/>
    <n v="20"/>
    <n v="12"/>
    <n v="2021"/>
    <x v="66"/>
    <n v="4"/>
    <n v="2600"/>
    <n v="260"/>
    <n v="78"/>
    <x v="4"/>
    <s v="normal"/>
    <x v="2"/>
  </r>
  <r>
    <n v="1068"/>
    <s v="Salah"/>
    <s v="Ramadan"/>
    <s v="Salah Ramadan"/>
    <x v="1"/>
    <s v="010-4497-5883"/>
    <x v="2"/>
    <s v="Contract"/>
    <x v="3"/>
    <x v="2"/>
    <s v="s.ramadan@email.com"/>
    <n v="18"/>
    <n v="12"/>
    <n v="2011"/>
    <x v="67"/>
    <n v="14"/>
    <n v="3753"/>
    <n v="375.3"/>
    <n v="112.58999999999999"/>
    <x v="5"/>
    <s v="normal"/>
    <x v="1"/>
  </r>
  <r>
    <n v="1069"/>
    <s v="Salam"/>
    <s v="Alkhatib"/>
    <s v="Salam Alkhatib"/>
    <x v="1"/>
    <s v="012-3524-3161"/>
    <x v="4"/>
    <s v="Full Time"/>
    <x v="4"/>
    <x v="3"/>
    <s v="s.alkhatib@email.com"/>
    <n v="8"/>
    <n v="3"/>
    <n v="1994"/>
    <x v="68"/>
    <n v="31"/>
    <n v="5086"/>
    <n v="508.6"/>
    <n v="152.57999999999998"/>
    <x v="6"/>
    <s v="normal"/>
    <x v="1"/>
  </r>
  <r>
    <n v="1070"/>
    <s v="Amira"/>
    <s v="Akrym"/>
    <s v="Amira Akrym"/>
    <x v="0"/>
    <s v="012-6831-6580"/>
    <x v="2"/>
    <s v="Full Time"/>
    <x v="0"/>
    <x v="2"/>
    <s v="a.akrym@email.com"/>
    <n v="24"/>
    <n v="3"/>
    <n v="2000"/>
    <x v="69"/>
    <n v="25"/>
    <n v="2431"/>
    <n v="243.10000000000002"/>
    <n v="72.929999999999993"/>
    <x v="7"/>
    <s v="normal"/>
    <x v="2"/>
  </r>
  <r>
    <n v="1071"/>
    <s v="Samah"/>
    <s v="Almaydanii"/>
    <s v="Samah Almaydanii"/>
    <x v="0"/>
    <s v="011-8080-1211"/>
    <x v="3"/>
    <s v="Full Time"/>
    <x v="0"/>
    <x v="0"/>
    <s v="s.almaydanii@email.com"/>
    <n v="4"/>
    <n v="10"/>
    <n v="2016"/>
    <x v="70"/>
    <n v="9"/>
    <n v="2955"/>
    <n v="295.5"/>
    <n v="88.649999999999991"/>
    <x v="8"/>
    <s v="normal"/>
    <x v="2"/>
  </r>
  <r>
    <n v="1072"/>
    <s v="Ibrahim"/>
    <s v="Alhamid"/>
    <s v="Ibrahim Alhamid"/>
    <x v="1"/>
    <s v="011-5796-6726"/>
    <x v="3"/>
    <s v="Hourly"/>
    <x v="4"/>
    <x v="3"/>
    <s v="i.alhamid@email.com"/>
    <n v="11"/>
    <n v="8"/>
    <n v="2018"/>
    <x v="71"/>
    <n v="7"/>
    <n v="1948"/>
    <n v="194.8"/>
    <n v="58.44"/>
    <x v="9"/>
    <s v="normal"/>
    <x v="2"/>
  </r>
  <r>
    <n v="1073"/>
    <s v="Zaydun"/>
    <s v="Jabir"/>
    <s v="Zaydun Jabir"/>
    <x v="1"/>
    <s v="010-3471-2814"/>
    <x v="4"/>
    <s v="Hourly"/>
    <x v="1"/>
    <x v="3"/>
    <s v="z.jabir@email.com"/>
    <n v="10"/>
    <n v="11"/>
    <n v="1993"/>
    <x v="72"/>
    <n v="32"/>
    <n v="3294"/>
    <n v="329.40000000000003"/>
    <n v="98.82"/>
    <x v="10"/>
    <s v="normal"/>
    <x v="1"/>
  </r>
  <r>
    <n v="1074"/>
    <s v="Ruyda"/>
    <s v="Alhamadii"/>
    <s v="Ruyda Alhamadii"/>
    <x v="0"/>
    <s v="012-5491-6955"/>
    <x v="0"/>
    <s v="Contract"/>
    <x v="4"/>
    <x v="2"/>
    <s v="r.alhamadii@email.com"/>
    <n v="13"/>
    <n v="2"/>
    <n v="2002"/>
    <x v="73"/>
    <n v="23"/>
    <n v="7123"/>
    <n v="712.30000000000007"/>
    <n v="213.69"/>
    <x v="11"/>
    <s v="over"/>
    <x v="0"/>
  </r>
  <r>
    <n v="1075"/>
    <s v="Karam"/>
    <s v="Kiali"/>
    <s v="Karam Kiali"/>
    <x v="1"/>
    <s v="012-9118-4107"/>
    <x v="2"/>
    <s v="Full Time"/>
    <x v="1"/>
    <x v="0"/>
    <s v="k.kiali@email.com"/>
    <n v="20"/>
    <n v="2"/>
    <n v="2012"/>
    <x v="74"/>
    <n v="13"/>
    <n v="7236"/>
    <n v="723.6"/>
    <n v="217.07999999999998"/>
    <x v="12"/>
    <s v="over"/>
    <x v="0"/>
  </r>
  <r>
    <n v="1076"/>
    <s v="Iilyas"/>
    <s v="Dahadal"/>
    <s v="Iilyas Dahadal"/>
    <x v="0"/>
    <s v="010-6763-9649"/>
    <x v="0"/>
    <s v="Contract"/>
    <x v="1"/>
    <x v="3"/>
    <s v="i.dahadal@email.com"/>
    <n v="20"/>
    <n v="3"/>
    <n v="1994"/>
    <x v="75"/>
    <n v="31"/>
    <n v="6843"/>
    <n v="684.30000000000007"/>
    <n v="205.29"/>
    <x v="13"/>
    <s v="over"/>
    <x v="0"/>
  </r>
  <r>
    <n v="1077"/>
    <s v="Iin"/>
    <s v="Qisi"/>
    <s v="Iin Qisi"/>
    <x v="0"/>
    <s v="012-3935-3123"/>
    <x v="0"/>
    <s v="Hourly"/>
    <x v="1"/>
    <x v="3"/>
    <s v="i.qisi@email.com"/>
    <n v="7"/>
    <n v="1"/>
    <n v="2006"/>
    <x v="76"/>
    <n v="20"/>
    <n v="1070"/>
    <n v="107"/>
    <n v="32.1"/>
    <x v="14"/>
    <s v="normal"/>
    <x v="3"/>
  </r>
  <r>
    <n v="1078"/>
    <s v="Eala"/>
    <s v="Dahbur"/>
    <s v="Eala Dahbur"/>
    <x v="0"/>
    <s v="010-7962-9017"/>
    <x v="2"/>
    <s v="Full Time"/>
    <x v="1"/>
    <x v="0"/>
    <s v="e.dahbur@email.com"/>
    <n v="13"/>
    <n v="6"/>
    <n v="2001"/>
    <x v="77"/>
    <n v="24"/>
    <n v="1493"/>
    <n v="149.30000000000001"/>
    <n v="44.79"/>
    <x v="15"/>
    <s v="normal"/>
    <x v="2"/>
  </r>
  <r>
    <n v="1079"/>
    <s v="Khalil"/>
    <s v="Alzaebii"/>
    <s v="Khalil Alzaebii"/>
    <x v="1"/>
    <s v="010-4824-6123"/>
    <x v="4"/>
    <s v="Contract"/>
    <x v="1"/>
    <x v="3"/>
    <s v="k.alzaebii@email.com"/>
    <n v="28"/>
    <n v="6"/>
    <n v="2017"/>
    <x v="78"/>
    <n v="8"/>
    <n v="5857"/>
    <n v="585.70000000000005"/>
    <n v="175.70999999999998"/>
    <x v="16"/>
    <s v="normal"/>
    <x v="1"/>
  </r>
  <r>
    <n v="1080"/>
    <s v="Rahaf"/>
    <s v="Alaleppoy"/>
    <s v="Rahaf Alaleppoy"/>
    <x v="0"/>
    <s v="011-8935-1772"/>
    <x v="4"/>
    <s v="Contract"/>
    <x v="4"/>
    <x v="2"/>
    <s v="r.alaleppoy@email.com"/>
    <n v="22"/>
    <n v="10"/>
    <n v="2019"/>
    <x v="79"/>
    <n v="6"/>
    <n v="5278"/>
    <n v="527.80000000000007"/>
    <n v="158.34"/>
    <x v="17"/>
    <s v="normal"/>
    <x v="1"/>
  </r>
  <r>
    <n v="1081"/>
    <s v="Isam"/>
    <s v="Jadid"/>
    <s v="Isam Jadid"/>
    <x v="1"/>
    <s v="011-7933-3977"/>
    <x v="0"/>
    <s v="Contract"/>
    <x v="5"/>
    <x v="0"/>
    <s v="i.jadid@email.com"/>
    <n v="2"/>
    <n v="9"/>
    <n v="2011"/>
    <x v="80"/>
    <n v="14"/>
    <n v="5710"/>
    <n v="571"/>
    <n v="171.29999999999998"/>
    <x v="18"/>
    <s v="normal"/>
    <x v="1"/>
  </r>
  <r>
    <n v="1082"/>
    <s v="Rybal"/>
    <s v="Sabagh"/>
    <s v="Rybal Sabagh"/>
    <x v="1"/>
    <s v="011-4434-4138"/>
    <x v="2"/>
    <s v="Full Time"/>
    <x v="2"/>
    <x v="2"/>
    <s v="r.sabagh@email.com"/>
    <n v="15"/>
    <n v="10"/>
    <n v="2002"/>
    <x v="81"/>
    <n v="23"/>
    <n v="6145"/>
    <n v="614.5"/>
    <n v="184.35"/>
    <x v="19"/>
    <s v="normal"/>
    <x v="1"/>
  </r>
  <r>
    <n v="1083"/>
    <s v="Ihsan"/>
    <s v="Eazu"/>
    <s v="Ihsan Eazu"/>
    <x v="1"/>
    <s v="011-8496-7687"/>
    <x v="3"/>
    <s v="Contract"/>
    <x v="5"/>
    <x v="2"/>
    <s v="i.eazu@email.com"/>
    <n v="22"/>
    <n v="5"/>
    <n v="1995"/>
    <x v="82"/>
    <n v="30"/>
    <n v="5278"/>
    <n v="527.80000000000007"/>
    <n v="158.34"/>
    <x v="17"/>
    <s v="normal"/>
    <x v="1"/>
  </r>
  <r>
    <n v="1084"/>
    <s v="Abdalrahmin"/>
    <s v="Turkmany"/>
    <s v="Abdalrahmin Turkmany"/>
    <x v="1"/>
    <s v="012-7210-8768"/>
    <x v="3"/>
    <s v="Full Time"/>
    <x v="0"/>
    <x v="0"/>
    <s v="a.turkmany@email.com"/>
    <n v="17"/>
    <n v="1"/>
    <n v="2019"/>
    <x v="83"/>
    <n v="7"/>
    <n v="6409"/>
    <n v="640.90000000000009"/>
    <n v="192.26999999999998"/>
    <x v="20"/>
    <s v="normal"/>
    <x v="1"/>
  </r>
  <r>
    <n v="1085"/>
    <s v="Lama"/>
    <s v="Sabiq"/>
    <s v="Lama Sabiq"/>
    <x v="0"/>
    <s v="010-5141-8325"/>
    <x v="2"/>
    <s v="Hourly"/>
    <x v="0"/>
    <x v="3"/>
    <s v="l.sabiq@email.com"/>
    <n v="4"/>
    <n v="12"/>
    <n v="2015"/>
    <x v="84"/>
    <n v="10"/>
    <n v="7478"/>
    <n v="747.80000000000007"/>
    <n v="224.34"/>
    <x v="21"/>
    <s v="over"/>
    <x v="0"/>
  </r>
  <r>
    <n v="1086"/>
    <s v="Faras"/>
    <s v="Shaykh"/>
    <s v="Faras Shaykh"/>
    <x v="1"/>
    <s v="011-6312-9808"/>
    <x v="0"/>
    <s v="Contract"/>
    <x v="0"/>
    <x v="0"/>
    <s v="f.shaykh@email.com"/>
    <n v="14"/>
    <n v="12"/>
    <n v="2018"/>
    <x v="85"/>
    <n v="7"/>
    <n v="4621"/>
    <n v="462.1"/>
    <n v="138.63"/>
    <x v="22"/>
    <s v="normal"/>
    <x v="1"/>
  </r>
  <r>
    <n v="1087"/>
    <s v="Khaldun"/>
    <s v="Suqbani"/>
    <s v="Khaldun Suqbani"/>
    <x v="1"/>
    <s v="010-4252-8729"/>
    <x v="3"/>
    <s v="Full Time"/>
    <x v="6"/>
    <x v="0"/>
    <s v="k.suqbani@email.com"/>
    <n v="14"/>
    <n v="12"/>
    <n v="1993"/>
    <x v="86"/>
    <n v="32"/>
    <n v="2093"/>
    <n v="209.3"/>
    <n v="62.79"/>
    <x v="23"/>
    <s v="normal"/>
    <x v="2"/>
  </r>
  <r>
    <n v="1088"/>
    <s v="Kawkab"/>
    <s v="Qarqazan"/>
    <s v="Kawkab Qarqazan"/>
    <x v="0"/>
    <s v="011-5230-3355"/>
    <x v="0"/>
    <s v="Full Time"/>
    <x v="4"/>
    <x v="2"/>
    <s v="k.qarqazan@email.com"/>
    <n v="20"/>
    <n v="5"/>
    <n v="2002"/>
    <x v="87"/>
    <n v="23"/>
    <n v="7333"/>
    <n v="733.30000000000007"/>
    <n v="219.98999999999998"/>
    <x v="24"/>
    <s v="over"/>
    <x v="0"/>
  </r>
  <r>
    <n v="1089"/>
    <s v="Samir"/>
    <s v="Alsaeid"/>
    <s v="Samir Alsaeid"/>
    <x v="1"/>
    <s v="011-5806-8087"/>
    <x v="3"/>
    <s v="Contract"/>
    <x v="2"/>
    <x v="2"/>
    <s v="s.alsaeid@email.com"/>
    <n v="16"/>
    <n v="9"/>
    <n v="2008"/>
    <x v="88"/>
    <n v="17"/>
    <n v="1194"/>
    <n v="119.4"/>
    <n v="35.82"/>
    <x v="25"/>
    <s v="normal"/>
    <x v="2"/>
  </r>
  <r>
    <n v="1090"/>
    <s v="Amir"/>
    <s v="Alhifar"/>
    <s v="Amir Alhifar"/>
    <x v="1"/>
    <s v="011-7532-2588"/>
    <x v="1"/>
    <s v="Full Time"/>
    <x v="2"/>
    <x v="3"/>
    <s v="a.alhifar@email.com"/>
    <n v="6"/>
    <n v="11"/>
    <n v="2015"/>
    <x v="89"/>
    <n v="10"/>
    <n v="5118"/>
    <n v="511.8"/>
    <n v="153.54"/>
    <x v="26"/>
    <s v="normal"/>
    <x v="1"/>
  </r>
  <r>
    <n v="1091"/>
    <s v="Amjad"/>
    <s v="Alrz"/>
    <s v="Amjad Alrz"/>
    <x v="1"/>
    <s v="012-3200-6218"/>
    <x v="3"/>
    <s v="Full Time"/>
    <x v="7"/>
    <x v="2"/>
    <s v="a.alrz@email.com"/>
    <n v="28"/>
    <n v="5"/>
    <n v="2004"/>
    <x v="90"/>
    <n v="21"/>
    <n v="5373"/>
    <n v="537.30000000000007"/>
    <n v="161.19"/>
    <x v="27"/>
    <s v="normal"/>
    <x v="1"/>
  </r>
  <r>
    <n v="1092"/>
    <s v="Daniah"/>
    <s v="Alhariri"/>
    <s v="Daniah Alhariri"/>
    <x v="0"/>
    <s v="011-5955-3175"/>
    <x v="3"/>
    <s v="Half-Time"/>
    <x v="8"/>
    <x v="0"/>
    <s v="d.alhariri@email.com"/>
    <n v="27"/>
    <n v="7"/>
    <n v="2011"/>
    <x v="91"/>
    <n v="14"/>
    <n v="1708"/>
    <n v="170.8"/>
    <n v="51.239999999999995"/>
    <x v="28"/>
    <s v="normal"/>
    <x v="2"/>
  </r>
  <r>
    <n v="1093"/>
    <s v="Sana"/>
    <s v="Alhusayn"/>
    <s v="Sana Alhusayn"/>
    <x v="0"/>
    <s v="010-6074-6101"/>
    <x v="4"/>
    <s v="Full Time"/>
    <x v="4"/>
    <x v="3"/>
    <s v="s.alhusayn@email.com"/>
    <n v="11"/>
    <n v="8"/>
    <n v="2019"/>
    <x v="92"/>
    <n v="6"/>
    <n v="2898"/>
    <n v="289.8"/>
    <n v="86.94"/>
    <x v="29"/>
    <s v="normal"/>
    <x v="2"/>
  </r>
  <r>
    <n v="1094"/>
    <s v="Alaa"/>
    <s v="Alqasir"/>
    <s v="Alaa Alqasir"/>
    <x v="1"/>
    <s v="010-4522-3037"/>
    <x v="1"/>
    <s v="Contract"/>
    <x v="5"/>
    <x v="0"/>
    <s v="a.alqasir@email.com"/>
    <n v="16"/>
    <n v="10"/>
    <n v="2007"/>
    <x v="93"/>
    <n v="18"/>
    <n v="6211"/>
    <n v="621.1"/>
    <n v="186.32999999999998"/>
    <x v="30"/>
    <s v="normal"/>
    <x v="1"/>
  </r>
  <r>
    <n v="1095"/>
    <s v="Abd Alruhmin"/>
    <s v="Salih"/>
    <s v="Abd Alruhmin Salih"/>
    <x v="1"/>
    <s v="011-8620-7920"/>
    <x v="4"/>
    <s v="Full Time"/>
    <x v="0"/>
    <x v="0"/>
    <s v="a.salih@email.com"/>
    <n v="25"/>
    <n v="12"/>
    <n v="2020"/>
    <x v="94"/>
    <n v="5"/>
    <n v="5976"/>
    <n v="597.6"/>
    <n v="179.28"/>
    <x v="31"/>
    <s v="normal"/>
    <x v="1"/>
  </r>
  <r>
    <n v="1096"/>
    <s v="Iin"/>
    <s v="Alhumwi"/>
    <s v="Iin Alhumwi"/>
    <x v="0"/>
    <s v="011-8887-9513"/>
    <x v="4"/>
    <s v="Contract"/>
    <x v="0"/>
    <x v="2"/>
    <s v="i.alhumwi@email.com"/>
    <n v="28"/>
    <n v="10"/>
    <n v="1997"/>
    <x v="95"/>
    <n v="28"/>
    <n v="742"/>
    <n v="74.2"/>
    <n v="22.259999999999998"/>
    <x v="32"/>
    <s v="normal"/>
    <x v="3"/>
  </r>
  <r>
    <n v="1097"/>
    <s v="Alaa"/>
    <s v="Saed"/>
    <s v="Alaa Saed"/>
    <x v="0"/>
    <s v="011-5535-8485"/>
    <x v="2"/>
    <s v="Contract"/>
    <x v="6"/>
    <x v="0"/>
    <s v="a.saed@email.com"/>
    <n v="3"/>
    <n v="4"/>
    <n v="2008"/>
    <x v="96"/>
    <n v="17"/>
    <n v="5918"/>
    <n v="591.80000000000007"/>
    <n v="177.54"/>
    <x v="33"/>
    <s v="normal"/>
    <x v="1"/>
  </r>
  <r>
    <n v="1098"/>
    <s v="Safa"/>
    <s v="AlAhmar"/>
    <s v="Safa Alahmar"/>
    <x v="0"/>
    <s v="012-6048-9135"/>
    <x v="2"/>
    <s v="Contract"/>
    <x v="2"/>
    <x v="3"/>
    <s v="s.alahmar@email.com"/>
    <n v="3"/>
    <n v="1"/>
    <n v="1998"/>
    <x v="97"/>
    <n v="28"/>
    <n v="3074"/>
    <n v="307.40000000000003"/>
    <n v="92.22"/>
    <x v="34"/>
    <s v="normal"/>
    <x v="2"/>
  </r>
  <r>
    <n v="1099"/>
    <s v="Afra"/>
    <s v="Sharabi"/>
    <s v="Afra Sharabi"/>
    <x v="0"/>
    <s v="010-6341-2062"/>
    <x v="4"/>
    <s v="Full Time"/>
    <x v="0"/>
    <x v="3"/>
    <s v="a.sharabi@email.com"/>
    <n v="21"/>
    <n v="4"/>
    <n v="2006"/>
    <x v="98"/>
    <n v="19"/>
    <n v="5688"/>
    <n v="568.80000000000007"/>
    <n v="170.64"/>
    <x v="35"/>
    <s v="normal"/>
    <x v="1"/>
  </r>
  <r>
    <n v="1100"/>
    <s v="Rawan"/>
    <s v="Durkzili"/>
    <s v="Rawan Durkzili"/>
    <x v="0"/>
    <s v="012-8875-3528"/>
    <x v="2"/>
    <s v="Contract"/>
    <x v="0"/>
    <x v="0"/>
    <s v="r.durkzili@email.com"/>
    <n v="25"/>
    <n v="9"/>
    <n v="2003"/>
    <x v="99"/>
    <n v="22"/>
    <n v="3362"/>
    <n v="336.20000000000005"/>
    <n v="100.86"/>
    <x v="36"/>
    <s v="normal"/>
    <x v="1"/>
  </r>
  <r>
    <n v="1101"/>
    <s v="Dijwar"/>
    <s v="Husu"/>
    <s v="Dijwar Husu"/>
    <x v="1"/>
    <s v="010-7408-8451"/>
    <x v="3"/>
    <s v="Contract"/>
    <x v="0"/>
    <x v="3"/>
    <s v="d.husu@email.com"/>
    <n v="23"/>
    <n v="9"/>
    <n v="1996"/>
    <x v="100"/>
    <n v="29"/>
    <n v="6043"/>
    <n v="604.30000000000007"/>
    <n v="181.29"/>
    <x v="37"/>
    <s v="normal"/>
    <x v="1"/>
  </r>
  <r>
    <n v="1102"/>
    <s v="Asama"/>
    <s v="Eilwan"/>
    <s v="Asama Eilwan"/>
    <x v="0"/>
    <s v="011-5377-6417"/>
    <x v="3"/>
    <s v="Full Time"/>
    <x v="0"/>
    <x v="0"/>
    <s v="a.eilwan@email.com"/>
    <n v="26"/>
    <n v="8"/>
    <n v="2022"/>
    <x v="101"/>
    <n v="3"/>
    <n v="6260"/>
    <n v="626"/>
    <n v="187.79999999999998"/>
    <x v="38"/>
    <s v="normal"/>
    <x v="1"/>
  </r>
  <r>
    <n v="1103"/>
    <s v="Ali"/>
    <s v="Zyny"/>
    <s v="Ali Zyny"/>
    <x v="1"/>
    <s v="010-8556-8480"/>
    <x v="3"/>
    <s v="Contract"/>
    <x v="0"/>
    <x v="0"/>
    <s v="a.zyny@email.com"/>
    <n v="19"/>
    <n v="7"/>
    <n v="1995"/>
    <x v="102"/>
    <n v="30"/>
    <n v="3754"/>
    <n v="375.40000000000003"/>
    <n v="112.61999999999999"/>
    <x v="39"/>
    <s v="normal"/>
    <x v="1"/>
  </r>
  <r>
    <n v="1104"/>
    <s v="Ahmad"/>
    <s v="Iidlibi"/>
    <s v="Ahmad Iidlibi"/>
    <x v="1"/>
    <s v="012-6707-5871"/>
    <x v="2"/>
    <s v="Full Time"/>
    <x v="1"/>
    <x v="0"/>
    <s v="a.iidlibi@email.com"/>
    <n v="2"/>
    <n v="1"/>
    <n v="2009"/>
    <x v="103"/>
    <n v="17"/>
    <n v="6579"/>
    <n v="657.90000000000009"/>
    <n v="197.37"/>
    <x v="40"/>
    <s v="over"/>
    <x v="0"/>
  </r>
  <r>
    <n v="1105"/>
    <s v="Ahmad"/>
    <s v="Zynu"/>
    <s v="Ahmad Zynu"/>
    <x v="1"/>
    <s v="012-6770-4372"/>
    <x v="3"/>
    <s v="Full Time"/>
    <x v="3"/>
    <x v="0"/>
    <s v="a.zynu@email.com"/>
    <n v="20"/>
    <n v="7"/>
    <n v="2005"/>
    <x v="104"/>
    <n v="20"/>
    <n v="5373"/>
    <n v="537.30000000000007"/>
    <n v="161.19"/>
    <x v="27"/>
    <s v="normal"/>
    <x v="1"/>
  </r>
  <r>
    <n v="1106"/>
    <s v="Rahaf"/>
    <s v="Eijluni"/>
    <s v="Rahaf Eijluni"/>
    <x v="0"/>
    <s v="012-4644-7781"/>
    <x v="2"/>
    <s v="Full Time"/>
    <x v="2"/>
    <x v="0"/>
    <s v="r.eijluni@email.com"/>
    <n v="5"/>
    <n v="6"/>
    <n v="1991"/>
    <x v="105"/>
    <n v="34"/>
    <n v="1391"/>
    <n v="139.1"/>
    <n v="41.73"/>
    <x v="41"/>
    <s v="normal"/>
    <x v="2"/>
  </r>
  <r>
    <n v="1107"/>
    <s v="Ali"/>
    <s v="Marwan"/>
    <s v="Ali Marwan"/>
    <x v="1"/>
    <s v="010-7643-7964"/>
    <x v="3"/>
    <s v="Contract"/>
    <x v="4"/>
    <x v="3"/>
    <s v="a.marwan@email.com"/>
    <n v="4"/>
    <n v="1"/>
    <n v="1990"/>
    <x v="106"/>
    <n v="36"/>
    <n v="2528"/>
    <n v="252.8"/>
    <n v="75.84"/>
    <x v="42"/>
    <s v="normal"/>
    <x v="2"/>
  </r>
  <r>
    <n v="1108"/>
    <s v="Sayban"/>
    <s v="Musur"/>
    <s v="Sayban Musur"/>
    <x v="0"/>
    <s v="011-4477-1264"/>
    <x v="3"/>
    <s v="Contract"/>
    <x v="8"/>
    <x v="0"/>
    <s v="s.musur@email.com"/>
    <n v="12"/>
    <n v="8"/>
    <n v="2021"/>
    <x v="107"/>
    <n v="4"/>
    <n v="6040"/>
    <n v="604"/>
    <n v="181.2"/>
    <x v="43"/>
    <s v="normal"/>
    <x v="1"/>
  </r>
  <r>
    <n v="1109"/>
    <s v="Ali"/>
    <s v="Alnuwri"/>
    <s v="Ali Alnuwri"/>
    <x v="1"/>
    <s v="011-4108-2581"/>
    <x v="0"/>
    <s v="Half-Time"/>
    <x v="3"/>
    <x v="0"/>
    <s v="a.alnuwri@email.com"/>
    <n v="18"/>
    <n v="11"/>
    <n v="1994"/>
    <x v="108"/>
    <n v="31"/>
    <n v="3842"/>
    <n v="384.20000000000005"/>
    <n v="115.25999999999999"/>
    <x v="44"/>
    <s v="normal"/>
    <x v="1"/>
  </r>
  <r>
    <n v="1110"/>
    <s v="Ahmad"/>
    <s v="Shakir"/>
    <s v="Ahmad Shakir"/>
    <x v="1"/>
    <s v="012-8947-6396"/>
    <x v="3"/>
    <s v="Full Time"/>
    <x v="4"/>
    <x v="3"/>
    <s v="a.shakir@email.com"/>
    <n v="24"/>
    <n v="3"/>
    <n v="1995"/>
    <x v="109"/>
    <n v="30"/>
    <n v="1542"/>
    <n v="154.20000000000002"/>
    <n v="46.26"/>
    <x v="45"/>
    <s v="normal"/>
    <x v="2"/>
  </r>
  <r>
    <n v="1111"/>
    <s v="Ayham"/>
    <s v="Kharbutli"/>
    <s v="Ayham Kharbutli"/>
    <x v="1"/>
    <s v="012-7025-4019"/>
    <x v="3"/>
    <s v="Full Time"/>
    <x v="0"/>
    <x v="3"/>
    <s v="a.kharbutli@email.com"/>
    <n v="27"/>
    <n v="10"/>
    <n v="1995"/>
    <x v="110"/>
    <n v="30"/>
    <n v="3134"/>
    <n v="313.40000000000003"/>
    <n v="94.02"/>
    <x v="46"/>
    <s v="normal"/>
    <x v="2"/>
  </r>
  <r>
    <n v="1112"/>
    <s v="Sahar"/>
    <s v="Jaridiun"/>
    <s v="Sahar Jaridiun"/>
    <x v="0"/>
    <s v="011-6947-8107"/>
    <x v="3"/>
    <s v="Contract"/>
    <x v="1"/>
    <x v="0"/>
    <s v="s.jaridiun@email.com"/>
    <n v="9"/>
    <n v="9"/>
    <n v="2004"/>
    <x v="111"/>
    <n v="21"/>
    <n v="4921"/>
    <n v="492.1"/>
    <n v="147.63"/>
    <x v="47"/>
    <s v="normal"/>
    <x v="1"/>
  </r>
  <r>
    <n v="1113"/>
    <s v="Abdalrhim"/>
    <s v="Eimaruh"/>
    <s v="Abdalrhim Eimaruh"/>
    <x v="1"/>
    <s v="010-7791-8954"/>
    <x v="3"/>
    <s v="Full Time"/>
    <x v="4"/>
    <x v="0"/>
    <s v="a.eimaruh@email.com"/>
    <n v="24"/>
    <n v="2"/>
    <n v="2001"/>
    <x v="112"/>
    <n v="24"/>
    <n v="1948"/>
    <n v="194.8"/>
    <n v="58.44"/>
    <x v="9"/>
    <s v="normal"/>
    <x v="2"/>
  </r>
  <r>
    <n v="1114"/>
    <s v="Baha Aldiyn"/>
    <s v="Marzuq"/>
    <s v="Baha Aldiyn Marzuq"/>
    <x v="1"/>
    <s v="012-9175-7619"/>
    <x v="4"/>
    <s v="Contract"/>
    <x v="1"/>
    <x v="0"/>
    <s v="b.marzuq@email.com"/>
    <n v="20"/>
    <n v="12"/>
    <n v="2021"/>
    <x v="66"/>
    <n v="4"/>
    <n v="3294"/>
    <n v="329.40000000000003"/>
    <n v="98.82"/>
    <x v="10"/>
    <s v="normal"/>
    <x v="1"/>
  </r>
  <r>
    <n v="1115"/>
    <s v="Abd Alruhmin"/>
    <s v="Hamj"/>
    <s v="Abd Alruhmin Hamj"/>
    <x v="1"/>
    <s v="010-6501-9681"/>
    <x v="0"/>
    <s v="Half-Time"/>
    <x v="4"/>
    <x v="2"/>
    <s v="a.hamj@email.com"/>
    <n v="14"/>
    <n v="8"/>
    <n v="1994"/>
    <x v="113"/>
    <n v="31"/>
    <n v="7123"/>
    <n v="712.30000000000007"/>
    <n v="213.69"/>
    <x v="11"/>
    <s v="over"/>
    <x v="0"/>
  </r>
  <r>
    <n v="1116"/>
    <s v="Ahmad"/>
    <s v="Bradey"/>
    <s v="Ahmad Bradey"/>
    <x v="1"/>
    <s v="010-4297-2383"/>
    <x v="2"/>
    <s v="Full Time"/>
    <x v="1"/>
    <x v="0"/>
    <s v="a.bradey@email.com"/>
    <n v="10"/>
    <n v="12"/>
    <n v="1990"/>
    <x v="114"/>
    <n v="35"/>
    <n v="7236"/>
    <n v="723.6"/>
    <n v="217.07999999999998"/>
    <x v="12"/>
    <s v="over"/>
    <x v="0"/>
  </r>
  <r>
    <n v="1117"/>
    <s v="Bakr"/>
    <s v="Eubdallah"/>
    <s v="Bakr Eubdallah"/>
    <x v="1"/>
    <s v="010-6365-4222"/>
    <x v="0"/>
    <s v="Full Time"/>
    <x v="1"/>
    <x v="0"/>
    <s v="b.eubdallah@email.com"/>
    <n v="9"/>
    <n v="11"/>
    <n v="2010"/>
    <x v="115"/>
    <n v="15"/>
    <n v="6843"/>
    <n v="684.30000000000007"/>
    <n v="205.29"/>
    <x v="13"/>
    <s v="over"/>
    <x v="0"/>
  </r>
  <r>
    <n v="1118"/>
    <s v="Ahmad"/>
    <s v="Alnajar"/>
    <s v="Ahmad Alnajar"/>
    <x v="1"/>
    <s v="012-8995-3131"/>
    <x v="0"/>
    <s v="Full Time"/>
    <x v="1"/>
    <x v="0"/>
    <s v="a.alnajar@email.com"/>
    <n v="18"/>
    <n v="10"/>
    <n v="2014"/>
    <x v="116"/>
    <n v="11"/>
    <n v="1070"/>
    <n v="107"/>
    <n v="32.1"/>
    <x v="14"/>
    <s v="normal"/>
    <x v="3"/>
  </r>
  <r>
    <n v="1119"/>
    <s v="Raghid"/>
    <s v="Hutayniun"/>
    <s v="Raghid Hutayniun"/>
    <x v="1"/>
    <s v="011-4083-9738"/>
    <x v="2"/>
    <s v="Full Time"/>
    <x v="1"/>
    <x v="0"/>
    <s v="r.hutayniun@email.com"/>
    <n v="22"/>
    <n v="11"/>
    <n v="1995"/>
    <x v="117"/>
    <n v="30"/>
    <n v="1493"/>
    <n v="149.30000000000001"/>
    <n v="44.79"/>
    <x v="15"/>
    <s v="normal"/>
    <x v="2"/>
  </r>
  <r>
    <n v="1120"/>
    <s v="Khalid"/>
    <s v="Siriul"/>
    <s v="Khalid Siriul"/>
    <x v="1"/>
    <s v="010-4217-2318"/>
    <x v="4"/>
    <s v="Contract"/>
    <x v="1"/>
    <x v="0"/>
    <s v="k.siriul@email.com"/>
    <n v="17"/>
    <n v="12"/>
    <n v="1995"/>
    <x v="118"/>
    <n v="30"/>
    <n v="5857"/>
    <n v="585.70000000000005"/>
    <n v="175.70999999999998"/>
    <x v="16"/>
    <s v="normal"/>
    <x v="1"/>
  </r>
  <r>
    <n v="1121"/>
    <s v="Bashshar"/>
    <s v="Mareiun"/>
    <s v="Bashshar Mareiun"/>
    <x v="1"/>
    <s v="011-6371-8373"/>
    <x v="4"/>
    <s v="Half-Time"/>
    <x v="4"/>
    <x v="0"/>
    <s v="b.mareiun@email.com"/>
    <n v="26"/>
    <n v="1"/>
    <n v="1991"/>
    <x v="119"/>
    <n v="34"/>
    <n v="5278"/>
    <n v="527.80000000000007"/>
    <n v="158.34"/>
    <x v="17"/>
    <s v="normal"/>
    <x v="1"/>
  </r>
  <r>
    <n v="1122"/>
    <s v="Akram"/>
    <s v="Alhulwanii"/>
    <s v="Akram Alhulwanii"/>
    <x v="1"/>
    <s v="011-6895-5407"/>
    <x v="0"/>
    <s v="Full Time"/>
    <x v="5"/>
    <x v="3"/>
    <s v="a.alhulwanii@email.com"/>
    <n v="24"/>
    <n v="9"/>
    <n v="2020"/>
    <x v="120"/>
    <n v="5"/>
    <n v="5710"/>
    <n v="571"/>
    <n v="171.29999999999998"/>
    <x v="18"/>
    <s v="normal"/>
    <x v="1"/>
  </r>
  <r>
    <n v="1123"/>
    <s v="Lama"/>
    <s v="Alhasan"/>
    <s v="Lama Alhasan"/>
    <x v="0"/>
    <s v="012-9091-1270"/>
    <x v="2"/>
    <s v="Full Time"/>
    <x v="2"/>
    <x v="3"/>
    <s v="l.alhasan@email.com"/>
    <n v="26"/>
    <n v="4"/>
    <n v="2018"/>
    <x v="121"/>
    <n v="7"/>
    <n v="6145"/>
    <n v="614.5"/>
    <n v="184.35"/>
    <x v="19"/>
    <s v="normal"/>
    <x v="1"/>
  </r>
  <r>
    <n v="1124"/>
    <s v="Abdallah"/>
    <s v="Zakariaa"/>
    <s v="Abdallah Zakariaa"/>
    <x v="1"/>
    <s v="011-5166-2931"/>
    <x v="3"/>
    <s v="Contract"/>
    <x v="5"/>
    <x v="0"/>
    <s v="a.zakariaa@email.com"/>
    <n v="10"/>
    <n v="11"/>
    <n v="2019"/>
    <x v="122"/>
    <n v="6"/>
    <n v="5278"/>
    <n v="527.80000000000007"/>
    <n v="158.34"/>
    <x v="17"/>
    <s v="normal"/>
    <x v="1"/>
  </r>
  <r>
    <n v="1125"/>
    <s v="Bilal"/>
    <s v="Aywbi"/>
    <s v="Bilal Aywbi"/>
    <x v="1"/>
    <s v="012-4733-7899"/>
    <x v="0"/>
    <s v="Full Time"/>
    <x v="0"/>
    <x v="0"/>
    <s v="b.aywbi@email.com"/>
    <n v="2"/>
    <n v="5"/>
    <n v="2002"/>
    <x v="123"/>
    <n v="23"/>
    <n v="6548"/>
    <n v="654.80000000000007"/>
    <n v="196.44"/>
    <x v="0"/>
    <s v="over"/>
    <x v="0"/>
  </r>
  <r>
    <n v="1126"/>
    <s v="Madlin"/>
    <s v="Alsaed"/>
    <s v="Madlin Alsaed"/>
    <x v="0"/>
    <s v="010-6210-7094"/>
    <x v="1"/>
    <s v="Half-Time"/>
    <x v="1"/>
    <x v="0"/>
    <s v="m.alsaed@email.com"/>
    <n v="28"/>
    <n v="11"/>
    <n v="2023"/>
    <x v="124"/>
    <n v="2"/>
    <n v="7175"/>
    <n v="717.5"/>
    <n v="215.25"/>
    <x v="1"/>
    <s v="over"/>
    <x v="0"/>
  </r>
  <r>
    <n v="1127"/>
    <s v="Adnan"/>
    <s v="Aleaqla"/>
    <s v="Adnan Aleaqla"/>
    <x v="1"/>
    <s v="010-6193-3004"/>
    <x v="2"/>
    <s v="Contract"/>
    <x v="0"/>
    <x v="3"/>
    <s v="a.aleaqla@email.com"/>
    <n v="8"/>
    <n v="6"/>
    <n v="1997"/>
    <x v="125"/>
    <n v="28"/>
    <n v="4070"/>
    <n v="407"/>
    <n v="122.1"/>
    <x v="2"/>
    <s v="normal"/>
    <x v="1"/>
  </r>
  <r>
    <n v="1128"/>
    <s v="Sarah"/>
    <s v="Haydar"/>
    <s v="Sarah Haydar"/>
    <x v="0"/>
    <s v="010-9048-4281"/>
    <x v="0"/>
    <s v="Full Time"/>
    <x v="2"/>
    <x v="0"/>
    <s v="s.haydar@email.com"/>
    <n v="1"/>
    <n v="4"/>
    <n v="2001"/>
    <x v="126"/>
    <n v="24"/>
    <n v="1906"/>
    <n v="190.60000000000002"/>
    <n v="57.18"/>
    <x v="3"/>
    <s v="normal"/>
    <x v="2"/>
  </r>
  <r>
    <n v="1129"/>
    <s v="Abdalkarim"/>
    <s v="Shueayb"/>
    <s v="Abdalkarim Shueayb"/>
    <x v="1"/>
    <s v="011-7450-5741"/>
    <x v="3"/>
    <s v="Contract"/>
    <x v="2"/>
    <x v="0"/>
    <s v="a.shueayb@email.com"/>
    <n v="25"/>
    <n v="6"/>
    <n v="2018"/>
    <x v="127"/>
    <n v="7"/>
    <n v="2600"/>
    <n v="260"/>
    <n v="78"/>
    <x v="4"/>
    <s v="normal"/>
    <x v="2"/>
  </r>
  <r>
    <n v="1130"/>
    <s v="Ahmad"/>
    <s v="Dahman"/>
    <s v="Ahmad Dahman"/>
    <x v="1"/>
    <s v="011-7018-6351"/>
    <x v="2"/>
    <s v="Contract"/>
    <x v="3"/>
    <x v="2"/>
    <s v="a.dahman@email.com"/>
    <n v="22"/>
    <n v="5"/>
    <n v="1993"/>
    <x v="128"/>
    <n v="32"/>
    <n v="3753"/>
    <n v="375.3"/>
    <n v="112.58999999999999"/>
    <x v="5"/>
    <s v="normal"/>
    <x v="1"/>
  </r>
  <r>
    <n v="1131"/>
    <s v="Zaynab"/>
    <s v="Eirat"/>
    <s v="Zaynab Eirat"/>
    <x v="0"/>
    <s v="010-7440-7736"/>
    <x v="4"/>
    <s v="Full Time"/>
    <x v="4"/>
    <x v="0"/>
    <s v="z.eirat@email.com"/>
    <n v="15"/>
    <n v="8"/>
    <n v="2022"/>
    <x v="129"/>
    <n v="3"/>
    <n v="5086"/>
    <n v="508.6"/>
    <n v="152.57999999999998"/>
    <x v="6"/>
    <s v="normal"/>
    <x v="1"/>
  </r>
  <r>
    <n v="1132"/>
    <s v="Iad"/>
    <s v="Badran"/>
    <s v="Iad Badran"/>
    <x v="1"/>
    <s v="011-5215-7179"/>
    <x v="2"/>
    <s v="Hourly"/>
    <x v="0"/>
    <x v="2"/>
    <s v="i.badran@email.com"/>
    <n v="25"/>
    <n v="10"/>
    <n v="2021"/>
    <x v="130"/>
    <n v="4"/>
    <n v="2431"/>
    <n v="243.10000000000002"/>
    <n v="72.929999999999993"/>
    <x v="7"/>
    <s v="normal"/>
    <x v="2"/>
  </r>
  <r>
    <n v="1133"/>
    <s v="Zahir"/>
    <s v="Aleitar"/>
    <s v="Zahir Aleitar"/>
    <x v="1"/>
    <s v="011-4814-4047"/>
    <x v="3"/>
    <s v="Full Time"/>
    <x v="0"/>
    <x v="0"/>
    <s v="z.aleitar@email.com"/>
    <n v="8"/>
    <n v="3"/>
    <n v="2014"/>
    <x v="131"/>
    <n v="11"/>
    <n v="2955"/>
    <n v="295.5"/>
    <n v="88.649999999999991"/>
    <x v="8"/>
    <s v="normal"/>
    <x v="2"/>
  </r>
  <r>
    <n v="1134"/>
    <s v="Hamzaa"/>
    <s v="Astitih"/>
    <s v="Hamzaa Astitih"/>
    <x v="1"/>
    <s v="011-5017-9759"/>
    <x v="3"/>
    <s v="Half-Time"/>
    <x v="4"/>
    <x v="3"/>
    <s v="h.astitih@email.com"/>
    <n v="3"/>
    <n v="7"/>
    <n v="1996"/>
    <x v="132"/>
    <n v="29"/>
    <n v="1948"/>
    <n v="194.8"/>
    <n v="58.44"/>
    <x v="9"/>
    <s v="normal"/>
    <x v="2"/>
  </r>
  <r>
    <n v="1135"/>
    <s v="Omar"/>
    <s v="Shawqi"/>
    <s v="Omar Shawqi"/>
    <x v="1"/>
    <s v="011-6086-3552"/>
    <x v="4"/>
    <s v="Full Time"/>
    <x v="1"/>
    <x v="0"/>
    <s v="o.shawqi@email.com"/>
    <n v="24"/>
    <n v="9"/>
    <n v="1992"/>
    <x v="133"/>
    <n v="33"/>
    <n v="3294"/>
    <n v="329.40000000000003"/>
    <n v="98.82"/>
    <x v="10"/>
    <s v="normal"/>
    <x v="1"/>
  </r>
  <r>
    <n v="1136"/>
    <s v="Omar"/>
    <s v="Zaqzuq"/>
    <s v="Omar Zaqzuq"/>
    <x v="1"/>
    <s v="012-6254-7335"/>
    <x v="0"/>
    <s v="Half-Time"/>
    <x v="4"/>
    <x v="1"/>
    <s v="o.zaqzuq@email.com"/>
    <n v="17"/>
    <n v="6"/>
    <n v="2014"/>
    <x v="134"/>
    <n v="11"/>
    <n v="7123"/>
    <n v="712.30000000000007"/>
    <n v="213.69"/>
    <x v="11"/>
    <s v="over"/>
    <x v="0"/>
  </r>
  <r>
    <n v="1137"/>
    <s v="Yasmin"/>
    <s v="Eamir"/>
    <s v="Yasmin Eamir"/>
    <x v="0"/>
    <s v="011-5729-6583"/>
    <x v="2"/>
    <s v="Full Time"/>
    <x v="1"/>
    <x v="2"/>
    <s v="y.eamir@email.com"/>
    <n v="12"/>
    <n v="5"/>
    <n v="1992"/>
    <x v="135"/>
    <n v="33"/>
    <n v="7236"/>
    <n v="723.6"/>
    <n v="217.07999999999998"/>
    <x v="12"/>
    <s v="over"/>
    <x v="0"/>
  </r>
  <r>
    <n v="1138"/>
    <s v="Muayid"/>
    <s v="Siedih"/>
    <s v="Muayid Siedih"/>
    <x v="1"/>
    <s v="011-5990-9346"/>
    <x v="0"/>
    <s v="Hourly"/>
    <x v="1"/>
    <x v="1"/>
    <s v="m.siedih@email.com"/>
    <n v="18"/>
    <n v="7"/>
    <n v="2009"/>
    <x v="136"/>
    <n v="16"/>
    <n v="6843"/>
    <n v="684.30000000000007"/>
    <n v="205.29"/>
    <x v="13"/>
    <s v="over"/>
    <x v="0"/>
  </r>
  <r>
    <n v="1139"/>
    <s v="Sahar"/>
    <s v="Qisam"/>
    <s v="Sahar Qisam"/>
    <x v="0"/>
    <s v="011-5421-6848"/>
    <x v="0"/>
    <s v="Contract"/>
    <x v="1"/>
    <x v="1"/>
    <s v="s.qisam@email.com"/>
    <n v="9"/>
    <n v="4"/>
    <n v="2001"/>
    <x v="137"/>
    <n v="24"/>
    <n v="1070"/>
    <n v="107"/>
    <n v="32.1"/>
    <x v="14"/>
    <s v="normal"/>
    <x v="3"/>
  </r>
  <r>
    <n v="1140"/>
    <s v="Hind"/>
    <s v="Almueasaeas"/>
    <s v="Hind Almueasaeas"/>
    <x v="0"/>
    <s v="012-3218-3876"/>
    <x v="2"/>
    <s v="Hourly"/>
    <x v="1"/>
    <x v="3"/>
    <s v="h.almueasaeas@email.com"/>
    <n v="23"/>
    <n v="3"/>
    <n v="2011"/>
    <x v="138"/>
    <n v="14"/>
    <n v="1493"/>
    <n v="149.30000000000001"/>
    <n v="44.79"/>
    <x v="15"/>
    <s v="normal"/>
    <x v="2"/>
  </r>
  <r>
    <n v="1141"/>
    <s v="Ghassan"/>
    <s v="Aljamal"/>
    <s v="Ghassan Aljamal"/>
    <x v="1"/>
    <s v="012-6359-7797"/>
    <x v="4"/>
    <s v="Contract"/>
    <x v="1"/>
    <x v="1"/>
    <s v="g.aljamal@email.com"/>
    <n v="3"/>
    <n v="7"/>
    <n v="2020"/>
    <x v="139"/>
    <n v="5"/>
    <n v="5857"/>
    <n v="585.70000000000005"/>
    <n v="175.70999999999998"/>
    <x v="16"/>
    <s v="normal"/>
    <x v="1"/>
  </r>
  <r>
    <n v="1142"/>
    <s v="Omar"/>
    <s v="Kahulus"/>
    <s v="Omar Kahulus"/>
    <x v="1"/>
    <s v="011-8190-9541"/>
    <x v="4"/>
    <s v="Full Time"/>
    <x v="4"/>
    <x v="1"/>
    <s v="o.kahulus@email.com"/>
    <n v="4"/>
    <n v="3"/>
    <n v="1991"/>
    <x v="140"/>
    <n v="34"/>
    <n v="5278"/>
    <n v="527.80000000000007"/>
    <n v="158.34"/>
    <x v="17"/>
    <s v="normal"/>
    <x v="1"/>
  </r>
  <r>
    <n v="1143"/>
    <s v="Alysia"/>
    <s v="Alyaghshiu"/>
    <s v="Alysia Alyaghshiu"/>
    <x v="0"/>
    <s v="010-8181-4218"/>
    <x v="0"/>
    <s v="Full Time"/>
    <x v="5"/>
    <x v="0"/>
    <s v="a.alyaghshiu@email.com"/>
    <n v="18"/>
    <n v="9"/>
    <n v="2015"/>
    <x v="141"/>
    <n v="10"/>
    <n v="5710"/>
    <n v="571"/>
    <n v="171.29999999999998"/>
    <x v="18"/>
    <s v="normal"/>
    <x v="1"/>
  </r>
  <r>
    <n v="1144"/>
    <s v="Ahmad"/>
    <s v="Zayd"/>
    <s v="Ahmad Zayd"/>
    <x v="1"/>
    <s v="012-8361-8696"/>
    <x v="2"/>
    <s v="Full Time"/>
    <x v="2"/>
    <x v="3"/>
    <s v="a.zayd@email.com"/>
    <n v="8"/>
    <n v="12"/>
    <n v="1998"/>
    <x v="142"/>
    <n v="27"/>
    <n v="6145"/>
    <n v="614.5"/>
    <n v="184.35"/>
    <x v="19"/>
    <s v="normal"/>
    <x v="1"/>
  </r>
  <r>
    <n v="1145"/>
    <s v="Darin"/>
    <s v="Ghunum"/>
    <s v="Darin Ghunum"/>
    <x v="0"/>
    <s v="012-6158-7511"/>
    <x v="3"/>
    <s v="Contract"/>
    <x v="5"/>
    <x v="0"/>
    <s v="d.ghunum@email.com"/>
    <n v="23"/>
    <n v="11"/>
    <n v="2018"/>
    <x v="143"/>
    <n v="7"/>
    <n v="5278"/>
    <n v="527.80000000000007"/>
    <n v="158.34"/>
    <x v="17"/>
    <s v="normal"/>
    <x v="1"/>
  </r>
  <r>
    <n v="1146"/>
    <s v="Tariq"/>
    <s v="Bryghl"/>
    <s v="Tariq Bryghl"/>
    <x v="1"/>
    <s v="010-8861-8228"/>
    <x v="3"/>
    <s v="Hourly"/>
    <x v="0"/>
    <x v="1"/>
    <s v="t.bryghl@email.com"/>
    <n v="21"/>
    <n v="9"/>
    <n v="2018"/>
    <x v="144"/>
    <n v="7"/>
    <n v="6409"/>
    <n v="640.90000000000009"/>
    <n v="192.26999999999998"/>
    <x v="20"/>
    <s v="normal"/>
    <x v="1"/>
  </r>
  <r>
    <n v="1147"/>
    <s v="Rami"/>
    <s v="Abu Adhan"/>
    <s v="Rami Abu Adhan"/>
    <x v="1"/>
    <s v="012-7940-4723"/>
    <x v="2"/>
    <s v="Full Time"/>
    <x v="0"/>
    <x v="1"/>
    <s v="r.abu adhan@email.com"/>
    <n v="4"/>
    <n v="12"/>
    <n v="1994"/>
    <x v="145"/>
    <n v="31"/>
    <n v="7478"/>
    <n v="747.80000000000007"/>
    <n v="224.34"/>
    <x v="21"/>
    <s v="over"/>
    <x v="0"/>
  </r>
  <r>
    <n v="1148"/>
    <s v="Ehab"/>
    <s v="Alkhibaz"/>
    <s v="Ehab Alkhibaz"/>
    <x v="1"/>
    <s v="010-3617-6600"/>
    <x v="0"/>
    <s v="Full Time"/>
    <x v="0"/>
    <x v="3"/>
    <s v="e.alkhibaz@email.com"/>
    <n v="2"/>
    <n v="6"/>
    <n v="2019"/>
    <x v="146"/>
    <n v="6"/>
    <n v="4621"/>
    <n v="462.1"/>
    <n v="138.63"/>
    <x v="22"/>
    <s v="normal"/>
    <x v="1"/>
  </r>
  <r>
    <n v="1149"/>
    <s v="Rym"/>
    <s v="Alsydawi"/>
    <s v="Rym Alsydawi"/>
    <x v="0"/>
    <s v="012-7129-6791"/>
    <x v="3"/>
    <s v="Contract"/>
    <x v="6"/>
    <x v="1"/>
    <s v="r.alsydawi@email.com"/>
    <n v="6"/>
    <n v="8"/>
    <n v="2019"/>
    <x v="147"/>
    <n v="6"/>
    <n v="2093"/>
    <n v="209.3"/>
    <n v="62.79"/>
    <x v="23"/>
    <s v="normal"/>
    <x v="2"/>
  </r>
  <r>
    <n v="1150"/>
    <s v="Alaa"/>
    <s v="Almunzilijiu"/>
    <s v="Alaa Almunzilijiu"/>
    <x v="1"/>
    <s v="012-4616-8271"/>
    <x v="0"/>
    <s v="Half-Time"/>
    <x v="4"/>
    <x v="1"/>
    <s v="a.almunzilijiu@email.com"/>
    <n v="10"/>
    <n v="2"/>
    <n v="1992"/>
    <x v="148"/>
    <n v="33"/>
    <n v="7333"/>
    <n v="733.30000000000007"/>
    <n v="219.98999999999998"/>
    <x v="24"/>
    <s v="over"/>
    <x v="0"/>
  </r>
  <r>
    <n v="1151"/>
    <s v="Omar"/>
    <s v="Milatu"/>
    <s v="Omar Milatu"/>
    <x v="1"/>
    <s v="010-5828-1841"/>
    <x v="3"/>
    <s v="Half-Time"/>
    <x v="2"/>
    <x v="0"/>
    <s v="o.milatu@email.com"/>
    <n v="22"/>
    <n v="10"/>
    <n v="1992"/>
    <x v="149"/>
    <n v="33"/>
    <n v="1194"/>
    <n v="119.4"/>
    <n v="35.82"/>
    <x v="25"/>
    <s v="normal"/>
    <x v="2"/>
  </r>
  <r>
    <n v="1152"/>
    <s v="Zunar"/>
    <s v="Eali"/>
    <s v="Zunar Eali"/>
    <x v="1"/>
    <s v="011-8905-5476"/>
    <x v="1"/>
    <s v="Contract"/>
    <x v="2"/>
    <x v="0"/>
    <s v="z.eali@email.com"/>
    <n v="8"/>
    <n v="2"/>
    <n v="1991"/>
    <x v="150"/>
    <n v="34"/>
    <n v="5118"/>
    <n v="511.8"/>
    <n v="153.54"/>
    <x v="26"/>
    <s v="normal"/>
    <x v="1"/>
  </r>
  <r>
    <n v="1153"/>
    <s v="Ghazal"/>
    <s v="Hisan"/>
    <s v="Ghazal Hisan"/>
    <x v="0"/>
    <s v="010-9076-4445"/>
    <x v="3"/>
    <s v="Contract"/>
    <x v="7"/>
    <x v="3"/>
    <s v="g.hisan@email.com"/>
    <n v="15"/>
    <n v="3"/>
    <n v="2023"/>
    <x v="151"/>
    <n v="2"/>
    <n v="5373"/>
    <n v="537.30000000000007"/>
    <n v="161.19"/>
    <x v="27"/>
    <s v="normal"/>
    <x v="1"/>
  </r>
  <r>
    <n v="1154"/>
    <s v="Majd"/>
    <s v="Yasin"/>
    <s v="Majd Yasin"/>
    <x v="0"/>
    <s v="011-6387-8100"/>
    <x v="3"/>
    <s v="Full Time"/>
    <x v="8"/>
    <x v="1"/>
    <s v="m.yasin@email.com"/>
    <n v="20"/>
    <n v="8"/>
    <n v="2004"/>
    <x v="152"/>
    <n v="21"/>
    <n v="1708"/>
    <n v="170.8"/>
    <n v="51.239999999999995"/>
    <x v="28"/>
    <s v="normal"/>
    <x v="2"/>
  </r>
  <r>
    <n v="1155"/>
    <s v="Muwmin"/>
    <s v="Ewad"/>
    <s v="Muwmin Ewad"/>
    <x v="1"/>
    <s v="011-6922-8724"/>
    <x v="4"/>
    <s v="Full Time"/>
    <x v="4"/>
    <x v="0"/>
    <s v="m.ewad@email.com"/>
    <n v="10"/>
    <n v="1"/>
    <n v="1996"/>
    <x v="153"/>
    <n v="30"/>
    <n v="2898"/>
    <n v="289.8"/>
    <n v="86.94"/>
    <x v="29"/>
    <s v="normal"/>
    <x v="2"/>
  </r>
  <r>
    <n v="1156"/>
    <s v="Samiah"/>
    <s v="Alsaedi"/>
    <s v="Samiah Alsaedi"/>
    <x v="0"/>
    <s v="010-7745-5777"/>
    <x v="1"/>
    <s v="Full Time"/>
    <x v="5"/>
    <x v="2"/>
    <s v="s.alsaedi@email.com"/>
    <n v="17"/>
    <n v="3"/>
    <n v="2008"/>
    <x v="154"/>
    <n v="17"/>
    <n v="6211"/>
    <n v="621.1"/>
    <n v="186.32999999999998"/>
    <x v="30"/>
    <s v="normal"/>
    <x v="1"/>
  </r>
  <r>
    <n v="1157"/>
    <s v="Bisam"/>
    <s v="Almisri"/>
    <s v="Bisam Almisri"/>
    <x v="0"/>
    <s v="010-4700-5397"/>
    <x v="4"/>
    <s v="Contract"/>
    <x v="0"/>
    <x v="1"/>
    <s v="b.almisri@email.com"/>
    <n v="4"/>
    <n v="9"/>
    <n v="2020"/>
    <x v="155"/>
    <n v="5"/>
    <n v="5976"/>
    <n v="597.6"/>
    <n v="179.28"/>
    <x v="31"/>
    <s v="normal"/>
    <x v="1"/>
  </r>
  <r>
    <n v="1158"/>
    <s v="Abd Alruhmin"/>
    <s v="Alnasar"/>
    <s v="Abd Alruhmin Alnasar"/>
    <x v="1"/>
    <s v="010-4787-5446"/>
    <x v="4"/>
    <s v="Contract"/>
    <x v="0"/>
    <x v="0"/>
    <s v="a.alnasar@email.com"/>
    <n v="20"/>
    <n v="6"/>
    <n v="2013"/>
    <x v="156"/>
    <n v="12"/>
    <n v="742"/>
    <n v="74.2"/>
    <n v="22.259999999999998"/>
    <x v="32"/>
    <s v="normal"/>
    <x v="3"/>
  </r>
  <r>
    <n v="1159"/>
    <s v="Rima"/>
    <s v="Dwalyby"/>
    <s v="Rima Dwalyby"/>
    <x v="0"/>
    <s v="010-7823-2941"/>
    <x v="2"/>
    <s v="Full Time"/>
    <x v="6"/>
    <x v="0"/>
    <s v="r.dwalyby@email.com"/>
    <n v="13"/>
    <n v="1"/>
    <n v="2021"/>
    <x v="157"/>
    <n v="5"/>
    <n v="5918"/>
    <n v="591.80000000000007"/>
    <n v="177.54"/>
    <x v="33"/>
    <s v="normal"/>
    <x v="1"/>
  </r>
  <r>
    <n v="1160"/>
    <s v="Rashad"/>
    <s v="Iidris"/>
    <s v="Rashad Iidris"/>
    <x v="1"/>
    <s v="012-5136-6669"/>
    <x v="2"/>
    <s v="Hourly"/>
    <x v="2"/>
    <x v="3"/>
    <s v="r.iidris@email.com"/>
    <n v="25"/>
    <n v="9"/>
    <n v="2008"/>
    <x v="158"/>
    <n v="17"/>
    <n v="3074"/>
    <n v="307.40000000000003"/>
    <n v="92.22"/>
    <x v="34"/>
    <s v="normal"/>
    <x v="2"/>
  </r>
  <r>
    <n v="1161"/>
    <s v="Fuad"/>
    <s v="Alsyqly"/>
    <s v="Fuad Alsyqly"/>
    <x v="1"/>
    <s v="010-7784-2499"/>
    <x v="4"/>
    <s v="Full Time"/>
    <x v="0"/>
    <x v="3"/>
    <s v="f.alsyqly@email.com"/>
    <n v="11"/>
    <n v="2"/>
    <n v="1994"/>
    <x v="159"/>
    <n v="31"/>
    <n v="5688"/>
    <n v="568.80000000000007"/>
    <n v="170.64"/>
    <x v="35"/>
    <s v="normal"/>
    <x v="1"/>
  </r>
  <r>
    <n v="1162"/>
    <s v="Ibrahim"/>
    <s v="Alyasin"/>
    <s v="Ibrahim Alyasin"/>
    <x v="1"/>
    <s v="010-6682-7599"/>
    <x v="2"/>
    <s v="Contract"/>
    <x v="0"/>
    <x v="2"/>
    <s v="i.alyasin@email.com"/>
    <n v="22"/>
    <n v="3"/>
    <n v="2022"/>
    <x v="160"/>
    <n v="3"/>
    <n v="3362"/>
    <n v="336.20000000000005"/>
    <n v="100.86"/>
    <x v="36"/>
    <s v="normal"/>
    <x v="1"/>
  </r>
  <r>
    <n v="1163"/>
    <s v="Iin"/>
    <s v="Mulaliyun"/>
    <s v="Iin Mulaliyun"/>
    <x v="0"/>
    <s v="012-3882-9176"/>
    <x v="3"/>
    <s v="Half-Time"/>
    <x v="0"/>
    <x v="0"/>
    <s v="i.mulaliyun@email.com"/>
    <n v="4"/>
    <n v="9"/>
    <n v="2016"/>
    <x v="161"/>
    <n v="9"/>
    <n v="6043"/>
    <n v="604.30000000000007"/>
    <n v="181.29"/>
    <x v="37"/>
    <s v="normal"/>
    <x v="1"/>
  </r>
  <r>
    <n v="1164"/>
    <s v="Khadijah"/>
    <s v="Abu Taqih"/>
    <s v="Khadijah Abu Taqih"/>
    <x v="0"/>
    <s v="010-4374-8649"/>
    <x v="3"/>
    <s v="Contract"/>
    <x v="0"/>
    <x v="1"/>
    <s v="k.abu taqih@email.com"/>
    <n v="28"/>
    <n v="1"/>
    <n v="1998"/>
    <x v="162"/>
    <n v="27"/>
    <n v="6260"/>
    <n v="626"/>
    <n v="187.79999999999998"/>
    <x v="38"/>
    <s v="normal"/>
    <x v="1"/>
  </r>
  <r>
    <n v="1165"/>
    <s v="Sandurana"/>
    <s v="Antun"/>
    <s v="Sandurana Antun"/>
    <x v="0"/>
    <s v="010-4524-2627"/>
    <x v="3"/>
    <s v="Hourly"/>
    <x v="0"/>
    <x v="3"/>
    <s v="s.antun@email.com"/>
    <n v="15"/>
    <n v="1"/>
    <n v="2023"/>
    <x v="163"/>
    <n v="3"/>
    <n v="3754"/>
    <n v="375.40000000000003"/>
    <n v="112.61999999999999"/>
    <x v="39"/>
    <s v="normal"/>
    <x v="1"/>
  </r>
  <r>
    <n v="1166"/>
    <s v="Tariq"/>
    <s v="Alkinaya"/>
    <s v="Tariq Alkinaya"/>
    <x v="1"/>
    <s v="011-4997-9340"/>
    <x v="2"/>
    <s v="Half-Time"/>
    <x v="1"/>
    <x v="2"/>
    <s v="t.alkinaya@email.com"/>
    <n v="1"/>
    <n v="12"/>
    <n v="2010"/>
    <x v="164"/>
    <n v="15"/>
    <n v="6579"/>
    <n v="657.90000000000009"/>
    <n v="197.37"/>
    <x v="40"/>
    <s v="over"/>
    <x v="0"/>
  </r>
  <r>
    <n v="1167"/>
    <s v="Sami"/>
    <s v="Qareush"/>
    <s v="Sami Qareush"/>
    <x v="1"/>
    <s v="012-8499-6893"/>
    <x v="3"/>
    <s v="Full Time"/>
    <x v="3"/>
    <x v="1"/>
    <s v="s.qareush@email.com"/>
    <n v="25"/>
    <n v="2"/>
    <n v="2004"/>
    <x v="165"/>
    <n v="21"/>
    <n v="5373"/>
    <n v="537.30000000000007"/>
    <n v="161.19"/>
    <x v="27"/>
    <s v="normal"/>
    <x v="1"/>
  </r>
  <r>
    <n v="1168"/>
    <s v="Kholoud"/>
    <s v="Khayti"/>
    <s v="Kholoud Khayti"/>
    <x v="0"/>
    <s v="011-4876-2753"/>
    <x v="2"/>
    <s v="Full Time"/>
    <x v="2"/>
    <x v="1"/>
    <s v="k.khayti@email.com"/>
    <n v="6"/>
    <n v="10"/>
    <n v="1990"/>
    <x v="166"/>
    <n v="35"/>
    <n v="1391"/>
    <n v="139.1"/>
    <n v="41.73"/>
    <x v="41"/>
    <s v="normal"/>
    <x v="2"/>
  </r>
  <r>
    <n v="1169"/>
    <s v="Kinda"/>
    <s v="Alaqre"/>
    <s v="Kinda Alaqre"/>
    <x v="0"/>
    <s v="012-6018-1350"/>
    <x v="3"/>
    <s v="Contract"/>
    <x v="4"/>
    <x v="1"/>
    <s v="k.alaqre@email.com"/>
    <n v="23"/>
    <n v="10"/>
    <n v="1992"/>
    <x v="167"/>
    <n v="33"/>
    <n v="2528"/>
    <n v="252.8"/>
    <n v="75.84"/>
    <x v="42"/>
    <s v="normal"/>
    <x v="2"/>
  </r>
  <r>
    <n v="1170"/>
    <s v="Ahmad"/>
    <s v="Eurman"/>
    <s v="Ahmad Eurman"/>
    <x v="1"/>
    <s v="011-3219-4732"/>
    <x v="3"/>
    <s v="Contract"/>
    <x v="8"/>
    <x v="0"/>
    <s v="a.eurman@email.com"/>
    <n v="9"/>
    <n v="11"/>
    <n v="2020"/>
    <x v="168"/>
    <n v="5"/>
    <n v="6040"/>
    <n v="604"/>
    <n v="181.2"/>
    <x v="43"/>
    <s v="normal"/>
    <x v="1"/>
  </r>
  <r>
    <n v="1171"/>
    <s v="Abdalhadi"/>
    <s v="Salim"/>
    <s v="Abdalhadi Salim"/>
    <x v="1"/>
    <s v="010-3847-7659"/>
    <x v="0"/>
    <s v="Hourly"/>
    <x v="3"/>
    <x v="3"/>
    <s v="a.salim@email.com"/>
    <n v="15"/>
    <n v="12"/>
    <n v="2009"/>
    <x v="169"/>
    <n v="16"/>
    <n v="3842"/>
    <n v="384.20000000000005"/>
    <n v="115.25999999999999"/>
    <x v="44"/>
    <s v="normal"/>
    <x v="1"/>
  </r>
  <r>
    <n v="1172"/>
    <s v="Alaa"/>
    <s v="Altahhan"/>
    <s v="Alaa Altahhan"/>
    <x v="0"/>
    <s v="012-6825-5299"/>
    <x v="3"/>
    <s v="Full Time"/>
    <x v="4"/>
    <x v="1"/>
    <s v="a.altahhan@email.com"/>
    <n v="6"/>
    <n v="12"/>
    <n v="1992"/>
    <x v="170"/>
    <n v="33"/>
    <n v="1542"/>
    <n v="154.20000000000002"/>
    <n v="46.26"/>
    <x v="45"/>
    <s v="normal"/>
    <x v="2"/>
  </r>
  <r>
    <n v="1173"/>
    <s v="Fadi"/>
    <s v="Shakur"/>
    <s v="Fadi Shakur"/>
    <x v="1"/>
    <s v="010-8676-3364"/>
    <x v="3"/>
    <s v="Half-Time"/>
    <x v="0"/>
    <x v="0"/>
    <s v="f.shakur@email.com"/>
    <n v="8"/>
    <n v="10"/>
    <n v="2011"/>
    <x v="171"/>
    <n v="14"/>
    <n v="3134"/>
    <n v="313.40000000000003"/>
    <n v="94.02"/>
    <x v="46"/>
    <s v="normal"/>
    <x v="2"/>
  </r>
  <r>
    <n v="1174"/>
    <s v="Anas"/>
    <s v="Eabidin"/>
    <s v="Anas Eabidin"/>
    <x v="1"/>
    <s v="011-5676-8426"/>
    <x v="3"/>
    <s v="Contract"/>
    <x v="1"/>
    <x v="1"/>
    <s v="a.eabidin@email.com"/>
    <n v="24"/>
    <n v="4"/>
    <n v="1993"/>
    <x v="172"/>
    <n v="32"/>
    <n v="4921"/>
    <n v="492.1"/>
    <n v="147.63"/>
    <x v="47"/>
    <s v="normal"/>
    <x v="1"/>
  </r>
  <r>
    <n v="1175"/>
    <s v="Asma"/>
    <s v="Sadqawi"/>
    <s v="Asma Sadqawi"/>
    <x v="0"/>
    <s v="011-4598-6245"/>
    <x v="3"/>
    <s v="Contract"/>
    <x v="4"/>
    <x v="0"/>
    <s v="a.sadqawi@email.com"/>
    <n v="21"/>
    <n v="5"/>
    <n v="2008"/>
    <x v="173"/>
    <n v="17"/>
    <n v="1948"/>
    <n v="194.8"/>
    <n v="58.44"/>
    <x v="9"/>
    <s v="normal"/>
    <x v="2"/>
  </r>
  <r>
    <n v="1176"/>
    <s v="Samir"/>
    <s v="Altaynawi"/>
    <s v="Samir Altaynawi"/>
    <x v="1"/>
    <s v="010-4425-4109"/>
    <x v="4"/>
    <s v="Contract"/>
    <x v="1"/>
    <x v="2"/>
    <s v="s.altaynawi@email.com"/>
    <n v="23"/>
    <n v="6"/>
    <n v="2004"/>
    <x v="174"/>
    <n v="21"/>
    <n v="3294"/>
    <n v="329.40000000000003"/>
    <n v="98.82"/>
    <x v="10"/>
    <s v="normal"/>
    <x v="1"/>
  </r>
  <r>
    <n v="1177"/>
    <s v="Lbyb"/>
    <s v="Fahd"/>
    <s v="Lbyb Fahd"/>
    <x v="1"/>
    <s v="012-9063-2072"/>
    <x v="0"/>
    <s v="Hourly"/>
    <x v="4"/>
    <x v="0"/>
    <s v="l.fahd@email.com"/>
    <n v="26"/>
    <n v="7"/>
    <n v="2010"/>
    <x v="175"/>
    <n v="15"/>
    <n v="7123"/>
    <n v="712.30000000000007"/>
    <n v="213.69"/>
    <x v="11"/>
    <s v="over"/>
    <x v="0"/>
  </r>
  <r>
    <n v="1178"/>
    <s v="Salim"/>
    <s v="Aleabd"/>
    <s v="Salim Aleabd"/>
    <x v="1"/>
    <s v="012-3529-7242"/>
    <x v="2"/>
    <s v="Half-Time"/>
    <x v="1"/>
    <x v="3"/>
    <s v="s.aleabd@email.com"/>
    <n v="24"/>
    <n v="6"/>
    <n v="2015"/>
    <x v="176"/>
    <n v="10"/>
    <n v="7236"/>
    <n v="723.6"/>
    <n v="217.07999999999998"/>
    <x v="12"/>
    <s v="over"/>
    <x v="0"/>
  </r>
  <r>
    <n v="1179"/>
    <s v="Abd Alruhmin"/>
    <s v="Allaham"/>
    <s v="Abd Alruhmin Allaham"/>
    <x v="1"/>
    <s v="010-7882-4247"/>
    <x v="0"/>
    <s v="Contract"/>
    <x v="1"/>
    <x v="1"/>
    <s v="a.allaham@email.com"/>
    <n v="4"/>
    <n v="8"/>
    <n v="2004"/>
    <x v="177"/>
    <n v="21"/>
    <n v="6843"/>
    <n v="684.30000000000007"/>
    <n v="205.29"/>
    <x v="13"/>
    <s v="over"/>
    <x v="0"/>
  </r>
  <r>
    <n v="1180"/>
    <s v="Emar"/>
    <s v="Eisaf"/>
    <s v="Emar Eisaf"/>
    <x v="0"/>
    <s v="011-7801-6532"/>
    <x v="0"/>
    <s v="Contract"/>
    <x v="1"/>
    <x v="0"/>
    <s v="e.eisaf@email.com"/>
    <n v="26"/>
    <n v="3"/>
    <n v="2014"/>
    <x v="178"/>
    <n v="11"/>
    <n v="1070"/>
    <n v="107"/>
    <n v="32.1"/>
    <x v="14"/>
    <s v="normal"/>
    <x v="3"/>
  </r>
  <r>
    <n v="1181"/>
    <s v="Sabah"/>
    <s v="Qadish"/>
    <s v="Sabah Qadish"/>
    <x v="0"/>
    <s v="012-4765-6821"/>
    <x v="2"/>
    <s v="Full Time"/>
    <x v="1"/>
    <x v="2"/>
    <s v="s.qadish@email.com"/>
    <n v="27"/>
    <n v="5"/>
    <n v="2013"/>
    <x v="179"/>
    <n v="12"/>
    <n v="1493"/>
    <n v="149.30000000000001"/>
    <n v="44.79"/>
    <x v="15"/>
    <s v="normal"/>
    <x v="2"/>
  </r>
  <r>
    <n v="1182"/>
    <s v="Asra"/>
    <s v="Almisri"/>
    <s v="Asra Almisri"/>
    <x v="0"/>
    <s v="012-5993-9400"/>
    <x v="4"/>
    <s v="Contract"/>
    <x v="1"/>
    <x v="1"/>
    <s v="a.almisri@email.com"/>
    <n v="25"/>
    <n v="3"/>
    <n v="2012"/>
    <x v="180"/>
    <n v="13"/>
    <n v="5857"/>
    <n v="585.70000000000005"/>
    <n v="175.70999999999998"/>
    <x v="16"/>
    <s v="normal"/>
    <x v="1"/>
  </r>
  <r>
    <n v="1183"/>
    <s v="Kinda"/>
    <s v="Zaki"/>
    <s v="Kinda Zaki"/>
    <x v="0"/>
    <s v="010-9205-9480"/>
    <x v="4"/>
    <s v="Full Time"/>
    <x v="4"/>
    <x v="0"/>
    <s v="k.zaki@email.com"/>
    <n v="22"/>
    <n v="9"/>
    <n v="2004"/>
    <x v="181"/>
    <n v="21"/>
    <n v="5278"/>
    <n v="527.80000000000007"/>
    <n v="158.34"/>
    <x v="17"/>
    <s v="normal"/>
    <x v="1"/>
  </r>
  <r>
    <n v="1184"/>
    <s v="Zahir"/>
    <s v="Zarie"/>
    <s v="Zahir Zarie"/>
    <x v="1"/>
    <s v="012-4128-1632"/>
    <x v="0"/>
    <s v="Contract"/>
    <x v="5"/>
    <x v="1"/>
    <s v="z.zarie@email.com"/>
    <n v="21"/>
    <n v="11"/>
    <n v="2018"/>
    <x v="182"/>
    <n v="7"/>
    <n v="5710"/>
    <n v="571"/>
    <n v="171.29999999999998"/>
    <x v="18"/>
    <s v="normal"/>
    <x v="1"/>
  </r>
  <r>
    <n v="1185"/>
    <s v="Bilal"/>
    <s v="Einziin"/>
    <s v="Bilal Einziin"/>
    <x v="1"/>
    <s v="012-4875-4940"/>
    <x v="2"/>
    <s v="Contract"/>
    <x v="2"/>
    <x v="1"/>
    <s v="b.einziin@email.com"/>
    <n v="12"/>
    <n v="2"/>
    <n v="2018"/>
    <x v="183"/>
    <n v="7"/>
    <n v="6145"/>
    <n v="614.5"/>
    <n v="184.35"/>
    <x v="19"/>
    <s v="normal"/>
    <x v="1"/>
  </r>
  <r>
    <n v="1186"/>
    <s v="Abdaleziz"/>
    <s v="Eiwad"/>
    <s v="Abdaleziz Eiwad"/>
    <x v="1"/>
    <s v="011-6743-6035"/>
    <x v="3"/>
    <s v="Half-Time"/>
    <x v="5"/>
    <x v="0"/>
    <s v="a.eiwad@email.com"/>
    <n v="16"/>
    <n v="8"/>
    <n v="1991"/>
    <x v="184"/>
    <n v="34"/>
    <n v="5278"/>
    <n v="527.80000000000007"/>
    <n v="158.34"/>
    <x v="17"/>
    <s v="normal"/>
    <x v="1"/>
  </r>
  <r>
    <n v="1187"/>
    <s v="Alia"/>
    <s v="Maseud"/>
    <s v="Alia Maseud"/>
    <x v="1"/>
    <s v="011-8215-7504"/>
    <x v="0"/>
    <s v="Full Time"/>
    <x v="0"/>
    <x v="0"/>
    <s v="a.maseud@email.com"/>
    <n v="17"/>
    <n v="1"/>
    <n v="1992"/>
    <x v="185"/>
    <n v="34"/>
    <n v="6548"/>
    <n v="654.80000000000007"/>
    <n v="196.44"/>
    <x v="0"/>
    <s v="over"/>
    <x v="0"/>
  </r>
  <r>
    <n v="1188"/>
    <s v="Ahmad"/>
    <s v="Iidris"/>
    <s v="Ahmad Iidris"/>
    <x v="1"/>
    <s v="010-9267-8528"/>
    <x v="1"/>
    <s v="Contract"/>
    <x v="1"/>
    <x v="0"/>
    <s v="a.iidris@email.com"/>
    <n v="3"/>
    <n v="10"/>
    <n v="1998"/>
    <x v="186"/>
    <n v="27"/>
    <n v="7175"/>
    <n v="717.5"/>
    <n v="215.25"/>
    <x v="1"/>
    <s v="over"/>
    <x v="0"/>
  </r>
  <r>
    <n v="1189"/>
    <s v="Sultan"/>
    <s v="Taysir"/>
    <s v="Sultan Taysir"/>
    <x v="1"/>
    <s v="011-7810-6546"/>
    <x v="2"/>
    <s v="Full Time"/>
    <x v="0"/>
    <x v="2"/>
    <s v="s.taysir@email.com"/>
    <n v="26"/>
    <n v="9"/>
    <n v="2017"/>
    <x v="187"/>
    <n v="8"/>
    <n v="4070"/>
    <n v="407"/>
    <n v="122.1"/>
    <x v="2"/>
    <s v="normal"/>
    <x v="1"/>
  </r>
  <r>
    <n v="1190"/>
    <s v="Ayham"/>
    <s v="Sharfah"/>
    <s v="Ayham Sharfah"/>
    <x v="1"/>
    <s v="012-7381-6505"/>
    <x v="0"/>
    <s v="Full Time"/>
    <x v="2"/>
    <x v="2"/>
    <s v="a.sharfah@email.com"/>
    <n v="22"/>
    <n v="10"/>
    <n v="1997"/>
    <x v="188"/>
    <n v="28"/>
    <n v="1906"/>
    <n v="190.60000000000002"/>
    <n v="57.18"/>
    <x v="3"/>
    <s v="normal"/>
    <x v="2"/>
  </r>
  <r>
    <n v="1191"/>
    <s v="Lama"/>
    <s v="Almisri"/>
    <s v="Lama Almisri"/>
    <x v="0"/>
    <s v="012-8382-3141"/>
    <x v="3"/>
    <s v="Full Time"/>
    <x v="2"/>
    <x v="1"/>
    <s v="l.almisri@email.com"/>
    <n v="2"/>
    <n v="4"/>
    <n v="2000"/>
    <x v="189"/>
    <n v="25"/>
    <n v="2600"/>
    <n v="260"/>
    <n v="78"/>
    <x v="4"/>
    <s v="normal"/>
    <x v="2"/>
  </r>
  <r>
    <n v="1192"/>
    <s v="Thayir"/>
    <s v="Hamuwda"/>
    <s v="Thayir Hamuwda"/>
    <x v="1"/>
    <s v="011-7702-3156"/>
    <x v="2"/>
    <s v="Hourly"/>
    <x v="3"/>
    <x v="3"/>
    <s v="t.hamuwda@email.com"/>
    <n v="25"/>
    <n v="10"/>
    <n v="1997"/>
    <x v="190"/>
    <n v="28"/>
    <n v="3753"/>
    <n v="375.3"/>
    <n v="112.58999999999999"/>
    <x v="5"/>
    <s v="normal"/>
    <x v="1"/>
  </r>
  <r>
    <n v="1193"/>
    <s v="Alia"/>
    <s v="Abu"/>
    <s v="Alia Abu"/>
    <x v="0"/>
    <s v="011-6151-9423"/>
    <x v="4"/>
    <s v="Contract"/>
    <x v="4"/>
    <x v="0"/>
    <s v="a.abu@email.com"/>
    <n v="4"/>
    <n v="7"/>
    <n v="2013"/>
    <x v="191"/>
    <n v="12"/>
    <n v="5086"/>
    <n v="508.6"/>
    <n v="152.57999999999998"/>
    <x v="6"/>
    <s v="normal"/>
    <x v="1"/>
  </r>
  <r>
    <n v="1194"/>
    <s v="Lilas"/>
    <s v="Nafae"/>
    <s v="Lilas Nafae"/>
    <x v="0"/>
    <s v="011-6850-8336"/>
    <x v="2"/>
    <s v="Contract"/>
    <x v="0"/>
    <x v="2"/>
    <s v="l.nafae@email.com"/>
    <n v="9"/>
    <n v="10"/>
    <n v="2023"/>
    <x v="192"/>
    <n v="2"/>
    <n v="2431"/>
    <n v="243.10000000000002"/>
    <n v="72.929999999999993"/>
    <x v="7"/>
    <s v="normal"/>
    <x v="2"/>
  </r>
  <r>
    <n v="1195"/>
    <s v="Fahd"/>
    <s v="Shaykh"/>
    <s v="Fahd Shaykh"/>
    <x v="1"/>
    <s v="010-4805-4605"/>
    <x v="3"/>
    <s v="Full Time"/>
    <x v="0"/>
    <x v="1"/>
    <s v="f.shaykh@email.com"/>
    <n v="8"/>
    <n v="3"/>
    <n v="2014"/>
    <x v="131"/>
    <n v="11"/>
    <n v="2955"/>
    <n v="295.5"/>
    <n v="88.649999999999991"/>
    <x v="8"/>
    <s v="normal"/>
    <x v="2"/>
  </r>
  <r>
    <n v="1196"/>
    <s v="Lilas"/>
    <s v="Kashik"/>
    <s v="Lilas Kashik"/>
    <x v="0"/>
    <s v="010-8056-8618"/>
    <x v="3"/>
    <s v="Full Time"/>
    <x v="4"/>
    <x v="2"/>
    <s v="l.kashik@email.com"/>
    <n v="20"/>
    <n v="4"/>
    <n v="2001"/>
    <x v="193"/>
    <n v="24"/>
    <n v="1948"/>
    <n v="194.8"/>
    <n v="58.44"/>
    <x v="9"/>
    <s v="normal"/>
    <x v="2"/>
  </r>
  <r>
    <n v="1197"/>
    <s v="Abd Allah"/>
    <s v="Aldahan"/>
    <s v="Abd Allah Aldahan"/>
    <x v="1"/>
    <s v="012-6737-4198"/>
    <x v="4"/>
    <s v="Contract"/>
    <x v="1"/>
    <x v="0"/>
    <s v="a.aldahan@email.com"/>
    <n v="26"/>
    <n v="1"/>
    <n v="1998"/>
    <x v="194"/>
    <n v="27"/>
    <n v="3294"/>
    <n v="329.40000000000003"/>
    <n v="98.82"/>
    <x v="10"/>
    <s v="normal"/>
    <x v="1"/>
  </r>
  <r>
    <n v="1198"/>
    <s v="Khalid"/>
    <s v="Alkhawam"/>
    <s v="Khalid Alkhawam"/>
    <x v="1"/>
    <s v="011-8147-2986"/>
    <x v="0"/>
    <s v="Contract"/>
    <x v="4"/>
    <x v="0"/>
    <s v="k.alkhawam@email.com"/>
    <n v="26"/>
    <n v="7"/>
    <n v="2017"/>
    <x v="195"/>
    <n v="8"/>
    <n v="7123"/>
    <n v="712.30000000000007"/>
    <n v="213.69"/>
    <x v="11"/>
    <s v="over"/>
    <x v="0"/>
  </r>
  <r>
    <n v="1199"/>
    <s v="Oqba"/>
    <s v="Alqintar"/>
    <s v="Oqba Alqintar"/>
    <x v="1"/>
    <s v="010-7066-5104"/>
    <x v="2"/>
    <s v="Hourly"/>
    <x v="1"/>
    <x v="1"/>
    <s v="o.alqintar@email.com"/>
    <n v="6"/>
    <n v="6"/>
    <n v="2016"/>
    <x v="196"/>
    <n v="9"/>
    <n v="7236"/>
    <n v="723.6"/>
    <n v="217.07999999999998"/>
    <x v="12"/>
    <s v="over"/>
    <x v="0"/>
  </r>
  <r>
    <n v="1200"/>
    <s v="Salah Aldiyn"/>
    <s v="Altibae"/>
    <s v="Salah Aldiyn Altibae"/>
    <x v="1"/>
    <s v="012-6870-3926"/>
    <x v="0"/>
    <s v="Full Time"/>
    <x v="1"/>
    <x v="0"/>
    <s v="s.altibae@email.com"/>
    <n v="20"/>
    <n v="5"/>
    <n v="1999"/>
    <x v="197"/>
    <n v="26"/>
    <n v="6843"/>
    <n v="684.30000000000007"/>
    <n v="205.29"/>
    <x v="13"/>
    <s v="over"/>
    <x v="0"/>
  </r>
  <r>
    <n v="1201"/>
    <s v="Eynas"/>
    <s v="Muhamad"/>
    <s v="Eynas Muhamad"/>
    <x v="0"/>
    <s v="010-6256-6516"/>
    <x v="0"/>
    <s v="Full Time"/>
    <x v="1"/>
    <x v="0"/>
    <s v="e.muhamad@email.com"/>
    <n v="25"/>
    <n v="2"/>
    <n v="2023"/>
    <x v="198"/>
    <n v="2"/>
    <n v="1070"/>
    <n v="107"/>
    <n v="32.1"/>
    <x v="14"/>
    <s v="normal"/>
    <x v="3"/>
  </r>
  <r>
    <n v="1202"/>
    <s v="Madlin"/>
    <s v="Aljabaei"/>
    <s v="Madlin Aljabaei"/>
    <x v="0"/>
    <s v="010-4115-5591"/>
    <x v="2"/>
    <s v="Full Time"/>
    <x v="1"/>
    <x v="1"/>
    <s v="m.aljabaei@email.com"/>
    <n v="7"/>
    <n v="9"/>
    <n v="2011"/>
    <x v="199"/>
    <n v="14"/>
    <n v="1493"/>
    <n v="149.30000000000001"/>
    <n v="44.79"/>
    <x v="15"/>
    <s v="normal"/>
    <x v="2"/>
  </r>
  <r>
    <n v="1203"/>
    <s v="Abdalrhmin"/>
    <s v="Shwk"/>
    <s v="Abdalrhmin Shwk"/>
    <x v="1"/>
    <s v="011-4883-5729"/>
    <x v="4"/>
    <s v="Contract"/>
    <x v="1"/>
    <x v="1"/>
    <s v="a.shwk@email.com"/>
    <n v="24"/>
    <n v="12"/>
    <n v="2001"/>
    <x v="200"/>
    <n v="24"/>
    <n v="5857"/>
    <n v="585.70000000000005"/>
    <n v="175.70999999999998"/>
    <x v="16"/>
    <s v="normal"/>
    <x v="1"/>
  </r>
  <r>
    <n v="1204"/>
    <s v="Ahmad"/>
    <s v="Hamuwdatan"/>
    <s v="Ahmad Hamuwdatan"/>
    <x v="1"/>
    <s v="010-5296-1951"/>
    <x v="4"/>
    <s v="Full Time"/>
    <x v="4"/>
    <x v="1"/>
    <s v="a.hamuwdatan@email.com"/>
    <n v="28"/>
    <n v="5"/>
    <n v="2003"/>
    <x v="201"/>
    <n v="22"/>
    <n v="5278"/>
    <n v="527.80000000000007"/>
    <n v="158.34"/>
    <x v="17"/>
    <s v="normal"/>
    <x v="1"/>
  </r>
  <r>
    <n v="1205"/>
    <s v="Ali"/>
    <s v="Almiqdad"/>
    <s v="Ali Almiqdad"/>
    <x v="1"/>
    <s v="011-8308-1903"/>
    <x v="0"/>
    <s v="Contract"/>
    <x v="5"/>
    <x v="2"/>
    <s v="a.almiqdad@email.com"/>
    <n v="10"/>
    <n v="9"/>
    <n v="1995"/>
    <x v="202"/>
    <n v="30"/>
    <n v="5710"/>
    <n v="571"/>
    <n v="171.29999999999998"/>
    <x v="18"/>
    <s v="normal"/>
    <x v="1"/>
  </r>
  <r>
    <n v="1206"/>
    <s v="Samah"/>
    <s v="Alkhatib"/>
    <s v="Samah Alkhatib"/>
    <x v="0"/>
    <s v="010-8718-6735"/>
    <x v="2"/>
    <s v="Full Time"/>
    <x v="2"/>
    <x v="0"/>
    <s v="s.alkhatib@email.com"/>
    <n v="12"/>
    <n v="1"/>
    <n v="2011"/>
    <x v="203"/>
    <n v="15"/>
    <n v="6145"/>
    <n v="614.5"/>
    <n v="184.35"/>
    <x v="19"/>
    <s v="normal"/>
    <x v="1"/>
  </r>
  <r>
    <n v="1207"/>
    <s v="Sami"/>
    <s v="Alsyd Ahmad"/>
    <s v="Sami Alsyd Ahmad"/>
    <x v="1"/>
    <s v="012-4564-1249"/>
    <x v="3"/>
    <s v="Half-Time"/>
    <x v="5"/>
    <x v="0"/>
    <s v="s.alsyd ahmad@email.com"/>
    <n v="18"/>
    <n v="5"/>
    <n v="1990"/>
    <x v="204"/>
    <n v="35"/>
    <n v="5278"/>
    <n v="527.80000000000007"/>
    <n v="158.34"/>
    <x v="17"/>
    <s v="normal"/>
    <x v="1"/>
  </r>
  <r>
    <n v="1208"/>
    <s v="Abd Alwahhab"/>
    <s v="Aldhiyab"/>
    <s v="Abd Alwahhab Aldhiyab"/>
    <x v="1"/>
    <s v="012-6377-6546"/>
    <x v="3"/>
    <s v="Hourly"/>
    <x v="0"/>
    <x v="0"/>
    <s v="a.aldhiyab@email.com"/>
    <n v="16"/>
    <n v="10"/>
    <n v="2021"/>
    <x v="205"/>
    <n v="4"/>
    <n v="6409"/>
    <n v="640.90000000000009"/>
    <n v="192.26999999999998"/>
    <x v="20"/>
    <s v="normal"/>
    <x v="1"/>
  </r>
  <r>
    <n v="1209"/>
    <s v="Muwmin"/>
    <s v="Almujahid"/>
    <s v="Muwmin Almujahid"/>
    <x v="1"/>
    <s v="010-5973-4026"/>
    <x v="2"/>
    <s v="Full Time"/>
    <x v="0"/>
    <x v="2"/>
    <s v="m.almujahid@email.com"/>
    <n v="18"/>
    <n v="11"/>
    <n v="1996"/>
    <x v="206"/>
    <n v="29"/>
    <n v="7478"/>
    <n v="747.80000000000007"/>
    <n v="224.34"/>
    <x v="21"/>
    <s v="over"/>
    <x v="0"/>
  </r>
  <r>
    <n v="1210"/>
    <s v="Ruba"/>
    <s v="Alhumwi"/>
    <s v="Ruba Alhumwi"/>
    <x v="0"/>
    <s v="012-6584-8204"/>
    <x v="0"/>
    <s v="Full Time"/>
    <x v="0"/>
    <x v="0"/>
    <s v="r.alhumwi@email.com"/>
    <n v="5"/>
    <n v="4"/>
    <n v="1991"/>
    <x v="207"/>
    <n v="34"/>
    <n v="4621"/>
    <n v="462.1"/>
    <n v="138.63"/>
    <x v="22"/>
    <s v="normal"/>
    <x v="1"/>
  </r>
  <r>
    <n v="1211"/>
    <s v="Husayn"/>
    <s v="Hawria"/>
    <s v="Husayn Hawria"/>
    <x v="1"/>
    <s v="012-6445-5004"/>
    <x v="3"/>
    <s v="Contract"/>
    <x v="6"/>
    <x v="1"/>
    <s v="h.hawria@email.com"/>
    <n v="1"/>
    <n v="2"/>
    <n v="2019"/>
    <x v="208"/>
    <n v="6"/>
    <n v="2093"/>
    <n v="209.3"/>
    <n v="62.79"/>
    <x v="23"/>
    <s v="normal"/>
    <x v="2"/>
  </r>
  <r>
    <n v="1212"/>
    <s v="Iman"/>
    <s v="Ghrz Aldiyn"/>
    <s v="Iman Ghrz Aldiyn"/>
    <x v="0"/>
    <s v="011-7009-9209"/>
    <x v="0"/>
    <s v="Contract"/>
    <x v="4"/>
    <x v="0"/>
    <s v="i.ghrz aldiyn@email.com"/>
    <n v="24"/>
    <n v="8"/>
    <n v="1995"/>
    <x v="209"/>
    <n v="30"/>
    <n v="7333"/>
    <n v="733.30000000000007"/>
    <n v="219.98999999999998"/>
    <x v="24"/>
    <s v="over"/>
    <x v="0"/>
  </r>
  <r>
    <n v="1213"/>
    <s v="Sari"/>
    <s v="Hanna"/>
    <s v="Sari Hanna"/>
    <x v="1"/>
    <s v="010-6003-2778"/>
    <x v="3"/>
    <s v="Full Time"/>
    <x v="2"/>
    <x v="1"/>
    <s v="s.hanna@email.com"/>
    <n v="17"/>
    <n v="4"/>
    <n v="1996"/>
    <x v="210"/>
    <n v="29"/>
    <n v="1194"/>
    <n v="119.4"/>
    <n v="35.82"/>
    <x v="25"/>
    <s v="normal"/>
    <x v="2"/>
  </r>
  <r>
    <n v="1214"/>
    <s v="Khalil"/>
    <s v="Alkalu"/>
    <s v="Khalil Alkalu"/>
    <x v="1"/>
    <s v="011-6622-2432"/>
    <x v="1"/>
    <s v="Full Time"/>
    <x v="2"/>
    <x v="3"/>
    <s v="k.alkalu@email.com"/>
    <n v="9"/>
    <n v="2"/>
    <n v="2002"/>
    <x v="211"/>
    <n v="23"/>
    <n v="5118"/>
    <n v="511.8"/>
    <n v="153.54"/>
    <x v="26"/>
    <s v="normal"/>
    <x v="1"/>
  </r>
  <r>
    <n v="1215"/>
    <s v="Iilian"/>
    <s v="Dbs"/>
    <s v="Iilian Dbs"/>
    <x v="0"/>
    <s v="011-8648-5784"/>
    <x v="3"/>
    <s v="Hourly"/>
    <x v="7"/>
    <x v="1"/>
    <s v="i.dbs@email.com"/>
    <n v="13"/>
    <n v="1"/>
    <n v="1996"/>
    <x v="212"/>
    <n v="30"/>
    <n v="5373"/>
    <n v="537.30000000000007"/>
    <n v="161.19"/>
    <x v="27"/>
    <s v="normal"/>
    <x v="1"/>
  </r>
  <r>
    <n v="1216"/>
    <s v="Sami"/>
    <s v="Alkhayrat"/>
    <s v="Sami Alkhayrat"/>
    <x v="1"/>
    <s v="012-7268-9818"/>
    <x v="3"/>
    <s v="Full Time"/>
    <x v="8"/>
    <x v="1"/>
    <s v="s.alkhayrat@email.com"/>
    <n v="23"/>
    <n v="3"/>
    <n v="2005"/>
    <x v="213"/>
    <n v="20"/>
    <n v="1708"/>
    <n v="170.8"/>
    <n v="51.239999999999995"/>
    <x v="28"/>
    <s v="normal"/>
    <x v="2"/>
  </r>
  <r>
    <n v="1217"/>
    <s v="Darar"/>
    <s v="Alshiyraziu"/>
    <s v="Darar Alshiyraziu"/>
    <x v="1"/>
    <s v="011-3297-5880"/>
    <x v="4"/>
    <s v="Half-Time"/>
    <x v="4"/>
    <x v="0"/>
    <s v="d.alshiyraziu@email.com"/>
    <n v="5"/>
    <n v="1"/>
    <n v="2016"/>
    <x v="214"/>
    <n v="10"/>
    <n v="2898"/>
    <n v="289.8"/>
    <n v="86.94"/>
    <x v="29"/>
    <s v="normal"/>
    <x v="2"/>
  </r>
  <r>
    <n v="1218"/>
    <s v="Tariq"/>
    <s v="Shakir"/>
    <s v="Tariq Shakir"/>
    <x v="1"/>
    <s v="010-3441-3185"/>
    <x v="1"/>
    <s v="Full Time"/>
    <x v="5"/>
    <x v="1"/>
    <s v="t.shakir@email.com"/>
    <n v="6"/>
    <n v="11"/>
    <n v="2010"/>
    <x v="215"/>
    <n v="15"/>
    <n v="6211"/>
    <n v="621.1"/>
    <n v="186.32999999999998"/>
    <x v="30"/>
    <s v="normal"/>
    <x v="1"/>
  </r>
  <r>
    <n v="1219"/>
    <s v="Fayaruz"/>
    <s v="Sabih"/>
    <s v="Fayaruz Sabih"/>
    <x v="0"/>
    <s v="010-4098-4704"/>
    <x v="4"/>
    <s v="Contract"/>
    <x v="0"/>
    <x v="3"/>
    <s v="f.sabih@email.com"/>
    <n v="17"/>
    <n v="9"/>
    <n v="2018"/>
    <x v="216"/>
    <n v="7"/>
    <n v="5976"/>
    <n v="597.6"/>
    <n v="179.28"/>
    <x v="31"/>
    <s v="normal"/>
    <x v="1"/>
  </r>
  <r>
    <n v="1220"/>
    <s v="Alaa"/>
    <s v="Efan"/>
    <s v="Alaa Efan"/>
    <x v="0"/>
    <s v="012-7416-3427"/>
    <x v="4"/>
    <s v="Contract"/>
    <x v="0"/>
    <x v="2"/>
    <s v="a.efan@email.com"/>
    <n v="19"/>
    <n v="7"/>
    <n v="1992"/>
    <x v="217"/>
    <n v="33"/>
    <n v="742"/>
    <n v="74.2"/>
    <n v="22.259999999999998"/>
    <x v="32"/>
    <s v="normal"/>
    <x v="3"/>
  </r>
  <r>
    <n v="1221"/>
    <s v="Tariq"/>
    <s v="Salim"/>
    <s v="Tariq Salim"/>
    <x v="1"/>
    <s v="010-4031-6016"/>
    <x v="2"/>
    <s v="Full Time"/>
    <x v="6"/>
    <x v="3"/>
    <s v="t.salim@email.com"/>
    <n v="9"/>
    <n v="9"/>
    <n v="2014"/>
    <x v="218"/>
    <n v="11"/>
    <n v="5918"/>
    <n v="591.80000000000007"/>
    <n v="177.54"/>
    <x v="33"/>
    <s v="normal"/>
    <x v="1"/>
  </r>
  <r>
    <n v="1222"/>
    <s v="Rim"/>
    <s v="Mia"/>
    <s v="Rim Mia"/>
    <x v="0"/>
    <s v="012-3563-5092"/>
    <x v="2"/>
    <s v="Contract"/>
    <x v="2"/>
    <x v="1"/>
    <s v="r.mia@email.com"/>
    <n v="15"/>
    <n v="6"/>
    <n v="1996"/>
    <x v="219"/>
    <n v="29"/>
    <n v="3074"/>
    <n v="307.40000000000003"/>
    <n v="92.22"/>
    <x v="34"/>
    <s v="normal"/>
    <x v="2"/>
  </r>
  <r>
    <n v="1223"/>
    <s v="Abdalmjid"/>
    <s v="Ahmad"/>
    <s v="Abdalmjid Ahmad"/>
    <x v="1"/>
    <s v="011-3394-9741"/>
    <x v="4"/>
    <s v="Full Time"/>
    <x v="0"/>
    <x v="3"/>
    <s v="a.ahmad@email.com"/>
    <n v="7"/>
    <n v="8"/>
    <n v="2007"/>
    <x v="220"/>
    <n v="18"/>
    <n v="5688"/>
    <n v="568.80000000000007"/>
    <n v="170.64"/>
    <x v="35"/>
    <s v="normal"/>
    <x v="1"/>
  </r>
  <r>
    <n v="1224"/>
    <s v="Zakarian"/>
    <s v="Rashwani"/>
    <s v="Zakarian Rashwani"/>
    <x v="1"/>
    <s v="012-8612-6174"/>
    <x v="2"/>
    <s v="Half-Time"/>
    <x v="0"/>
    <x v="0"/>
    <s v="z.rashwani@email.com"/>
    <n v="2"/>
    <n v="9"/>
    <n v="2001"/>
    <x v="221"/>
    <n v="24"/>
    <n v="3362"/>
    <n v="336.20000000000005"/>
    <n v="100.86"/>
    <x v="36"/>
    <s v="normal"/>
    <x v="1"/>
  </r>
  <r>
    <n v="1225"/>
    <s v="Madlin"/>
    <s v="Saeid"/>
    <s v="Madlin Saeid"/>
    <x v="0"/>
    <s v="012-5009-9348"/>
    <x v="3"/>
    <s v="Contract"/>
    <x v="0"/>
    <x v="1"/>
    <s v="m.saeid@email.com"/>
    <n v="11"/>
    <n v="2"/>
    <n v="2017"/>
    <x v="222"/>
    <n v="8"/>
    <n v="6043"/>
    <n v="604.30000000000007"/>
    <n v="181.29"/>
    <x v="37"/>
    <s v="normal"/>
    <x v="1"/>
  </r>
  <r>
    <n v="1226"/>
    <s v="Ahmad"/>
    <s v="Salih"/>
    <s v="Ahmad Salih"/>
    <x v="1"/>
    <s v="010-4202-7248"/>
    <x v="3"/>
    <s v="Full Time"/>
    <x v="0"/>
    <x v="1"/>
    <s v="a.salih@email.com"/>
    <n v="20"/>
    <n v="1"/>
    <n v="1992"/>
    <x v="223"/>
    <n v="34"/>
    <n v="6260"/>
    <n v="626"/>
    <n v="187.79999999999998"/>
    <x v="38"/>
    <s v="normal"/>
    <x v="1"/>
  </r>
  <r>
    <n v="1227"/>
    <s v="Majdy"/>
    <s v="Rafaea"/>
    <s v="Majdy Rafaea"/>
    <x v="1"/>
    <s v="012-5321-6124"/>
    <x v="3"/>
    <s v="Full Time"/>
    <x v="0"/>
    <x v="3"/>
    <s v="m.rafaea@email.com"/>
    <n v="17"/>
    <n v="7"/>
    <n v="2017"/>
    <x v="224"/>
    <n v="8"/>
    <n v="3754"/>
    <n v="375.40000000000003"/>
    <n v="112.61999999999999"/>
    <x v="39"/>
    <s v="normal"/>
    <x v="1"/>
  </r>
  <r>
    <n v="1228"/>
    <s v="Majdulyn"/>
    <s v="Alhakim"/>
    <s v="Majdulyn Alhakim"/>
    <x v="0"/>
    <s v="012-8230-1666"/>
    <x v="2"/>
    <s v="Half-Time"/>
    <x v="1"/>
    <x v="1"/>
    <s v="m.alhakim@email.com"/>
    <n v="21"/>
    <n v="11"/>
    <n v="2013"/>
    <x v="225"/>
    <n v="12"/>
    <n v="6579"/>
    <n v="657.90000000000009"/>
    <n v="197.37"/>
    <x v="40"/>
    <s v="over"/>
    <x v="0"/>
  </r>
  <r>
    <n v="1229"/>
    <s v="Omar"/>
    <s v="Zarzur"/>
    <s v="Omar Zarzur"/>
    <x v="1"/>
    <s v="011-4343-4987"/>
    <x v="3"/>
    <s v="Half-Time"/>
    <x v="3"/>
    <x v="1"/>
    <s v="o.zarzur@email.com"/>
    <n v="23"/>
    <n v="10"/>
    <n v="2012"/>
    <x v="226"/>
    <n v="13"/>
    <n v="5373"/>
    <n v="537.30000000000007"/>
    <n v="161.19"/>
    <x v="27"/>
    <s v="normal"/>
    <x v="1"/>
  </r>
  <r>
    <n v="1230"/>
    <s v="Fatin"/>
    <s v="Red"/>
    <s v="Fatin Red"/>
    <x v="0"/>
    <s v="010-4171-3904"/>
    <x v="2"/>
    <s v="Contract"/>
    <x v="2"/>
    <x v="0"/>
    <s v="f.red@email.com"/>
    <n v="7"/>
    <n v="9"/>
    <n v="1995"/>
    <x v="227"/>
    <n v="30"/>
    <n v="1391"/>
    <n v="139.1"/>
    <n v="41.73"/>
    <x v="41"/>
    <s v="normal"/>
    <x v="2"/>
  </r>
  <r>
    <n v="1231"/>
    <s v="Ahmad"/>
    <s v="Ezqul"/>
    <s v="Ahmad Ezqul"/>
    <x v="1"/>
    <s v="012-5315-7518"/>
    <x v="3"/>
    <s v="Contract"/>
    <x v="4"/>
    <x v="0"/>
    <s v="a.ezqul@email.com"/>
    <n v="1"/>
    <n v="7"/>
    <n v="2019"/>
    <x v="228"/>
    <n v="6"/>
    <n v="2528"/>
    <n v="252.8"/>
    <n v="75.84"/>
    <x v="42"/>
    <s v="normal"/>
    <x v="2"/>
  </r>
  <r>
    <n v="1232"/>
    <s v="Sayf Aldiyn"/>
    <s v="Alkmshh"/>
    <s v="Sayf Aldiyn Alkmshh"/>
    <x v="1"/>
    <s v="012-6693-7188"/>
    <x v="3"/>
    <s v="Full Time"/>
    <x v="8"/>
    <x v="3"/>
    <s v="s.alkmshh@email.com"/>
    <n v="3"/>
    <n v="9"/>
    <n v="1997"/>
    <x v="229"/>
    <n v="28"/>
    <n v="6040"/>
    <n v="604"/>
    <n v="181.2"/>
    <x v="43"/>
    <s v="normal"/>
    <x v="1"/>
  </r>
  <r>
    <n v="1233"/>
    <s v="Sharihan"/>
    <s v="Rihan"/>
    <s v="Sharihan Rihan"/>
    <x v="0"/>
    <s v="011-3613-8582"/>
    <x v="0"/>
    <s v="Contract"/>
    <x v="3"/>
    <x v="1"/>
    <s v="s.rihan@email.com"/>
    <n v="10"/>
    <n v="10"/>
    <n v="1990"/>
    <x v="230"/>
    <n v="35"/>
    <n v="3842"/>
    <n v="384.20000000000005"/>
    <n v="115.25999999999999"/>
    <x v="44"/>
    <s v="normal"/>
    <x v="1"/>
  </r>
  <r>
    <n v="1234"/>
    <s v="Ahmad"/>
    <s v="Alshalaq"/>
    <s v="Ahmad Alshalaq"/>
    <x v="1"/>
    <s v="012-9010-6036"/>
    <x v="3"/>
    <s v="Full Time"/>
    <x v="4"/>
    <x v="0"/>
    <s v="a.alshalaq@email.com"/>
    <n v="9"/>
    <n v="1"/>
    <n v="2010"/>
    <x v="231"/>
    <n v="16"/>
    <n v="1542"/>
    <n v="154.20000000000002"/>
    <n v="46.26"/>
    <x v="45"/>
    <s v="normal"/>
    <x v="2"/>
  </r>
  <r>
    <n v="1235"/>
    <s v="Rannym"/>
    <s v="Tyru"/>
    <s v="Rannym Tyru"/>
    <x v="0"/>
    <s v="010-3262-1469"/>
    <x v="3"/>
    <s v="Full Time"/>
    <x v="0"/>
    <x v="2"/>
    <s v="r.tyru@email.com"/>
    <n v="15"/>
    <n v="2"/>
    <n v="2012"/>
    <x v="232"/>
    <n v="13"/>
    <n v="3134"/>
    <n v="313.40000000000003"/>
    <n v="94.02"/>
    <x v="46"/>
    <s v="normal"/>
    <x v="2"/>
  </r>
  <r>
    <n v="1236"/>
    <s v="Majd"/>
    <s v="Abuhamd"/>
    <s v="Majd Abuhamd"/>
    <x v="0"/>
    <s v="011-8102-7577"/>
    <x v="3"/>
    <s v="Full Time"/>
    <x v="1"/>
    <x v="1"/>
    <s v="m.abuhamd@email.com"/>
    <n v="11"/>
    <n v="6"/>
    <n v="2012"/>
    <x v="233"/>
    <n v="13"/>
    <n v="4921"/>
    <n v="492.1"/>
    <n v="147.63"/>
    <x v="47"/>
    <s v="normal"/>
    <x v="1"/>
  </r>
  <r>
    <n v="1237"/>
    <s v="Diea"/>
    <s v="Sharina"/>
    <s v="Diea Sharina"/>
    <x v="1"/>
    <s v="012-7274-7637"/>
    <x v="3"/>
    <s v="Full Time"/>
    <x v="4"/>
    <x v="0"/>
    <s v="d.sharina@email.com"/>
    <n v="22"/>
    <n v="4"/>
    <n v="2017"/>
    <x v="234"/>
    <n v="8"/>
    <n v="1948"/>
    <n v="194.8"/>
    <n v="58.44"/>
    <x v="9"/>
    <s v="normal"/>
    <x v="2"/>
  </r>
  <r>
    <n v="1238"/>
    <s v="Jablah"/>
    <s v="Alsulayman"/>
    <s v="Jablah Alsulayman"/>
    <x v="0"/>
    <s v="010-4270-6948"/>
    <x v="4"/>
    <s v="Contract"/>
    <x v="1"/>
    <x v="0"/>
    <s v="j.alsulayman@email.com"/>
    <n v="28"/>
    <n v="2"/>
    <n v="1990"/>
    <x v="235"/>
    <n v="35"/>
    <n v="3294"/>
    <n v="329.40000000000003"/>
    <n v="98.82"/>
    <x v="10"/>
    <s v="normal"/>
    <x v="1"/>
  </r>
  <r>
    <n v="1239"/>
    <s v="Lylas"/>
    <s v="Shiah"/>
    <s v="Lylas Shiah"/>
    <x v="0"/>
    <s v="010-5046-2000"/>
    <x v="0"/>
    <s v="Full Time"/>
    <x v="4"/>
    <x v="3"/>
    <s v="l.shiah@email.com"/>
    <n v="11"/>
    <n v="6"/>
    <n v="2002"/>
    <x v="236"/>
    <n v="23"/>
    <n v="7123"/>
    <n v="712.30000000000007"/>
    <n v="213.69"/>
    <x v="11"/>
    <s v="over"/>
    <x v="0"/>
  </r>
  <r>
    <n v="1240"/>
    <s v="Ahmad"/>
    <s v="Hamuwd"/>
    <s v="Ahmad Hamuwd"/>
    <x v="1"/>
    <s v="012-6661-8827"/>
    <x v="2"/>
    <s v="Contract"/>
    <x v="1"/>
    <x v="3"/>
    <s v="a.hamuwd@email.com"/>
    <n v="22"/>
    <n v="5"/>
    <n v="2014"/>
    <x v="237"/>
    <n v="11"/>
    <n v="7236"/>
    <n v="723.6"/>
    <n v="217.07999999999998"/>
    <x v="12"/>
    <s v="over"/>
    <x v="0"/>
  </r>
  <r>
    <n v="1241"/>
    <s v="Imran"/>
    <s v="Hazruma"/>
    <s v="Imran Hazruma"/>
    <x v="1"/>
    <s v="010-3859-2784"/>
    <x v="0"/>
    <s v="Contract"/>
    <x v="1"/>
    <x v="2"/>
    <s v="i.hazruma@email.com"/>
    <n v="10"/>
    <n v="12"/>
    <n v="1991"/>
    <x v="238"/>
    <n v="34"/>
    <n v="6843"/>
    <n v="684.30000000000007"/>
    <n v="205.29"/>
    <x v="13"/>
    <s v="over"/>
    <x v="0"/>
  </r>
  <r>
    <n v="1242"/>
    <s v="Samir"/>
    <s v="Alhaj Ali"/>
    <s v="Samir Alhaj Ali"/>
    <x v="1"/>
    <s v="011-4462-4371"/>
    <x v="0"/>
    <s v="Full Time"/>
    <x v="1"/>
    <x v="0"/>
    <s v="s.alhaj ali@email.com"/>
    <n v="15"/>
    <n v="9"/>
    <n v="2022"/>
    <x v="239"/>
    <n v="3"/>
    <n v="1070"/>
    <n v="107"/>
    <n v="32.1"/>
    <x v="14"/>
    <s v="normal"/>
    <x v="3"/>
  </r>
  <r>
    <n v="1243"/>
    <s v="Shadi"/>
    <s v="Altibae"/>
    <s v="Shadi Altibae"/>
    <x v="1"/>
    <s v="010-5603-9141"/>
    <x v="2"/>
    <s v="Full Time"/>
    <x v="1"/>
    <x v="1"/>
    <s v="s.altibae@email.com"/>
    <n v="18"/>
    <n v="12"/>
    <n v="2017"/>
    <x v="240"/>
    <n v="8"/>
    <n v="1493"/>
    <n v="149.30000000000001"/>
    <n v="44.79"/>
    <x v="15"/>
    <s v="normal"/>
    <x v="2"/>
  </r>
  <r>
    <n v="1244"/>
    <s v="Husam"/>
    <s v="Aldubus"/>
    <s v="Husam Aldubus"/>
    <x v="1"/>
    <s v="010-6131-6907"/>
    <x v="4"/>
    <s v="Contract"/>
    <x v="1"/>
    <x v="3"/>
    <s v="h.aldubus@email.com"/>
    <n v="21"/>
    <n v="7"/>
    <n v="2000"/>
    <x v="241"/>
    <n v="25"/>
    <n v="5857"/>
    <n v="585.70000000000005"/>
    <n v="175.70999999999998"/>
    <x v="16"/>
    <s v="normal"/>
    <x v="1"/>
  </r>
  <r>
    <n v="1245"/>
    <s v="Sultan"/>
    <s v="Alhijar"/>
    <s v="Sultan Alhijar"/>
    <x v="1"/>
    <s v="010-7064-6260"/>
    <x v="4"/>
    <s v="Full Time"/>
    <x v="4"/>
    <x v="2"/>
    <s v="s.alhijar@email.com"/>
    <n v="3"/>
    <n v="12"/>
    <n v="2002"/>
    <x v="242"/>
    <n v="23"/>
    <n v="5278"/>
    <n v="527.80000000000007"/>
    <n v="158.34"/>
    <x v="17"/>
    <s v="normal"/>
    <x v="1"/>
  </r>
  <r>
    <n v="1246"/>
    <s v="Anwar"/>
    <s v="Alkhayran"/>
    <s v="Anwar Alkhayran"/>
    <x v="1"/>
    <s v="012-5060-6728"/>
    <x v="0"/>
    <s v="Contract"/>
    <x v="5"/>
    <x v="1"/>
    <s v="a.alkhayran@email.com"/>
    <n v="14"/>
    <n v="6"/>
    <n v="1994"/>
    <x v="243"/>
    <n v="31"/>
    <n v="5710"/>
    <n v="571"/>
    <n v="171.29999999999998"/>
    <x v="18"/>
    <s v="normal"/>
    <x v="1"/>
  </r>
  <r>
    <n v="1247"/>
    <s v="Rwad"/>
    <s v="Alddahir"/>
    <s v="Rwad Alddahir"/>
    <x v="0"/>
    <s v="010-4633-6247"/>
    <x v="2"/>
    <s v="Full Time"/>
    <x v="2"/>
    <x v="1"/>
    <s v="r.alddahir@email.com"/>
    <n v="25"/>
    <n v="7"/>
    <n v="2022"/>
    <x v="244"/>
    <n v="3"/>
    <n v="6145"/>
    <n v="614.5"/>
    <n v="184.35"/>
    <x v="19"/>
    <s v="normal"/>
    <x v="1"/>
  </r>
  <r>
    <n v="1248"/>
    <s v="Jury"/>
    <s v="Eabuwd"/>
    <s v="Jury Eabuwd"/>
    <x v="0"/>
    <s v="010-8481-4566"/>
    <x v="3"/>
    <s v="Half-Time"/>
    <x v="5"/>
    <x v="1"/>
    <s v="j.eabuwd@email.com"/>
    <n v="4"/>
    <n v="6"/>
    <n v="2003"/>
    <x v="245"/>
    <n v="22"/>
    <n v="5278"/>
    <n v="527.80000000000007"/>
    <n v="158.34"/>
    <x v="17"/>
    <s v="normal"/>
    <x v="1"/>
  </r>
  <r>
    <n v="1249"/>
    <s v="Iin"/>
    <s v="Bitahish"/>
    <s v="Iin Bitahish"/>
    <x v="0"/>
    <s v="010-5179-5026"/>
    <x v="0"/>
    <s v="Contract"/>
    <x v="0"/>
    <x v="0"/>
    <s v="i.bitahish@email.com"/>
    <n v="15"/>
    <n v="7"/>
    <n v="2002"/>
    <x v="246"/>
    <n v="23"/>
    <n v="6548"/>
    <n v="654.80000000000007"/>
    <n v="196.44"/>
    <x v="0"/>
    <s v="over"/>
    <x v="0"/>
  </r>
  <r>
    <n v="1250"/>
    <s v="Iin"/>
    <s v="Murad"/>
    <s v="Iin Murad"/>
    <x v="0"/>
    <s v="011-4020-5012"/>
    <x v="1"/>
    <s v="Full Time"/>
    <x v="1"/>
    <x v="3"/>
    <s v="i.murad@email.com"/>
    <n v="26"/>
    <n v="10"/>
    <n v="2012"/>
    <x v="247"/>
    <n v="13"/>
    <n v="7175"/>
    <n v="717.5"/>
    <n v="215.25"/>
    <x v="1"/>
    <s v="over"/>
    <x v="0"/>
  </r>
  <r>
    <n v="1251"/>
    <s v="Qays"/>
    <s v="Dahna"/>
    <s v="Qays Dahna"/>
    <x v="1"/>
    <s v="012-6836-5944"/>
    <x v="2"/>
    <s v="Contract"/>
    <x v="0"/>
    <x v="1"/>
    <s v="q.dahna@email.com"/>
    <n v="2"/>
    <n v="1"/>
    <n v="2008"/>
    <x v="248"/>
    <n v="18"/>
    <n v="4070"/>
    <n v="407"/>
    <n v="122.1"/>
    <x v="2"/>
    <s v="normal"/>
    <x v="1"/>
  </r>
  <r>
    <n v="1252"/>
    <s v="Omaimah"/>
    <s v="Tqi Aldiyn"/>
    <s v="Omaimah Tqi Aldiyn"/>
    <x v="0"/>
    <s v="012-8181-6529"/>
    <x v="0"/>
    <s v="Half-Time"/>
    <x v="2"/>
    <x v="0"/>
    <s v="o.tqi aldiyn@email.com"/>
    <n v="16"/>
    <n v="1"/>
    <n v="2008"/>
    <x v="249"/>
    <n v="18"/>
    <n v="1906"/>
    <n v="190.60000000000002"/>
    <n v="57.18"/>
    <x v="3"/>
    <s v="normal"/>
    <x v="2"/>
  </r>
  <r>
    <n v="1253"/>
    <s v="Ismaeil"/>
    <s v="Jdwe"/>
    <s v="Ismaeil Jdwe"/>
    <x v="1"/>
    <s v="010-9221-7753"/>
    <x v="3"/>
    <s v="Hourly"/>
    <x v="2"/>
    <x v="1"/>
    <s v="i.jdwe@email.com"/>
    <n v="12"/>
    <n v="3"/>
    <n v="1991"/>
    <x v="250"/>
    <n v="34"/>
    <n v="2600"/>
    <n v="260"/>
    <n v="78"/>
    <x v="4"/>
    <s v="normal"/>
    <x v="2"/>
  </r>
  <r>
    <n v="1254"/>
    <s v="Lina"/>
    <s v="Wayly"/>
    <s v="Lina Wayly"/>
    <x v="0"/>
    <s v="012-4849-7147"/>
    <x v="2"/>
    <s v="Contract"/>
    <x v="3"/>
    <x v="0"/>
    <s v="l.wayly@email.com"/>
    <n v="9"/>
    <n v="6"/>
    <n v="2015"/>
    <x v="251"/>
    <n v="10"/>
    <n v="3753"/>
    <n v="375.3"/>
    <n v="112.58999999999999"/>
    <x v="5"/>
    <s v="normal"/>
    <x v="1"/>
  </r>
  <r>
    <n v="1255"/>
    <s v="Ruba"/>
    <s v="Alsiraj"/>
    <s v="Ruba Alsiraj"/>
    <x v="0"/>
    <s v="010-7196-4254"/>
    <x v="4"/>
    <s v="Full Time"/>
    <x v="4"/>
    <x v="2"/>
    <s v="r.alsiraj@email.com"/>
    <n v="24"/>
    <n v="4"/>
    <n v="1991"/>
    <x v="252"/>
    <n v="34"/>
    <n v="5086"/>
    <n v="508.6"/>
    <n v="152.57999999999998"/>
    <x v="6"/>
    <s v="normal"/>
    <x v="1"/>
  </r>
  <r>
    <n v="1256"/>
    <s v="Lawy"/>
    <s v="Nadaf"/>
    <s v="Lawy Nadaf"/>
    <x v="1"/>
    <s v="011-4864-9697"/>
    <x v="2"/>
    <s v="Full Time"/>
    <x v="0"/>
    <x v="0"/>
    <s v="l.nadaf@email.com"/>
    <n v="22"/>
    <n v="5"/>
    <n v="2006"/>
    <x v="253"/>
    <n v="19"/>
    <n v="2431"/>
    <n v="243.10000000000002"/>
    <n v="72.929999999999993"/>
    <x v="7"/>
    <s v="normal"/>
    <x v="2"/>
  </r>
  <r>
    <n v="1257"/>
    <s v="Tamadur"/>
    <s v="Barghuth"/>
    <s v="Tamadur Barghuth"/>
    <x v="0"/>
    <s v="010-4920-6601"/>
    <x v="3"/>
    <s v="Hourly"/>
    <x v="0"/>
    <x v="3"/>
    <s v="t.barghuth@email.com"/>
    <n v="9"/>
    <n v="10"/>
    <n v="1992"/>
    <x v="254"/>
    <n v="33"/>
    <n v="2955"/>
    <n v="295.5"/>
    <n v="88.649999999999991"/>
    <x v="8"/>
    <s v="normal"/>
    <x v="2"/>
  </r>
  <r>
    <n v="1258"/>
    <s v="Diea"/>
    <s v="Jazar"/>
    <s v="Diea Jazar"/>
    <x v="1"/>
    <s v="010-4957-8947"/>
    <x v="3"/>
    <s v="Full Time"/>
    <x v="4"/>
    <x v="1"/>
    <s v="d.jazar@email.com"/>
    <n v="25"/>
    <n v="11"/>
    <n v="2020"/>
    <x v="255"/>
    <n v="5"/>
    <n v="1948"/>
    <n v="194.8"/>
    <n v="58.44"/>
    <x v="9"/>
    <s v="normal"/>
    <x v="2"/>
  </r>
  <r>
    <n v="1259"/>
    <s v="Baha"/>
    <s v="Eusqul"/>
    <s v="Baha Eusqul"/>
    <x v="1"/>
    <s v="012-3627-5681"/>
    <x v="4"/>
    <s v="Hourly"/>
    <x v="1"/>
    <x v="0"/>
    <s v="b.eusqul@email.com"/>
    <n v="10"/>
    <n v="7"/>
    <n v="2011"/>
    <x v="256"/>
    <n v="14"/>
    <n v="3294"/>
    <n v="329.40000000000003"/>
    <n v="98.82"/>
    <x v="10"/>
    <s v="normal"/>
    <x v="1"/>
  </r>
  <r>
    <n v="1260"/>
    <s v="Razan"/>
    <s v="Iybw"/>
    <s v="Razan Iybw"/>
    <x v="0"/>
    <s v="010-4225-5518"/>
    <x v="0"/>
    <s v="Contract"/>
    <x v="4"/>
    <x v="2"/>
    <s v="r.iybw@email.com"/>
    <n v="12"/>
    <n v="5"/>
    <n v="2013"/>
    <x v="257"/>
    <n v="12"/>
    <n v="7123"/>
    <n v="712.30000000000007"/>
    <n v="213.69"/>
    <x v="11"/>
    <s v="over"/>
    <x v="0"/>
  </r>
  <r>
    <n v="1261"/>
    <s v="Jamil"/>
    <s v="Ghabur"/>
    <s v="Jamil Ghabur"/>
    <x v="1"/>
    <s v="010-6791-9843"/>
    <x v="2"/>
    <s v="Contract"/>
    <x v="1"/>
    <x v="1"/>
    <s v="j.ghabur@email.com"/>
    <n v="5"/>
    <n v="9"/>
    <n v="2003"/>
    <x v="258"/>
    <n v="22"/>
    <n v="7236"/>
    <n v="723.6"/>
    <n v="217.07999999999998"/>
    <x v="12"/>
    <s v="over"/>
    <x v="0"/>
  </r>
  <r>
    <n v="1262"/>
    <s v="Alaa"/>
    <s v="Sultan"/>
    <s v="Alaa Sultan"/>
    <x v="0"/>
    <s v="012-5871-7900"/>
    <x v="0"/>
    <s v="Hourly"/>
    <x v="1"/>
    <x v="0"/>
    <s v="a.sultan@email.com"/>
    <n v="4"/>
    <n v="9"/>
    <n v="2009"/>
    <x v="259"/>
    <n v="16"/>
    <n v="6843"/>
    <n v="684.30000000000007"/>
    <n v="205.29"/>
    <x v="13"/>
    <s v="over"/>
    <x v="0"/>
  </r>
  <r>
    <n v="1263"/>
    <s v="Basil"/>
    <s v="Salih"/>
    <s v="Basil Salih"/>
    <x v="1"/>
    <s v="010-4355-6064"/>
    <x v="0"/>
    <s v="Half-Time"/>
    <x v="1"/>
    <x v="1"/>
    <s v="b.salih@email.com"/>
    <n v="18"/>
    <n v="10"/>
    <n v="2007"/>
    <x v="260"/>
    <n v="18"/>
    <n v="1070"/>
    <n v="107"/>
    <n v="32.1"/>
    <x v="14"/>
    <s v="normal"/>
    <x v="3"/>
  </r>
  <r>
    <n v="1264"/>
    <s v="Abdalbasit"/>
    <s v="Aljazayiriu"/>
    <s v="Abdalbasit Aljazayiriu"/>
    <x v="1"/>
    <s v="012-6180-2876"/>
    <x v="2"/>
    <s v="Contract"/>
    <x v="1"/>
    <x v="1"/>
    <s v="a.aljazayiriu@email.com"/>
    <n v="5"/>
    <n v="2"/>
    <n v="2000"/>
    <x v="261"/>
    <n v="25"/>
    <n v="1493"/>
    <n v="149.30000000000001"/>
    <n v="44.79"/>
    <x v="15"/>
    <s v="normal"/>
    <x v="2"/>
  </r>
  <r>
    <n v="1265"/>
    <s v="Fawaz"/>
    <s v="Ghazal"/>
    <s v="Fawaz Ghazal"/>
    <x v="1"/>
    <s v="012-4124-2769"/>
    <x v="4"/>
    <s v="Contract"/>
    <x v="1"/>
    <x v="0"/>
    <s v="f.ghazal@email.com"/>
    <n v="21"/>
    <n v="8"/>
    <n v="1992"/>
    <x v="262"/>
    <n v="33"/>
    <n v="5857"/>
    <n v="585.70000000000005"/>
    <n v="175.70999999999998"/>
    <x v="16"/>
    <s v="normal"/>
    <x v="1"/>
  </r>
  <r>
    <n v="1266"/>
    <s v="Diea"/>
    <s v="Dakhal"/>
    <s v="Diea Dakhal"/>
    <x v="1"/>
    <s v="010-7883-3324"/>
    <x v="4"/>
    <s v="Half-Time"/>
    <x v="4"/>
    <x v="0"/>
    <s v="d.dakhal@email.com"/>
    <n v="3"/>
    <n v="9"/>
    <n v="2001"/>
    <x v="263"/>
    <n v="24"/>
    <n v="5278"/>
    <n v="527.80000000000007"/>
    <n v="158.34"/>
    <x v="17"/>
    <s v="normal"/>
    <x v="1"/>
  </r>
  <r>
    <n v="1267"/>
    <s v="Emad"/>
    <s v="Dulul"/>
    <s v="Emad Dulul"/>
    <x v="1"/>
    <s v="012-6150-2362"/>
    <x v="0"/>
    <s v="Hourly"/>
    <x v="5"/>
    <x v="0"/>
    <s v="e.dulul@email.com"/>
    <n v="25"/>
    <n v="9"/>
    <n v="2012"/>
    <x v="264"/>
    <n v="13"/>
    <n v="5710"/>
    <n v="571"/>
    <n v="171.29999999999998"/>
    <x v="18"/>
    <s v="normal"/>
    <x v="1"/>
  </r>
  <r>
    <n v="1268"/>
    <s v="Asym"/>
    <s v="Aleaqqad"/>
    <s v="Asym Aleaqqad"/>
    <x v="0"/>
    <s v="010-5955-1916"/>
    <x v="2"/>
    <s v="Contract"/>
    <x v="2"/>
    <x v="2"/>
    <s v="a.aleaqqad@email.com"/>
    <n v="24"/>
    <n v="9"/>
    <n v="2010"/>
    <x v="265"/>
    <n v="15"/>
    <n v="6145"/>
    <n v="614.5"/>
    <n v="184.35"/>
    <x v="19"/>
    <s v="normal"/>
    <x v="1"/>
  </r>
  <r>
    <n v="1269"/>
    <s v="Ayat"/>
    <s v="Byd"/>
    <s v="Ayat Byd"/>
    <x v="0"/>
    <s v="012-5245-3155"/>
    <x v="3"/>
    <s v="Full Time"/>
    <x v="5"/>
    <x v="2"/>
    <s v="a.byd@email.com"/>
    <n v="24"/>
    <n v="1"/>
    <n v="1993"/>
    <x v="266"/>
    <n v="32"/>
    <n v="5278"/>
    <n v="527.80000000000007"/>
    <n v="158.34"/>
    <x v="17"/>
    <s v="normal"/>
    <x v="1"/>
  </r>
  <r>
    <n v="1270"/>
    <s v="Ahmad"/>
    <s v="Ahmid"/>
    <s v="Ahmad Ahmid"/>
    <x v="1"/>
    <s v="010-7063-3909"/>
    <x v="3"/>
    <s v="Contract"/>
    <x v="0"/>
    <x v="1"/>
    <s v="a.ahmid@email.com"/>
    <n v="21"/>
    <n v="7"/>
    <n v="2013"/>
    <x v="267"/>
    <n v="12"/>
    <n v="6409"/>
    <n v="640.90000000000009"/>
    <n v="192.26999999999998"/>
    <x v="20"/>
    <s v="normal"/>
    <x v="1"/>
  </r>
  <r>
    <n v="1271"/>
    <s v="Ali"/>
    <s v="Alqadri"/>
    <s v="Ali Alqadri"/>
    <x v="1"/>
    <s v="011-6447-8610"/>
    <x v="2"/>
    <s v="Contract"/>
    <x v="0"/>
    <x v="3"/>
    <s v="a.alqadri@email.com"/>
    <n v="8"/>
    <n v="12"/>
    <n v="1996"/>
    <x v="268"/>
    <n v="29"/>
    <n v="7478"/>
    <n v="747.80000000000007"/>
    <n v="224.34"/>
    <x v="21"/>
    <s v="over"/>
    <x v="0"/>
  </r>
  <r>
    <n v="1272"/>
    <s v="Danah"/>
    <s v="Suirkili"/>
    <s v="Danah Suirkili"/>
    <x v="0"/>
    <s v="010-8685-5276"/>
    <x v="0"/>
    <s v="Hourly"/>
    <x v="0"/>
    <x v="0"/>
    <s v="d.suirkili@email.com"/>
    <n v="10"/>
    <n v="11"/>
    <n v="2001"/>
    <x v="269"/>
    <n v="24"/>
    <n v="4621"/>
    <n v="462.1"/>
    <n v="138.63"/>
    <x v="22"/>
    <s v="normal"/>
    <x v="1"/>
  </r>
  <r>
    <n v="1273"/>
    <s v="Mazin"/>
    <s v="Bihtiti"/>
    <s v="Mazin Bihtiti"/>
    <x v="1"/>
    <s v="010-5327-6004"/>
    <x v="3"/>
    <s v="Contract"/>
    <x v="6"/>
    <x v="2"/>
    <s v="m.bihtiti@email.com"/>
    <n v="11"/>
    <n v="8"/>
    <n v="2020"/>
    <x v="270"/>
    <n v="5"/>
    <n v="2093"/>
    <n v="209.3"/>
    <n v="62.79"/>
    <x v="23"/>
    <s v="normal"/>
    <x v="2"/>
  </r>
  <r>
    <n v="1274"/>
    <s v="Ali"/>
    <s v="Barghaly"/>
    <s v="Ali Barghaly"/>
    <x v="1"/>
    <s v="011-4338-5320"/>
    <x v="0"/>
    <s v="Hourly"/>
    <x v="4"/>
    <x v="1"/>
    <s v="a.barghaly@email.com"/>
    <n v="19"/>
    <n v="5"/>
    <n v="1993"/>
    <x v="271"/>
    <n v="32"/>
    <n v="7333"/>
    <n v="733.30000000000007"/>
    <n v="219.98999999999998"/>
    <x v="24"/>
    <s v="over"/>
    <x v="0"/>
  </r>
  <r>
    <n v="1275"/>
    <s v="Ali"/>
    <s v="Alshaykh"/>
    <s v="Ali Alshaykh"/>
    <x v="1"/>
    <s v="011-6396-6065"/>
    <x v="3"/>
    <s v="Full Time"/>
    <x v="2"/>
    <x v="2"/>
    <s v="a.alshaykh@email.com"/>
    <n v="9"/>
    <n v="3"/>
    <n v="2018"/>
    <x v="272"/>
    <n v="7"/>
    <n v="1194"/>
    <n v="119.4"/>
    <n v="35.82"/>
    <x v="25"/>
    <s v="normal"/>
    <x v="2"/>
  </r>
  <r>
    <n v="1276"/>
    <s v="Kholoud"/>
    <s v="Huquq"/>
    <s v="Kholoud Huquq"/>
    <x v="0"/>
    <s v="012-5586-2483"/>
    <x v="1"/>
    <s v="Full Time"/>
    <x v="2"/>
    <x v="0"/>
    <s v="k.huquq@email.com"/>
    <n v="24"/>
    <n v="2"/>
    <n v="1995"/>
    <x v="273"/>
    <n v="30"/>
    <n v="5118"/>
    <n v="511.8"/>
    <n v="153.54"/>
    <x v="26"/>
    <s v="normal"/>
    <x v="1"/>
  </r>
  <r>
    <n v="1277"/>
    <s v="Ibrahim"/>
    <s v="Alqatish"/>
    <s v="Ibrahim Alqatish"/>
    <x v="1"/>
    <s v="010-7272-4197"/>
    <x v="3"/>
    <s v="Full Time"/>
    <x v="7"/>
    <x v="0"/>
    <s v="i.alqatish@email.com"/>
    <n v="26"/>
    <n v="2"/>
    <n v="2023"/>
    <x v="274"/>
    <n v="2"/>
    <n v="5373"/>
    <n v="537.30000000000007"/>
    <n v="161.19"/>
    <x v="27"/>
    <s v="normal"/>
    <x v="1"/>
  </r>
  <r>
    <n v="1278"/>
    <s v="Fatir"/>
    <s v="Alealiu"/>
    <s v="Fatir Alealiu"/>
    <x v="1"/>
    <s v="011-5522-1368"/>
    <x v="3"/>
    <s v="Half-Time"/>
    <x v="8"/>
    <x v="1"/>
    <s v="f.alealiu@email.com"/>
    <n v="28"/>
    <n v="8"/>
    <n v="2005"/>
    <x v="275"/>
    <n v="20"/>
    <n v="1708"/>
    <n v="170.8"/>
    <n v="51.239999999999995"/>
    <x v="28"/>
    <s v="normal"/>
    <x v="2"/>
  </r>
  <r>
    <n v="1279"/>
    <s v="Alaa"/>
    <s v="Alrifaei"/>
    <s v="Alaa Alrifaei"/>
    <x v="0"/>
    <s v="012-8179-4193"/>
    <x v="4"/>
    <s v="Contract"/>
    <x v="4"/>
    <x v="0"/>
    <s v="a.alrifaei@email.com"/>
    <n v="6"/>
    <n v="11"/>
    <n v="1994"/>
    <x v="276"/>
    <n v="31"/>
    <n v="2898"/>
    <n v="289.8"/>
    <n v="86.94"/>
    <x v="29"/>
    <s v="normal"/>
    <x v="2"/>
  </r>
  <r>
    <n v="1280"/>
    <s v="Rasha"/>
    <s v="Alrifaei"/>
    <s v="Rasha Alrifaei"/>
    <x v="0"/>
    <s v="010-5398-3028"/>
    <x v="1"/>
    <s v="Full Time"/>
    <x v="5"/>
    <x v="0"/>
    <s v="r.alrifaei@email.com"/>
    <n v="25"/>
    <n v="12"/>
    <n v="2007"/>
    <x v="277"/>
    <n v="18"/>
    <n v="6211"/>
    <n v="621.1"/>
    <n v="186.32999999999998"/>
    <x v="30"/>
    <s v="normal"/>
    <x v="1"/>
  </r>
  <r>
    <n v="1281"/>
    <s v="Bayan"/>
    <s v="Darbika"/>
    <s v="Bayan Darbika"/>
    <x v="0"/>
    <s v="010-7392-8735"/>
    <x v="4"/>
    <s v="Full Time"/>
    <x v="0"/>
    <x v="1"/>
    <s v="b.darbika@email.com"/>
    <n v="25"/>
    <n v="10"/>
    <n v="2007"/>
    <x v="278"/>
    <n v="18"/>
    <n v="5976"/>
    <n v="597.6"/>
    <n v="179.28"/>
    <x v="31"/>
    <s v="normal"/>
    <x v="1"/>
  </r>
  <r>
    <n v="1282"/>
    <s v="Hanan"/>
    <s v="Salahi"/>
    <s v="Hanan Salahi"/>
    <x v="0"/>
    <s v="011-7128-1738"/>
    <x v="4"/>
    <s v="Full Time"/>
    <x v="0"/>
    <x v="1"/>
    <s v="h.salahi@email.com"/>
    <n v="5"/>
    <n v="11"/>
    <n v="2015"/>
    <x v="279"/>
    <n v="10"/>
    <n v="742"/>
    <n v="74.2"/>
    <n v="22.259999999999998"/>
    <x v="32"/>
    <s v="normal"/>
    <x v="3"/>
  </r>
  <r>
    <n v="1283"/>
    <s v="Tariq"/>
    <s v="Aldhahabi"/>
    <s v="Tariq Aldhahabi"/>
    <x v="1"/>
    <s v="012-7713-6572"/>
    <x v="2"/>
    <s v="Full Time"/>
    <x v="6"/>
    <x v="1"/>
    <s v="t.aldhahabi@email.com"/>
    <n v="5"/>
    <n v="7"/>
    <n v="2008"/>
    <x v="280"/>
    <n v="17"/>
    <n v="5918"/>
    <n v="591.80000000000007"/>
    <n v="177.54"/>
    <x v="33"/>
    <s v="normal"/>
    <x v="1"/>
  </r>
  <r>
    <n v="1284"/>
    <s v="Dima"/>
    <s v="Drwysh"/>
    <s v="Dima Drwysh"/>
    <x v="0"/>
    <s v="011-7444-6706"/>
    <x v="2"/>
    <s v="Contract"/>
    <x v="2"/>
    <x v="2"/>
    <s v="d.drwysh@email.com"/>
    <n v="14"/>
    <n v="1"/>
    <n v="2016"/>
    <x v="281"/>
    <n v="10"/>
    <n v="3074"/>
    <n v="307.40000000000003"/>
    <n v="92.22"/>
    <x v="34"/>
    <s v="normal"/>
    <x v="2"/>
  </r>
  <r>
    <n v="1285"/>
    <s v="Diea"/>
    <s v="Filyun"/>
    <s v="Diea Filyun"/>
    <x v="1"/>
    <s v="010-9128-2651"/>
    <x v="4"/>
    <s v="Hourly"/>
    <x v="0"/>
    <x v="0"/>
    <s v="d.filyun@email.com"/>
    <n v="19"/>
    <n v="5"/>
    <n v="1994"/>
    <x v="282"/>
    <n v="31"/>
    <n v="5688"/>
    <n v="568.80000000000007"/>
    <n v="170.64"/>
    <x v="35"/>
    <s v="normal"/>
    <x v="1"/>
  </r>
  <r>
    <n v="1286"/>
    <s v="Safa"/>
    <s v="Alshahadat"/>
    <s v="Safa Alshahadat"/>
    <x v="0"/>
    <s v="011-3262-6236"/>
    <x v="2"/>
    <s v="Half-Time"/>
    <x v="0"/>
    <x v="0"/>
    <s v="s.alshahadat@email.com"/>
    <n v="8"/>
    <n v="4"/>
    <n v="2022"/>
    <x v="283"/>
    <n v="3"/>
    <n v="3362"/>
    <n v="336.20000000000005"/>
    <n v="100.86"/>
    <x v="36"/>
    <s v="normal"/>
    <x v="1"/>
  </r>
  <r>
    <n v="1287"/>
    <s v="Ayly"/>
    <s v="Bahriin"/>
    <s v="Ayly Bahriin"/>
    <x v="1"/>
    <s v="012-3935-9078"/>
    <x v="3"/>
    <s v="Contract"/>
    <x v="0"/>
    <x v="0"/>
    <s v="a.bahriin@email.com"/>
    <n v="16"/>
    <n v="5"/>
    <n v="2000"/>
    <x v="284"/>
    <n v="25"/>
    <n v="6043"/>
    <n v="604.30000000000007"/>
    <n v="181.29"/>
    <x v="37"/>
    <s v="normal"/>
    <x v="1"/>
  </r>
  <r>
    <n v="1288"/>
    <s v="Ayham"/>
    <s v="Alqadi"/>
    <s v="Ayham Alqadi"/>
    <x v="1"/>
    <s v="011-8518-3468"/>
    <x v="3"/>
    <s v="Full Time"/>
    <x v="0"/>
    <x v="2"/>
    <s v="a.alqadi@email.com"/>
    <n v="1"/>
    <n v="4"/>
    <n v="2002"/>
    <x v="285"/>
    <n v="23"/>
    <n v="6260"/>
    <n v="626"/>
    <n v="187.79999999999998"/>
    <x v="38"/>
    <s v="normal"/>
    <x v="1"/>
  </r>
  <r>
    <n v="1289"/>
    <s v="Asd"/>
    <s v="Bwfaeur"/>
    <s v="Asd Bwfaeur"/>
    <x v="1"/>
    <s v="010-6623-5414"/>
    <x v="3"/>
    <s v="Hourly"/>
    <x v="0"/>
    <x v="0"/>
    <s v="a.bwfaeur@email.com"/>
    <n v="15"/>
    <n v="4"/>
    <n v="2000"/>
    <x v="286"/>
    <n v="25"/>
    <n v="3754"/>
    <n v="375.40000000000003"/>
    <n v="112.61999999999999"/>
    <x v="39"/>
    <s v="normal"/>
    <x v="1"/>
  </r>
  <r>
    <n v="1290"/>
    <s v="Mazin"/>
    <s v="Eubayd"/>
    <s v="Mazin Eubayd"/>
    <x v="1"/>
    <s v="011-5065-1149"/>
    <x v="2"/>
    <s v="Full Time"/>
    <x v="1"/>
    <x v="1"/>
    <s v="m.eubayd@email.com"/>
    <n v="26"/>
    <n v="10"/>
    <n v="2003"/>
    <x v="287"/>
    <n v="22"/>
    <n v="6579"/>
    <n v="657.90000000000009"/>
    <n v="197.37"/>
    <x v="40"/>
    <s v="over"/>
    <x v="0"/>
  </r>
  <r>
    <n v="1291"/>
    <s v="Alyida"/>
    <s v="Nieamah"/>
    <s v="Alyida Nieamah"/>
    <x v="0"/>
    <s v="010-6309-2265"/>
    <x v="3"/>
    <s v="Contract"/>
    <x v="3"/>
    <x v="0"/>
    <s v="a.nieamah@email.com"/>
    <n v="8"/>
    <n v="12"/>
    <n v="2021"/>
    <x v="288"/>
    <n v="4"/>
    <n v="5373"/>
    <n v="537.30000000000007"/>
    <n v="161.19"/>
    <x v="27"/>
    <s v="normal"/>
    <x v="1"/>
  </r>
  <r>
    <n v="1292"/>
    <s v="Ali"/>
    <s v="Nhl"/>
    <s v="Ali Nhl"/>
    <x v="1"/>
    <s v="012-8400-9814"/>
    <x v="2"/>
    <s v="Contract"/>
    <x v="2"/>
    <x v="1"/>
    <s v="a.nhl@email.com"/>
    <n v="7"/>
    <n v="11"/>
    <n v="1997"/>
    <x v="289"/>
    <n v="28"/>
    <n v="1391"/>
    <n v="139.1"/>
    <n v="41.73"/>
    <x v="41"/>
    <s v="normal"/>
    <x v="2"/>
  </r>
  <r>
    <n v="1293"/>
    <s v="Hasan"/>
    <s v="Iismaeil"/>
    <s v="Hasan Iismaeil"/>
    <x v="1"/>
    <s v="011-5565-6836"/>
    <x v="3"/>
    <s v="Half-Time"/>
    <x v="4"/>
    <x v="3"/>
    <s v="h.iismaeil@email.com"/>
    <n v="28"/>
    <n v="7"/>
    <n v="1993"/>
    <x v="290"/>
    <n v="32"/>
    <n v="2528"/>
    <n v="252.8"/>
    <n v="75.84"/>
    <x v="42"/>
    <s v="normal"/>
    <x v="2"/>
  </r>
  <r>
    <n v="1294"/>
    <s v="Emam"/>
    <s v="Mansur"/>
    <s v="Emam Mansur"/>
    <x v="1"/>
    <s v="012-4833-5671"/>
    <x v="3"/>
    <s v="Contract"/>
    <x v="8"/>
    <x v="1"/>
    <s v="e.mansur@email.com"/>
    <n v="28"/>
    <n v="4"/>
    <n v="1992"/>
    <x v="291"/>
    <n v="33"/>
    <n v="6040"/>
    <n v="604"/>
    <n v="181.2"/>
    <x v="43"/>
    <s v="normal"/>
    <x v="1"/>
  </r>
  <r>
    <n v="1295"/>
    <s v="Mazin"/>
    <s v="Zawal"/>
    <s v="Mazin Zawal"/>
    <x v="1"/>
    <s v="012-4053-7620"/>
    <x v="0"/>
    <s v="Hourly"/>
    <x v="3"/>
    <x v="1"/>
    <s v="m.zawal@email.com"/>
    <n v="13"/>
    <n v="8"/>
    <n v="2015"/>
    <x v="292"/>
    <n v="10"/>
    <n v="3842"/>
    <n v="384.20000000000005"/>
    <n v="115.25999999999999"/>
    <x v="44"/>
    <s v="normal"/>
    <x v="1"/>
  </r>
  <r>
    <n v="1296"/>
    <s v="Lama"/>
    <s v="Almala"/>
    <s v="Lama Almala"/>
    <x v="0"/>
    <s v="010-5061-2017"/>
    <x v="3"/>
    <s v="Contract"/>
    <x v="4"/>
    <x v="0"/>
    <s v="l.almala@email.com"/>
    <n v="9"/>
    <n v="11"/>
    <n v="1992"/>
    <x v="293"/>
    <n v="33"/>
    <n v="1542"/>
    <n v="154.20000000000002"/>
    <n v="46.26"/>
    <x v="45"/>
    <s v="normal"/>
    <x v="2"/>
  </r>
  <r>
    <n v="1297"/>
    <s v="Esamat"/>
    <s v="Alriys"/>
    <s v="Esamat Alriys"/>
    <x v="1"/>
    <s v="012-4157-6654"/>
    <x v="3"/>
    <s v="Half-Time"/>
    <x v="0"/>
    <x v="1"/>
    <s v="e.alriys@email.com"/>
    <n v="10"/>
    <n v="4"/>
    <n v="2001"/>
    <x v="294"/>
    <n v="24"/>
    <n v="3134"/>
    <n v="313.40000000000003"/>
    <n v="94.02"/>
    <x v="46"/>
    <s v="normal"/>
    <x v="2"/>
  </r>
  <r>
    <n v="1298"/>
    <s v="Amir"/>
    <s v="Alkhatib"/>
    <s v="Amir Alkhatib"/>
    <x v="1"/>
    <s v="011-4794-3048"/>
    <x v="3"/>
    <s v="Half-Time"/>
    <x v="1"/>
    <x v="3"/>
    <s v="a.alkhatib@email.com"/>
    <n v="21"/>
    <n v="1"/>
    <n v="2010"/>
    <x v="295"/>
    <n v="15"/>
    <n v="4921"/>
    <n v="492.1"/>
    <n v="147.63"/>
    <x v="47"/>
    <s v="normal"/>
    <x v="1"/>
  </r>
  <r>
    <n v="1299"/>
    <s v="Maria"/>
    <s v="Alhizae"/>
    <s v="Maria Alhizae"/>
    <x v="0"/>
    <s v="012-8422-2108"/>
    <x v="3"/>
    <s v="Contract"/>
    <x v="4"/>
    <x v="2"/>
    <s v="m.alhizae@email.com"/>
    <n v="13"/>
    <n v="7"/>
    <n v="2001"/>
    <x v="296"/>
    <n v="24"/>
    <n v="1948"/>
    <n v="194.8"/>
    <n v="58.44"/>
    <x v="9"/>
    <s v="normal"/>
    <x v="2"/>
  </r>
  <r>
    <n v="1300"/>
    <s v="Ahmad"/>
    <s v="Qadimati"/>
    <s v="Ahmad Qadimati"/>
    <x v="1"/>
    <s v="011-5056-6641"/>
    <x v="4"/>
    <s v="Full Time"/>
    <x v="1"/>
    <x v="3"/>
    <s v="a.qadimati@email.com"/>
    <n v="8"/>
    <n v="3"/>
    <n v="2015"/>
    <x v="297"/>
    <n v="10"/>
    <n v="3294"/>
    <n v="329.40000000000003"/>
    <n v="98.82"/>
    <x v="10"/>
    <s v="normal"/>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EC2CC2-EA73-42EE-A5C4-145ACAD8FA5C}"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location ref="F3:F4" firstHeaderRow="1" firstDataRow="1" firstDataCol="0"/>
  <pivotFields count="26">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dataField="1" compact="0" outline="0" showAll="0" defaultSubtotal="0"/>
    <pivotField compact="0" numFmtId="165" outline="0" showAll="0" defaultSubtotal="0"/>
    <pivotField compact="0" numFmtId="165" outline="0" showAll="0" defaultSubtotal="0"/>
    <pivotField compact="0" numFmtId="165" outline="0" showAll="0" defaultSubtotal="0"/>
    <pivotField compact="0" numFmtId="165" outline="0" showAll="0" defaultSubtotal="0"/>
    <pivotField compact="0" outline="0" showAll="0" defaultSubtotal="0"/>
    <pivotField compact="0" numFmtId="9" outline="0" showAll="0" defaultSubtotal="0"/>
    <pivotField compact="0" outline="0" showAll="0" defaultSubtotal="0">
      <items count="6">
        <item x="0"/>
        <item x="1"/>
        <item x="2"/>
        <item x="3"/>
        <item x="4"/>
        <item x="5"/>
      </items>
    </pivotField>
    <pivotField compact="0" outline="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compact="0" outline="0" subtotalTop="0" dragToRow="0" dragToCol="0" dragToPage="0" showAll="0" defaultSubtotal="0"/>
    <pivotField compact="0" outline="0" subtotalTop="0" dragToRow="0" dragToCol="0" dragToPage="0" showAll="0" defaultSubtotal="0"/>
  </pivotFields>
  <rowItems count="1">
    <i/>
  </rowItems>
  <colItems count="1">
    <i/>
  </colItems>
  <dataFields count="1">
    <dataField name="Average of Experience Year" fld="15" subtotal="average" baseField="0" baseItem="1378257275"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62AC65-DD14-40C1-9761-8128AC849B52}" name="PivotTable9"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12">
  <location ref="O3:P7" firstHeaderRow="1" firstDataRow="1" firstDataCol="1"/>
  <pivotFields count="26">
    <pivotField compact="0" outline="0" showAll="0" defaultSubtotal="0"/>
    <pivotField compact="0" outline="0" showAll="0" defaultSubtotal="0"/>
    <pivotField compact="0" outline="0" showAll="0" defaultSubtotal="0"/>
    <pivotField dataField="1" compact="0" outline="0" showAll="0" defaultSubtotal="0"/>
    <pivotField compact="0" outline="0" multipleItemSelectionAllowed="1"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numFmtId="165" outline="0" showAll="0" defaultSubtotal="0"/>
    <pivotField compact="0" numFmtId="165" outline="0" showAll="0" defaultSubtotal="0"/>
    <pivotField compact="0" numFmtId="165" outline="0" showAll="0" defaultSubtotal="0"/>
    <pivotField compact="0" numFmtId="165" outline="0" showAll="0" defaultSubtotal="0"/>
    <pivotField compact="0" outline="0" showAll="0" defaultSubtotal="0"/>
    <pivotField axis="axisRow" compact="0" numFmtId="9" outline="0" showAll="0" defaultSubtotal="0">
      <items count="4">
        <item x="0"/>
        <item x="1"/>
        <item x="2"/>
        <item x="3"/>
      </items>
    </pivotField>
    <pivotField compact="0" outline="0" showAll="0" defaultSubtotal="0">
      <items count="6">
        <item x="0"/>
        <item x="1"/>
        <item x="2"/>
        <item x="3"/>
        <item x="4"/>
        <item x="5"/>
      </items>
    </pivotField>
    <pivotField compact="0" outline="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compact="0" outline="0" subtotalTop="0" dragToRow="0" dragToCol="0" dragToPage="0" showAll="0" defaultSubtotal="0"/>
    <pivotField compact="0" outline="0" subtotalTop="0" dragToRow="0" dragToCol="0" dragToPage="0" showAll="0" defaultSubtotal="0"/>
  </pivotFields>
  <rowFields count="1">
    <field x="21"/>
  </rowFields>
  <rowItems count="4">
    <i>
      <x/>
    </i>
    <i>
      <x v="1"/>
    </i>
    <i>
      <x v="2"/>
    </i>
    <i>
      <x v="3"/>
    </i>
  </rowItems>
  <colItems count="1">
    <i/>
  </colItems>
  <dataFields count="1">
    <dataField name="cOf" fld="3" subtotal="count" baseField="0" baseItem="0"/>
  </dataFields>
  <formats count="1">
    <format dxfId="3">
      <pivotArea outline="0" collapsedLevelsAreSubtotals="1" fieldPosition="0"/>
    </format>
  </format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1" count="1" selected="0">
            <x v="0"/>
          </reference>
        </references>
      </pivotArea>
    </chartFormat>
    <chartFormat chart="3" format="12">
      <pivotArea type="data" outline="0" fieldPosition="0">
        <references count="2">
          <reference field="4294967294" count="1" selected="0">
            <x v="0"/>
          </reference>
          <reference field="21" count="1" selected="0">
            <x v="1"/>
          </reference>
        </references>
      </pivotArea>
    </chartFormat>
    <chartFormat chart="3" format="13">
      <pivotArea type="data" outline="0" fieldPosition="0">
        <references count="2">
          <reference field="4294967294" count="1" selected="0">
            <x v="0"/>
          </reference>
          <reference field="21" count="1" selected="0">
            <x v="2"/>
          </reference>
        </references>
      </pivotArea>
    </chartFormat>
    <chartFormat chart="3" format="14">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79191C-D09B-4DB4-876E-9195B2D3EB40}"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14">
  <location ref="I3:J7" firstHeaderRow="1" firstDataRow="1" firstDataCol="1"/>
  <pivotFields count="26">
    <pivotField compact="0" outline="0" showAll="0" defaultSubtotal="0"/>
    <pivotField compact="0" outline="0" showAll="0" defaultSubtotal="0"/>
    <pivotField compact="0" outline="0" showAll="0" defaultSubtotal="0"/>
    <pivotField compact="0" outline="0" showAll="0" defaultSubtotal="0"/>
    <pivotField dataField="1" compact="0" outline="0" multipleItemSelectionAllowed="1"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axis="axisRow" compact="0" outline="0" showAll="0" defaultSubtotal="0">
      <items count="4">
        <item x="0"/>
        <item x="1"/>
        <item x="2"/>
        <item x="3"/>
      </items>
    </pivotField>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numFmtId="165" outline="0" showAll="0" defaultSubtotal="0"/>
    <pivotField compact="0" numFmtId="165" outline="0" showAll="0" defaultSubtotal="0"/>
    <pivotField compact="0" numFmtId="165" outline="0" showAll="0" defaultSubtotal="0"/>
    <pivotField compact="0" numFmtId="165" outline="0" showAll="0" defaultSubtotal="0"/>
    <pivotField compact="0" outline="0" showAll="0" defaultSubtotal="0"/>
    <pivotField compact="0" numFmtId="9" outline="0" showAll="0" defaultSubtotal="0"/>
    <pivotField compact="0" outline="0" showAll="0" defaultSubtotal="0">
      <items count="6">
        <item x="0"/>
        <item x="1"/>
        <item x="2"/>
        <item x="3"/>
        <item x="4"/>
        <item x="5"/>
      </items>
    </pivotField>
    <pivotField compact="0" outline="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compact="0" outline="0" subtotalTop="0" dragToRow="0" dragToCol="0" dragToPage="0" showAll="0" defaultSubtotal="0"/>
    <pivotField compact="0" outline="0" subtotalTop="0" dragToRow="0" dragToCol="0" dragToPage="0" showAll="0" defaultSubtotal="0"/>
  </pivotFields>
  <rowFields count="1">
    <field x="9"/>
  </rowFields>
  <rowItems count="4">
    <i>
      <x/>
    </i>
    <i>
      <x v="1"/>
    </i>
    <i>
      <x v="2"/>
    </i>
    <i>
      <x v="3"/>
    </i>
  </rowItems>
  <colItems count="1">
    <i/>
  </colItems>
  <dataFields count="1">
    <dataField name="c O g" fld="4" subtotal="count" baseField="0" baseItem="0"/>
  </dataFields>
  <formats count="1">
    <format dxfId="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68B37B-E3A9-41A8-BE6A-630F2269306B}"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location ref="AF12:AF13" firstHeaderRow="1" firstDataRow="1" firstDataCol="0"/>
  <pivotFields count="26">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dataField="1" compact="0" numFmtId="165" outline="0" showAll="0" defaultSubtotal="0"/>
    <pivotField compact="0" numFmtId="165" outline="0" showAll="0" defaultSubtotal="0"/>
    <pivotField compact="0" numFmtId="165" outline="0" showAll="0" defaultSubtotal="0"/>
    <pivotField compact="0" numFmtId="165" outline="0" showAll="0" defaultSubtotal="0">
      <items count="48">
        <item x="32"/>
        <item x="14"/>
        <item x="25"/>
        <item x="41"/>
        <item x="15"/>
        <item x="45"/>
        <item x="28"/>
        <item x="3"/>
        <item x="9"/>
        <item x="23"/>
        <item x="7"/>
        <item x="42"/>
        <item x="4"/>
        <item x="29"/>
        <item x="8"/>
        <item x="34"/>
        <item x="46"/>
        <item x="10"/>
        <item x="36"/>
        <item x="5"/>
        <item x="39"/>
        <item x="44"/>
        <item x="2"/>
        <item x="22"/>
        <item x="47"/>
        <item x="6"/>
        <item x="26"/>
        <item x="17"/>
        <item x="27"/>
        <item x="35"/>
        <item x="18"/>
        <item x="16"/>
        <item x="33"/>
        <item x="31"/>
        <item x="43"/>
        <item x="37"/>
        <item x="19"/>
        <item x="30"/>
        <item x="38"/>
        <item x="20"/>
        <item x="0"/>
        <item x="40"/>
        <item x="13"/>
        <item x="11"/>
        <item x="1"/>
        <item x="12"/>
        <item x="24"/>
        <item x="21"/>
      </items>
    </pivotField>
    <pivotField compact="0" outline="0" showAll="0" defaultSubtotal="0"/>
    <pivotField compact="0" numFmtId="9" outline="0" showAll="0" defaultSubtotal="0"/>
    <pivotField compact="0" outline="0" showAll="0" defaultSubtotal="0">
      <items count="6">
        <item x="0"/>
        <item x="1"/>
        <item x="2"/>
        <item x="3"/>
        <item x="4"/>
        <item x="5"/>
      </items>
    </pivotField>
    <pivotField compact="0" outline="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compact="0" outline="0" subtotalTop="0" dragToRow="0" dragToCol="0" dragToPage="0" showAll="0" defaultSubtotal="0"/>
    <pivotField compact="0" outline="0" subtotalTop="0" dragToRow="0" dragToCol="0" dragToPage="0" showAll="0" defaultSubtotal="0"/>
  </pivotFields>
  <rowItems count="1">
    <i/>
  </rowItems>
  <colItems count="1">
    <i/>
  </colItems>
  <dataFields count="1">
    <dataField name="Sum of Salary" fld="16"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830E05-4D58-47AA-8B91-A78AA6C56B0E}" name="PivotTable8"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location ref="L3:M8" firstHeaderRow="1" firstDataRow="1" firstDataCol="1"/>
  <pivotFields count="26">
    <pivotField compact="0" outline="0" showAll="0" defaultSubtotal="0"/>
    <pivotField compact="0" outline="0" showAll="0" defaultSubtotal="0"/>
    <pivotField compact="0" outline="0" showAll="0" defaultSubtotal="0"/>
    <pivotField dataField="1" compact="0" outline="0" showAll="0" defaultSubtotal="0"/>
    <pivotField compact="0" outline="0" multipleItemSelectionAllowed="1" showAll="0" defaultSubtotal="0">
      <items count="2">
        <item x="0"/>
        <item x="1"/>
      </items>
    </pivotField>
    <pivotField compact="0" outline="0" showAll="0" defaultSubtotal="0"/>
    <pivotField axis="axisRow"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numFmtId="165" outline="0" showAll="0" defaultSubtotal="0"/>
    <pivotField compact="0" numFmtId="165" outline="0" showAll="0" defaultSubtotal="0"/>
    <pivotField compact="0" numFmtId="165" outline="0" showAll="0" defaultSubtotal="0"/>
    <pivotField compact="0" numFmtId="165" outline="0" showAll="0" defaultSubtotal="0"/>
    <pivotField compact="0" outline="0" showAll="0" defaultSubtotal="0"/>
    <pivotField compact="0" numFmtId="9" outline="0" showAll="0" defaultSubtotal="0"/>
    <pivotField compact="0" outline="0" showAll="0" defaultSubtotal="0">
      <items count="6">
        <item x="0"/>
        <item x="1"/>
        <item x="2"/>
        <item x="3"/>
        <item x="4"/>
        <item x="5"/>
      </items>
    </pivotField>
    <pivotField compact="0" outline="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compact="0" outline="0" subtotalTop="0" dragToRow="0" dragToCol="0" dragToPage="0" showAll="0" defaultSubtotal="0"/>
    <pivotField compact="0" outline="0" subtotalTop="0" dragToRow="0" dragToCol="0" dragToPage="0" showAll="0" defaultSubtotal="0"/>
  </pivotFields>
  <rowFields count="1">
    <field x="6"/>
  </rowFields>
  <rowItems count="5">
    <i>
      <x/>
    </i>
    <i>
      <x v="1"/>
    </i>
    <i>
      <x v="2"/>
    </i>
    <i>
      <x v="3"/>
    </i>
    <i>
      <x v="4"/>
    </i>
  </rowItems>
  <colItems count="1">
    <i/>
  </colItems>
  <dataFields count="1">
    <dataField name="Count of Full Name" fld="3"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04EC75-031C-41B5-A02E-749CE176D618}"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location ref="AD12:AD13" firstHeaderRow="1" firstDataRow="1" firstDataCol="0"/>
  <pivotFields count="26">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numFmtId="165" outline="0" showAll="0" defaultSubtotal="0"/>
    <pivotField compact="0" numFmtId="165" outline="0" showAll="0" defaultSubtotal="0"/>
    <pivotField compact="0" numFmtId="165" outline="0" showAll="0" defaultSubtotal="0"/>
    <pivotField compact="0" numFmtId="165" outline="0" showAll="0" defaultSubtotal="0">
      <items count="48">
        <item x="32"/>
        <item x="14"/>
        <item x="25"/>
        <item x="41"/>
        <item x="15"/>
        <item x="45"/>
        <item x="28"/>
        <item x="3"/>
        <item x="9"/>
        <item x="23"/>
        <item x="7"/>
        <item x="42"/>
        <item x="4"/>
        <item x="29"/>
        <item x="8"/>
        <item x="34"/>
        <item x="46"/>
        <item x="10"/>
        <item x="36"/>
        <item x="5"/>
        <item x="39"/>
        <item x="44"/>
        <item x="2"/>
        <item x="22"/>
        <item x="47"/>
        <item x="6"/>
        <item x="26"/>
        <item x="17"/>
        <item x="27"/>
        <item x="35"/>
        <item x="18"/>
        <item x="16"/>
        <item x="33"/>
        <item x="31"/>
        <item x="43"/>
        <item x="37"/>
        <item x="19"/>
        <item x="30"/>
        <item x="38"/>
        <item x="20"/>
        <item x="0"/>
        <item x="40"/>
        <item x="13"/>
        <item x="11"/>
        <item x="1"/>
        <item x="12"/>
        <item x="24"/>
        <item x="21"/>
      </items>
    </pivotField>
    <pivotField compact="0" outline="0" showAll="0" defaultSubtotal="0"/>
    <pivotField compact="0" numFmtId="9" outline="0" showAll="0" defaultSubtotal="0"/>
    <pivotField compact="0" outline="0" showAll="0" defaultSubtotal="0">
      <items count="6">
        <item x="0"/>
        <item x="1"/>
        <item x="2"/>
        <item x="3"/>
        <item x="4"/>
        <item x="5"/>
      </items>
    </pivotField>
    <pivotField compact="0" outline="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compact="0" outline="0" subtotalTop="0" dragToRow="0" dragToCol="0" dragToPage="0" showAll="0" defaultSubtotal="0"/>
    <pivotField compact="0" outline="0" subtotalTop="0" dragToRow="0" dragToCol="0" dragToPage="0" showAll="0" defaultSubtotal="0"/>
  </pivotFields>
  <rowItems count="1">
    <i/>
  </rowItems>
  <colItems count="1">
    <i/>
  </colItems>
  <dataFields count="1">
    <dataField name="Count of Full Name" fld="3" subtotal="count"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1FFD4E-8965-4D08-8AEF-990F83DD3A39}" name="PivotTable11"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14">
  <location ref="U3:W15" firstHeaderRow="0" firstDataRow="1" firstDataCol="1"/>
  <pivotFields count="26">
    <pivotField compact="0" outline="0" showAll="0" defaultSubtotal="0"/>
    <pivotField compact="0" outline="0" showAll="0" defaultSubtotal="0"/>
    <pivotField compact="0" outline="0" showAll="0" defaultSubtotal="0"/>
    <pivotField dataField="1" compact="0" outline="0" showAll="0" defaultSubtotal="0"/>
    <pivotField compact="0" outline="0" multipleItemSelectionAllowed="1"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numFmtId="14" outline="0" showAll="0" defaultSubtotal="0">
      <items count="14">
        <item x="0"/>
        <item x="1"/>
        <item x="2"/>
        <item x="3"/>
        <item x="4"/>
        <item x="5"/>
        <item x="6"/>
        <item x="7"/>
        <item x="8"/>
        <item x="9"/>
        <item x="10"/>
        <item x="11"/>
        <item x="12"/>
        <item x="13"/>
      </items>
    </pivotField>
    <pivotField compact="0" outline="0" showAll="0" defaultSubtotal="0"/>
    <pivotField dataField="1" compact="0" numFmtId="165" outline="0" showAll="0" defaultSubtotal="0"/>
    <pivotField compact="0" numFmtId="165" outline="0" showAll="0" defaultSubtotal="0"/>
    <pivotField compact="0" numFmtId="165" outline="0" showAll="0" defaultSubtotal="0"/>
    <pivotField compact="0" numFmtId="165" outline="0" showAll="0" defaultSubtotal="0"/>
    <pivotField compact="0" outline="0" showAll="0" defaultSubtotal="0"/>
    <pivotField compact="0" numFmtId="9" outline="0" showAll="0" defaultSubtotal="0"/>
    <pivotField compact="0" outline="0" showAll="0" defaultSubtotal="0">
      <items count="6">
        <item sd="0" x="0"/>
        <item sd="0" x="1"/>
        <item sd="0" x="2"/>
        <item sd="0" x="3"/>
        <item sd="0" x="4"/>
        <item sd="0" x="5"/>
      </items>
    </pivotField>
    <pivotField compact="0" outline="0" showAll="0" defaultSubtotal="0">
      <items count="3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s>
    </pivotField>
    <pivotField compact="0" outline="0" subtotalTop="0" dragToRow="0" dragToCol="0" dragToPage="0" showAll="0" defaultSubtotal="0"/>
    <pivotField compact="0" outline="0" subtotalTop="0" dragToRow="0" dragToCol="0" dragToPage="0" showAll="0" defaultSubtotal="0"/>
  </pivotFields>
  <rowFields count="1">
    <field x="14"/>
  </rowFields>
  <rowItems count="12">
    <i>
      <x v="1"/>
    </i>
    <i>
      <x v="2"/>
    </i>
    <i>
      <x v="3"/>
    </i>
    <i>
      <x v="4"/>
    </i>
    <i>
      <x v="5"/>
    </i>
    <i>
      <x v="6"/>
    </i>
    <i>
      <x v="7"/>
    </i>
    <i>
      <x v="8"/>
    </i>
    <i>
      <x v="9"/>
    </i>
    <i>
      <x v="10"/>
    </i>
    <i>
      <x v="11"/>
    </i>
    <i>
      <x v="12"/>
    </i>
  </rowItems>
  <colFields count="1">
    <field x="-2"/>
  </colFields>
  <colItems count="2">
    <i>
      <x/>
    </i>
    <i i="1">
      <x v="1"/>
    </i>
  </colItems>
  <dataFields count="2">
    <dataField name="sos" fld="16" baseField="0" baseItem="0"/>
    <dataField name="cfn" fld="3" subtotal="count" baseField="0" baseItem="0"/>
  </dataFields>
  <formats count="1">
    <format dxfId="8">
      <pivotArea outline="0" collapsedLevelsAreSubtotals="1" fieldPosition="0"/>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458E0C-18E3-42FA-900C-78881A55C979}"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14">
  <location ref="C3:D5" firstHeaderRow="1" firstDataRow="1" firstDataCol="1"/>
  <pivotFields count="26">
    <pivotField compact="0" outline="0" showAll="0" defaultSubtotal="0"/>
    <pivotField compact="0" outline="0" showAll="0" defaultSubtotal="0"/>
    <pivotField compact="0" outline="0" showAll="0" defaultSubtotal="0"/>
    <pivotField dataField="1" compact="0" outline="0" showAll="0" defaultSubtotal="0"/>
    <pivotField axis="axisRow" compact="0" outline="0"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numFmtId="165" outline="0" showAll="0" defaultSubtotal="0"/>
    <pivotField compact="0" numFmtId="165" outline="0" showAll="0" defaultSubtotal="0"/>
    <pivotField compact="0" numFmtId="165" outline="0" showAll="0" defaultSubtotal="0"/>
    <pivotField compact="0" numFmtId="165" outline="0" showAll="0" defaultSubtotal="0"/>
    <pivotField compact="0" outline="0" showAll="0" defaultSubtotal="0"/>
    <pivotField compact="0" numFmtId="9" outline="0" showAll="0" defaultSubtotal="0"/>
    <pivotField compact="0" outline="0" showAll="0" defaultSubtotal="0">
      <items count="6">
        <item x="0"/>
        <item x="1"/>
        <item x="2"/>
        <item x="3"/>
        <item x="4"/>
        <item x="5"/>
      </items>
    </pivotField>
    <pivotField compact="0" outline="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compact="0" outline="0" subtotalTop="0" dragToRow="0" dragToCol="0" dragToPage="0" showAll="0" defaultSubtotal="0"/>
    <pivotField compact="0" outline="0" subtotalTop="0" dragToRow="0" dragToCol="0" dragToPage="0" showAll="0" defaultSubtotal="0"/>
  </pivotFields>
  <rowFields count="1">
    <field x="4"/>
  </rowFields>
  <rowItems count="2">
    <i>
      <x/>
    </i>
    <i>
      <x v="1"/>
    </i>
  </rowItems>
  <colItems count="1">
    <i/>
  </colItems>
  <dataFields count="1">
    <dataField name="Count of employes by gender" fld="3" subtotal="count" baseField="4" baseItem="0"/>
  </dataFields>
  <chartFormats count="6">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4" count="1" selected="0">
            <x v="0"/>
          </reference>
        </references>
      </pivotArea>
    </chartFormat>
    <chartFormat chart="1" format="5">
      <pivotArea type="data" outline="0" fieldPosition="0">
        <references count="2">
          <reference field="4294967294" count="1" selected="0">
            <x v="0"/>
          </reference>
          <reference field="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E86B49-D5C2-4DF0-848A-0BA480B1F772}" name="PivotTable12"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location ref="Z3:AA8" firstHeaderRow="1" firstDataRow="1" firstDataCol="1"/>
  <pivotFields count="26">
    <pivotField compact="0" outline="0" showAll="0" defaultSubtotal="0"/>
    <pivotField compact="0" outline="0" showAll="0" defaultSubtotal="0"/>
    <pivotField compact="0" outline="0" showAll="0" defaultSubtotal="0"/>
    <pivotField dataField="1" compact="0" outline="0" showAll="0" defaultSubtotal="0"/>
    <pivotField compact="0" outline="0" multipleItemSelectionAllowed="1" showAll="0" defaultSubtotal="0">
      <items count="2">
        <item x="0"/>
        <item x="1"/>
      </items>
    </pivotField>
    <pivotField compact="0" outline="0" showAll="0" defaultSubtotal="0"/>
    <pivotField axis="axisRow"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numFmtId="165" outline="0" showAll="0" defaultSubtotal="0"/>
    <pivotField compact="0" numFmtId="165" outline="0" showAll="0" defaultSubtotal="0"/>
    <pivotField compact="0" numFmtId="165" outline="0" showAll="0" defaultSubtotal="0"/>
    <pivotField compact="0" numFmtId="165" outline="0" showAll="0" defaultSubtotal="0"/>
    <pivotField compact="0" outline="0" showAll="0" defaultSubtotal="0"/>
    <pivotField compact="0" numFmtId="9" outline="0" showAll="0" defaultSubtotal="0"/>
    <pivotField compact="0" outline="0" showAll="0" defaultSubtotal="0">
      <items count="6">
        <item x="0"/>
        <item x="1"/>
        <item x="2"/>
        <item x="3"/>
        <item x="4"/>
        <item x="5"/>
      </items>
    </pivotField>
    <pivotField compact="0" outline="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compact="0" outline="0" subtotalTop="0" dragToRow="0" dragToCol="0" dragToPage="0" showAll="0" defaultSubtotal="0"/>
    <pivotField compact="0" outline="0" subtotalTop="0" dragToRow="0" dragToCol="0" dragToPage="0" showAll="0" defaultSubtotal="0"/>
  </pivotFields>
  <rowFields count="1">
    <field x="6"/>
  </rowFields>
  <rowItems count="5">
    <i>
      <x/>
    </i>
    <i>
      <x v="1"/>
    </i>
    <i>
      <x v="2"/>
    </i>
    <i>
      <x v="3"/>
    </i>
    <i>
      <x v="4"/>
    </i>
  </rowItems>
  <colItems count="1">
    <i/>
  </colItems>
  <dataFields count="1">
    <dataField name="Count of Full Name" fld="3" subtotal="count"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C9AB70-69BB-4191-BDD1-8B45387EEA38}" name="PivotTable10"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14">
  <location ref="R3:S12" firstHeaderRow="1" firstDataRow="1" firstDataCol="1"/>
  <pivotFields count="26">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items count="2">
        <item x="0"/>
        <item x="1"/>
      </items>
    </pivotField>
    <pivotField compact="0" outline="0" showAll="0" defaultSubtotal="0"/>
    <pivotField compact="0" outline="0" showAll="0" defaultSubtotal="0">
      <items count="5">
        <item x="3"/>
        <item x="4"/>
        <item x="2"/>
        <item x="0"/>
        <item x="1"/>
      </items>
    </pivotField>
    <pivotField dataField="1" compact="0" outline="0" showAll="0" defaultSubtotal="0"/>
    <pivotField axis="axisRow"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numFmtId="165" outline="0" showAll="0" defaultSubtotal="0"/>
    <pivotField compact="0" numFmtId="165" outline="0" showAll="0" defaultSubtotal="0"/>
    <pivotField compact="0" numFmtId="165" outline="0" showAll="0" defaultSubtotal="0"/>
    <pivotField compact="0" numFmtId="165" outline="0" showAll="0" defaultSubtotal="0"/>
    <pivotField compact="0" outline="0" showAll="0" defaultSubtotal="0"/>
    <pivotField compact="0" numFmtId="9" outline="0" showAll="0" defaultSubtotal="0"/>
    <pivotField compact="0" outline="0" showAll="0" defaultSubtotal="0">
      <items count="6">
        <item x="0"/>
        <item x="1"/>
        <item x="2"/>
        <item x="3"/>
        <item x="4"/>
        <item x="5"/>
      </items>
    </pivotField>
    <pivotField compact="0" outline="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compact="0" outline="0" subtotalTop="0" dragToRow="0" dragToCol="0" dragToPage="0" showAll="0" defaultSubtotal="0"/>
    <pivotField compact="0" outline="0" subtotalTop="0" dragToRow="0" dragToCol="0" dragToPage="0" showAll="0" defaultSubtotal="0"/>
  </pivotFields>
  <rowFields count="1">
    <field x="8"/>
  </rowFields>
  <rowItems count="9">
    <i>
      <x/>
    </i>
    <i>
      <x v="1"/>
    </i>
    <i>
      <x v="2"/>
    </i>
    <i>
      <x v="3"/>
    </i>
    <i>
      <x v="4"/>
    </i>
    <i>
      <x v="5"/>
    </i>
    <i>
      <x v="6"/>
    </i>
    <i>
      <x v="7"/>
    </i>
    <i>
      <x v="8"/>
    </i>
  </rowItems>
  <colItems count="1">
    <i/>
  </colItems>
  <dataFields count="1">
    <dataField name="Count of Work Type" fld="7" subtotal="count" baseField="0" baseItem="0"/>
  </dataFields>
  <formats count="1">
    <format dxfId="1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5BEFAD-AC00-438D-BC53-DF08B1AE5664}"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location ref="A3:A4" firstHeaderRow="1" firstDataRow="1" firstDataCol="0"/>
  <pivotFields count="26">
    <pivotField compact="0" outline="0" showAll="0" defaultSubtotal="0"/>
    <pivotField compact="0" outline="0" showAll="0" defaultSubtotal="0"/>
    <pivotField compact="0" outline="0" showAll="0" defaultSubtotal="0"/>
    <pivotField dataField="1" compact="0" outline="0" showAll="0" defaultSubtotal="0"/>
    <pivotField compact="0" outline="0" multipleItemSelectionAllowed="1"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numFmtId="165" outline="0" showAll="0" defaultSubtotal="0"/>
    <pivotField compact="0" numFmtId="165" outline="0" showAll="0" defaultSubtotal="0"/>
    <pivotField compact="0" numFmtId="165" outline="0" showAll="0" defaultSubtotal="0"/>
    <pivotField compact="0" numFmtId="165" outline="0" showAll="0" defaultSubtotal="0"/>
    <pivotField compact="0" outline="0" showAll="0" defaultSubtotal="0"/>
    <pivotField compact="0" numFmtId="9" outline="0" showAll="0" defaultSubtotal="0"/>
    <pivotField compact="0" outline="0" showAll="0" defaultSubtotal="0">
      <items count="6">
        <item x="0"/>
        <item x="1"/>
        <item x="2"/>
        <item x="3"/>
        <item x="4"/>
        <item x="5"/>
      </items>
    </pivotField>
    <pivotField compact="0" outline="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compact="0" outline="0" subtotalTop="0" dragToRow="0" dragToCol="0" dragToPage="0" showAll="0" defaultSubtotal="0"/>
    <pivotField compact="0" outline="0" subtotalTop="0" dragToRow="0" dragToCol="0" dragToPage="0" showAll="0" defaultSubtotal="0"/>
  </pivotFields>
  <rowItems count="1">
    <i/>
  </rowItems>
  <colItems count="1">
    <i/>
  </colItems>
  <dataFields count="1">
    <dataField name="Count of Full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AA17800-7572-45BC-ABBD-6D443EFAB364}" sourceName="Department">
  <pivotTables>
    <pivotTable tabId="11" name="PivotTable10"/>
    <pivotTable tabId="11" name="PivotTable1"/>
    <pivotTable tabId="11" name="PivotTable11"/>
    <pivotTable tabId="11" name="PivotTable12"/>
    <pivotTable tabId="11" name="PivotTable3"/>
    <pivotTable tabId="11" name="PivotTable4"/>
    <pivotTable tabId="11" name="PivotTable6"/>
    <pivotTable tabId="11" name="PivotTable8"/>
    <pivotTable tabId="11" name="PivotTable9"/>
    <pivotTable tabId="11" name="PivotTable5"/>
    <pivotTable tabId="11" name="PivotTable7"/>
  </pivotTables>
  <data>
    <tabular pivotCacheId="243158121">
      <items count="9">
        <i x="2" s="1"/>
        <i x="7" s="1"/>
        <i x="4" s="1"/>
        <i x="5" s="1"/>
        <i x="0" s="1"/>
        <i x="1" s="1"/>
        <i x="6" s="1"/>
        <i x="3"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A5E62FA-5C9F-4444-9F16-543343B22AB4}" sourceName="Gender">
  <pivotTables>
    <pivotTable tabId="11" name="PivotTable3"/>
    <pivotTable tabId="11" name="PivotTable1"/>
    <pivotTable tabId="11" name="PivotTable10"/>
    <pivotTable tabId="11" name="PivotTable11"/>
    <pivotTable tabId="11" name="PivotTable12"/>
    <pivotTable tabId="11" name="PivotTable4"/>
    <pivotTable tabId="11" name="PivotTable6"/>
    <pivotTable tabId="11" name="PivotTable8"/>
    <pivotTable tabId="11" name="PivotTable9"/>
    <pivotTable tabId="11" name="PivotTable5"/>
    <pivotTable tabId="11" name="PivotTable7"/>
  </pivotTables>
  <data>
    <tabular pivotCacheId="24315812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076B0AF-00B7-4FF7-A3E9-285D7ABA1A21}" sourceName="Country">
  <pivotTables>
    <pivotTable tabId="11" name="PivotTable8"/>
    <pivotTable tabId="11" name="PivotTable1"/>
    <pivotTable tabId="11" name="PivotTable10"/>
    <pivotTable tabId="11" name="PivotTable11"/>
    <pivotTable tabId="11" name="PivotTable12"/>
    <pivotTable tabId="11" name="PivotTable3"/>
    <pivotTable tabId="11" name="PivotTable4"/>
    <pivotTable tabId="11" name="PivotTable6"/>
    <pivotTable tabId="11" name="PivotTable9"/>
    <pivotTable tabId="11" name="PivotTable5"/>
    <pivotTable tabId="11" name="PivotTable7"/>
  </pivotTables>
  <data>
    <tabular pivotCacheId="243158121">
      <items count="5">
        <i x="3" s="1"/>
        <i x="4"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C50B8AD-6F69-48A3-B3C0-FCBC18786B19}" cache="Slicer_Department" caption="Department" style="Slicer Style 5" rowHeight="241300"/>
  <slicer name="Gender" xr10:uid="{E540776B-F1C5-49BC-A5F5-7E3945005CCA}" cache="Slicer_Gender" caption="Gender" style="Slicer Style 5" rowHeight="241300"/>
  <slicer name="Country" xr10:uid="{E2932347-3FC4-494D-ACF2-64DB646507AB}" cache="Slicer_Country" caption="Country" style="Slicer Style 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7EC7255F-E3B3-47F8-ADC0-F8825AD756F6}" cache="Slicer_Department" caption="Department" style="Slicer Style 5" rowHeight="241300"/>
  <slicer name="Gender 2" xr10:uid="{2C7ED508-3174-4DA2-A4CB-7689B5D71867}" cache="Slicer_Gender" caption="Gender" style="Slicer Style 5" rowHeight="241300"/>
  <slicer name="Country 2" xr10:uid="{FCA75691-68CE-4EDC-BEF7-2C9B58A484D6}" cache="Slicer_Country" caption="Country" style="Slicer Style 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54A480-2F37-44E6-82B7-B87B738935E9}" name="Table1" displayName="Table1" ref="A1:V301" totalsRowShown="0">
  <autoFilter ref="A1:V301" xr:uid="{D9A5763C-2E2D-4C92-A8D3-4EF1C83E640E}"/>
  <tableColumns count="22">
    <tableColumn id="1" xr3:uid="{160F28C5-42E4-4B29-8551-8E551CA9A83A}" name="ID"/>
    <tableColumn id="2" xr3:uid="{B0C81AE1-CE69-440C-8817-3A227D41B4EA}" name="First Name"/>
    <tableColumn id="3" xr3:uid="{D59A1A72-3DE8-47C1-8D2D-D8845523FC9A}" name="Last Name"/>
    <tableColumn id="4" xr3:uid="{F58E1E10-67D5-4E6E-86F0-E3A74A9F130D}" name="Full Name"/>
    <tableColumn id="5" xr3:uid="{A9D93E7F-23A7-49F2-A8EC-3CE8B3A02497}" name="Gender"/>
    <tableColumn id="6" xr3:uid="{FE274A2B-253B-48AE-84AB-1CB87056D01F}" name="Phone"/>
    <tableColumn id="7" xr3:uid="{5FA011A1-94EB-4E83-AC1E-B016A62ACEFD}" name="Country"/>
    <tableColumn id="8" xr3:uid="{6A0ABE87-CF74-45FC-A476-A427ECA0223D}" name="Work Type"/>
    <tableColumn id="9" xr3:uid="{2C518BA0-5B96-4B92-B1B9-AE3EC8C88E0F}" name="Department"/>
    <tableColumn id="10" xr3:uid="{581AE18D-58DB-4921-AE16-8799FFA980DB}" name="MonyTransfere"/>
    <tableColumn id="11" xr3:uid="{C6DA7E33-762B-4E94-8F5B-55FF17D6721B}" name="Email"/>
    <tableColumn id="12" xr3:uid="{C4D5E4B2-F430-4CC0-9840-55D4B573FD40}" name="Hire Day"/>
    <tableColumn id="13" xr3:uid="{F0E8E887-AF71-4E82-A25D-789F316B95C6}" name="Hire Month"/>
    <tableColumn id="14" xr3:uid="{89E7FC7D-9864-4951-BF1D-2221A79B47C8}" name="Hire Year"/>
    <tableColumn id="15" xr3:uid="{462531B4-1F46-4BAE-8F56-E74FFF11EF8C}" name="Hiring Date" dataDxfId="11"/>
    <tableColumn id="16" xr3:uid="{9440464D-D03F-42B5-AF4A-11F3CC2E4BF3}" name="Experience Year"/>
    <tableColumn id="17" xr3:uid="{94227309-3865-4BCB-B024-2B47BFA33667}" name="Salary"/>
    <tableColumn id="18" xr3:uid="{AAC559D2-3D00-4267-8BCA-B0FDD3958C82}" name="Tax 10%"/>
    <tableColumn id="19" xr3:uid="{0417A518-DF67-4A91-932F-AC851A8F329A}" name="Bonus 3%"/>
    <tableColumn id="20" xr3:uid="{79FCD2DC-FC21-41DC-A890-B87D31316BC6}" name="Net Salary"/>
    <tableColumn id="21" xr3:uid="{6AAEAEA1-88AE-4355-A411-01138140F2A6}" name="Salary Status"/>
    <tableColumn id="22" xr3:uid="{32860E1A-C0DA-4F9B-9663-3B8A7EC4C44C}" name="Extra Bonus"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ing_Date" xr10:uid="{2CA00FD5-8695-4298-A8C0-D29D50BEFA27}" sourceName="Hiring Date">
  <pivotTables>
    <pivotTable tabId="11" name="PivotTable12"/>
    <pivotTable tabId="11" name="PivotTable1"/>
    <pivotTable tabId="11" name="PivotTable10"/>
    <pivotTable tabId="11" name="PivotTable11"/>
    <pivotTable tabId="11" name="PivotTable3"/>
    <pivotTable tabId="11" name="PivotTable4"/>
    <pivotTable tabId="11" name="PivotTable6"/>
    <pivotTable tabId="11" name="PivotTable8"/>
    <pivotTable tabId="11" name="PivotTable9"/>
    <pivotTable tabId="11" name="PivotTable5"/>
    <pivotTable tabId="11" name="PivotTable7"/>
  </pivotTables>
  <state minimalRefreshVersion="6" lastRefreshVersion="6" pivotCacheId="243158121" filterType="unknown">
    <bounds startDate="199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ing Date" xr10:uid="{672EEEFE-BC4D-42BD-81CC-5492B79F224C}" cache="NativeTimeline_Hiring_Date" caption="Hiring Date" level="1" selectionLevel="1" scrollPosition="2008-02-10T00:00:00" style="Timeline Style 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ing Date 2" xr10:uid="{F77D35E5-668A-48D7-863D-A93C81DE1ADA}" cache="NativeTimeline_Hiring_Date" caption="Hiring Date" level="1" selectionLevel="1" scrollPosition="2008-02-10T00:00:00" style="Timeline Style 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8790F-064C-49E9-86FB-F7BE1F84200D}">
  <dimension ref="A1:V301"/>
  <sheetViews>
    <sheetView topLeftCell="B1" workbookViewId="0">
      <selection activeCell="O1" sqref="O1:O1048576"/>
    </sheetView>
  </sheetViews>
  <sheetFormatPr defaultRowHeight="14.25" x14ac:dyDescent="0.2"/>
  <cols>
    <col min="2" max="2" width="12.25" customWidth="1"/>
    <col min="3" max="3" width="12.125" bestFit="1" customWidth="1"/>
    <col min="4" max="4" width="21.25" bestFit="1" customWidth="1"/>
    <col min="5" max="5" width="9.625" bestFit="1" customWidth="1"/>
    <col min="6" max="6" width="13.25" bestFit="1" customWidth="1"/>
    <col min="7" max="7" width="11.125" bestFit="1" customWidth="1"/>
    <col min="8" max="8" width="12.25" bestFit="1" customWidth="1"/>
    <col min="9" max="9" width="18.75" bestFit="1" customWidth="1"/>
    <col min="10" max="10" width="16.5" bestFit="1" customWidth="1"/>
    <col min="11" max="11" width="24.125" bestFit="1" customWidth="1"/>
    <col min="12" max="12" width="10.375" bestFit="1" customWidth="1"/>
    <col min="13" max="13" width="12.75" bestFit="1" customWidth="1"/>
    <col min="14" max="14" width="11.25" bestFit="1" customWidth="1"/>
    <col min="15" max="15" width="12.875" bestFit="1" customWidth="1"/>
    <col min="16" max="16" width="17.75" bestFit="1" customWidth="1"/>
    <col min="17" max="17" width="8.25" bestFit="1" customWidth="1"/>
    <col min="18" max="18" width="10.25" bestFit="1" customWidth="1"/>
    <col min="19" max="19" width="11.625" customWidth="1"/>
    <col min="20" max="20" width="11.75" customWidth="1"/>
    <col min="21" max="21" width="14.375" bestFit="1" customWidth="1"/>
    <col min="22" max="22" width="13.75" style="37" bestFit="1" customWidth="1"/>
  </cols>
  <sheetData>
    <row r="1" spans="1:22" x14ac:dyDescent="0.2">
      <c r="A1" t="s">
        <v>0</v>
      </c>
      <c r="B1" t="s">
        <v>128</v>
      </c>
      <c r="C1" t="s">
        <v>129</v>
      </c>
      <c r="D1" t="s">
        <v>201</v>
      </c>
      <c r="E1" t="s">
        <v>130</v>
      </c>
      <c r="F1" t="s">
        <v>1</v>
      </c>
      <c r="G1" t="s">
        <v>2</v>
      </c>
      <c r="H1" t="s">
        <v>786</v>
      </c>
      <c r="I1" t="s">
        <v>3</v>
      </c>
      <c r="J1" t="s">
        <v>4</v>
      </c>
      <c r="K1" t="s">
        <v>5</v>
      </c>
      <c r="L1" t="s">
        <v>205</v>
      </c>
      <c r="M1" t="s">
        <v>206</v>
      </c>
      <c r="N1" t="s">
        <v>207</v>
      </c>
      <c r="O1" t="s">
        <v>794</v>
      </c>
      <c r="P1" t="s">
        <v>199</v>
      </c>
      <c r="Q1" t="s">
        <v>6</v>
      </c>
      <c r="R1" t="s">
        <v>138</v>
      </c>
      <c r="S1" t="s">
        <v>789</v>
      </c>
      <c r="T1" t="s">
        <v>793</v>
      </c>
      <c r="U1" t="s">
        <v>28</v>
      </c>
      <c r="V1" s="37" t="s">
        <v>792</v>
      </c>
    </row>
    <row r="2" spans="1:22" x14ac:dyDescent="0.2">
      <c r="A2">
        <v>1001</v>
      </c>
      <c r="B2" t="s">
        <v>131</v>
      </c>
      <c r="C2" t="s">
        <v>135</v>
      </c>
      <c r="D2" t="s">
        <v>1110</v>
      </c>
      <c r="E2" t="s">
        <v>33</v>
      </c>
      <c r="F2" t="s">
        <v>808</v>
      </c>
      <c r="G2" t="s">
        <v>795</v>
      </c>
      <c r="H2" t="s">
        <v>8</v>
      </c>
      <c r="I2" t="s">
        <v>9</v>
      </c>
      <c r="J2" t="s">
        <v>10</v>
      </c>
      <c r="K2" t="s">
        <v>139</v>
      </c>
      <c r="L2">
        <v>5</v>
      </c>
      <c r="M2">
        <v>4</v>
      </c>
      <c r="N2">
        <v>2023</v>
      </c>
      <c r="O2" s="36">
        <v>45021</v>
      </c>
      <c r="P2">
        <v>2</v>
      </c>
      <c r="Q2">
        <v>6548</v>
      </c>
      <c r="R2">
        <v>654.80000000000007</v>
      </c>
      <c r="S2">
        <v>196.44</v>
      </c>
      <c r="T2">
        <v>6089.6399999999994</v>
      </c>
      <c r="U2" t="s">
        <v>1111</v>
      </c>
      <c r="V2" s="37">
        <v>0.02</v>
      </c>
    </row>
    <row r="3" spans="1:22" x14ac:dyDescent="0.2">
      <c r="A3">
        <v>1002</v>
      </c>
      <c r="B3" t="s">
        <v>136</v>
      </c>
      <c r="C3" t="s">
        <v>790</v>
      </c>
      <c r="D3" t="s">
        <v>1112</v>
      </c>
      <c r="E3" t="s">
        <v>34</v>
      </c>
      <c r="F3" t="s">
        <v>809</v>
      </c>
      <c r="G3" t="s">
        <v>7</v>
      </c>
      <c r="H3" t="s">
        <v>11</v>
      </c>
      <c r="I3" t="s">
        <v>22</v>
      </c>
      <c r="J3" t="s">
        <v>12</v>
      </c>
      <c r="K3" t="s">
        <v>140</v>
      </c>
      <c r="L3">
        <v>6</v>
      </c>
      <c r="M3">
        <v>1</v>
      </c>
      <c r="N3">
        <v>2001</v>
      </c>
      <c r="O3" s="36">
        <v>36897</v>
      </c>
      <c r="P3">
        <v>25</v>
      </c>
      <c r="Q3">
        <v>7175</v>
      </c>
      <c r="R3">
        <v>717.5</v>
      </c>
      <c r="S3">
        <v>215.25</v>
      </c>
      <c r="T3">
        <v>6672.75</v>
      </c>
      <c r="U3" t="s">
        <v>1111</v>
      </c>
      <c r="V3" s="37">
        <v>0.02</v>
      </c>
    </row>
    <row r="4" spans="1:22" x14ac:dyDescent="0.2">
      <c r="A4">
        <v>1003</v>
      </c>
      <c r="B4" t="s">
        <v>132</v>
      </c>
      <c r="C4" t="s">
        <v>137</v>
      </c>
      <c r="D4" t="s">
        <v>1113</v>
      </c>
      <c r="E4" t="s">
        <v>33</v>
      </c>
      <c r="F4" t="s">
        <v>810</v>
      </c>
      <c r="G4" t="s">
        <v>13</v>
      </c>
      <c r="H4" t="s">
        <v>14</v>
      </c>
      <c r="I4" t="s">
        <v>9</v>
      </c>
      <c r="J4" t="s">
        <v>10</v>
      </c>
      <c r="K4" t="s">
        <v>141</v>
      </c>
      <c r="L4">
        <v>7</v>
      </c>
      <c r="M4">
        <v>1</v>
      </c>
      <c r="N4">
        <v>2007</v>
      </c>
      <c r="O4" s="36">
        <v>39089</v>
      </c>
      <c r="P4">
        <v>19</v>
      </c>
      <c r="Q4">
        <v>4070</v>
      </c>
      <c r="R4">
        <v>407</v>
      </c>
      <c r="S4">
        <v>122.1</v>
      </c>
      <c r="T4">
        <v>3785.1000000000004</v>
      </c>
      <c r="U4" t="s">
        <v>1114</v>
      </c>
      <c r="V4" s="37">
        <v>0.05</v>
      </c>
    </row>
    <row r="5" spans="1:22" x14ac:dyDescent="0.2">
      <c r="A5">
        <v>1004</v>
      </c>
      <c r="B5" t="s">
        <v>133</v>
      </c>
      <c r="C5" t="s">
        <v>35</v>
      </c>
      <c r="D5" t="s">
        <v>1115</v>
      </c>
      <c r="E5" t="s">
        <v>34</v>
      </c>
      <c r="F5" t="s">
        <v>811</v>
      </c>
      <c r="G5" t="s">
        <v>795</v>
      </c>
      <c r="H5" t="s">
        <v>8</v>
      </c>
      <c r="I5" t="s">
        <v>15</v>
      </c>
      <c r="J5" t="s">
        <v>12</v>
      </c>
      <c r="K5" t="s">
        <v>142</v>
      </c>
      <c r="L5">
        <v>21</v>
      </c>
      <c r="M5">
        <v>1</v>
      </c>
      <c r="N5">
        <v>1993</v>
      </c>
      <c r="O5" s="36">
        <v>33990</v>
      </c>
      <c r="P5">
        <v>32</v>
      </c>
      <c r="Q5">
        <v>1906</v>
      </c>
      <c r="R5">
        <v>190.60000000000002</v>
      </c>
      <c r="S5">
        <v>57.18</v>
      </c>
      <c r="T5">
        <v>1772.58</v>
      </c>
      <c r="U5" t="s">
        <v>1114</v>
      </c>
      <c r="V5" s="37">
        <v>0.08</v>
      </c>
    </row>
    <row r="6" spans="1:22" x14ac:dyDescent="0.2">
      <c r="A6">
        <v>1005</v>
      </c>
      <c r="B6" t="s">
        <v>134</v>
      </c>
      <c r="C6" t="s">
        <v>202</v>
      </c>
      <c r="D6" t="s">
        <v>1116</v>
      </c>
      <c r="E6" t="s">
        <v>34</v>
      </c>
      <c r="F6" t="s">
        <v>812</v>
      </c>
      <c r="G6" t="s">
        <v>16</v>
      </c>
      <c r="H6" t="s">
        <v>14</v>
      </c>
      <c r="I6" t="s">
        <v>15</v>
      </c>
      <c r="J6" t="s">
        <v>12</v>
      </c>
      <c r="K6" t="s">
        <v>143</v>
      </c>
      <c r="L6">
        <v>26</v>
      </c>
      <c r="M6">
        <v>1</v>
      </c>
      <c r="N6">
        <v>2019</v>
      </c>
      <c r="O6" s="36">
        <v>43491</v>
      </c>
      <c r="P6">
        <v>6</v>
      </c>
      <c r="Q6">
        <v>2600</v>
      </c>
      <c r="R6">
        <v>260</v>
      </c>
      <c r="S6">
        <v>78</v>
      </c>
      <c r="T6">
        <v>2418</v>
      </c>
      <c r="U6" t="s">
        <v>1114</v>
      </c>
      <c r="V6" s="37">
        <v>0.08</v>
      </c>
    </row>
    <row r="7" spans="1:22" x14ac:dyDescent="0.2">
      <c r="A7">
        <v>1006</v>
      </c>
      <c r="B7" t="s">
        <v>37</v>
      </c>
      <c r="C7" t="s">
        <v>38</v>
      </c>
      <c r="D7" t="s">
        <v>1117</v>
      </c>
      <c r="E7" t="s">
        <v>34</v>
      </c>
      <c r="F7" t="s">
        <v>813</v>
      </c>
      <c r="G7" t="s">
        <v>13</v>
      </c>
      <c r="H7" t="s">
        <v>11</v>
      </c>
      <c r="I7" t="s">
        <v>17</v>
      </c>
      <c r="J7" t="s">
        <v>12</v>
      </c>
      <c r="K7" t="s">
        <v>144</v>
      </c>
      <c r="L7">
        <v>26</v>
      </c>
      <c r="M7">
        <v>1</v>
      </c>
      <c r="N7">
        <v>2003</v>
      </c>
      <c r="O7" s="36">
        <v>37647</v>
      </c>
      <c r="P7">
        <v>22</v>
      </c>
      <c r="Q7">
        <v>3753</v>
      </c>
      <c r="R7">
        <v>375.3</v>
      </c>
      <c r="S7">
        <v>112.58999999999999</v>
      </c>
      <c r="T7">
        <v>3490.29</v>
      </c>
      <c r="U7" t="s">
        <v>1114</v>
      </c>
      <c r="V7" s="37">
        <v>0.05</v>
      </c>
    </row>
    <row r="8" spans="1:22" x14ac:dyDescent="0.2">
      <c r="A8">
        <v>1007</v>
      </c>
      <c r="B8" t="s">
        <v>39</v>
      </c>
      <c r="C8" t="s">
        <v>40</v>
      </c>
      <c r="D8" t="s">
        <v>1118</v>
      </c>
      <c r="E8" t="s">
        <v>33</v>
      </c>
      <c r="F8" t="s">
        <v>814</v>
      </c>
      <c r="G8" t="s">
        <v>18</v>
      </c>
      <c r="H8" t="s">
        <v>8</v>
      </c>
      <c r="I8" t="s">
        <v>198</v>
      </c>
      <c r="J8" t="s">
        <v>19</v>
      </c>
      <c r="K8" t="s">
        <v>145</v>
      </c>
      <c r="L8">
        <v>29</v>
      </c>
      <c r="M8">
        <v>1</v>
      </c>
      <c r="N8">
        <v>1994</v>
      </c>
      <c r="O8" s="36">
        <v>34363</v>
      </c>
      <c r="P8">
        <v>31</v>
      </c>
      <c r="Q8">
        <v>5086</v>
      </c>
      <c r="R8">
        <v>508.6</v>
      </c>
      <c r="S8">
        <v>152.57999999999998</v>
      </c>
      <c r="T8">
        <v>4729.9799999999996</v>
      </c>
      <c r="U8" t="s">
        <v>1114</v>
      </c>
      <c r="V8" s="37">
        <v>0.05</v>
      </c>
    </row>
    <row r="9" spans="1:22" x14ac:dyDescent="0.2">
      <c r="A9">
        <v>1008</v>
      </c>
      <c r="B9" t="s">
        <v>37</v>
      </c>
      <c r="C9" t="s">
        <v>41</v>
      </c>
      <c r="D9" t="s">
        <v>1119</v>
      </c>
      <c r="E9" t="s">
        <v>34</v>
      </c>
      <c r="F9" t="s">
        <v>815</v>
      </c>
      <c r="G9" t="s">
        <v>13</v>
      </c>
      <c r="H9" t="s">
        <v>20</v>
      </c>
      <c r="I9" t="s">
        <v>9</v>
      </c>
      <c r="J9" t="s">
        <v>21</v>
      </c>
      <c r="K9" t="s">
        <v>146</v>
      </c>
      <c r="L9">
        <v>29</v>
      </c>
      <c r="M9">
        <v>1</v>
      </c>
      <c r="N9">
        <v>2012</v>
      </c>
      <c r="O9" s="36">
        <v>40937</v>
      </c>
      <c r="P9">
        <v>13</v>
      </c>
      <c r="Q9">
        <v>2431</v>
      </c>
      <c r="R9">
        <v>243.10000000000002</v>
      </c>
      <c r="S9">
        <v>72.929999999999993</v>
      </c>
      <c r="T9">
        <v>2260.83</v>
      </c>
      <c r="U9" t="s">
        <v>1114</v>
      </c>
      <c r="V9" s="37">
        <v>0.08</v>
      </c>
    </row>
    <row r="10" spans="1:22" x14ac:dyDescent="0.2">
      <c r="A10">
        <v>1009</v>
      </c>
      <c r="B10" t="s">
        <v>42</v>
      </c>
      <c r="C10" t="s">
        <v>43</v>
      </c>
      <c r="D10" t="s">
        <v>1120</v>
      </c>
      <c r="E10" t="s">
        <v>33</v>
      </c>
      <c r="F10" t="s">
        <v>816</v>
      </c>
      <c r="G10" t="s">
        <v>16</v>
      </c>
      <c r="H10" t="s">
        <v>8</v>
      </c>
      <c r="I10" t="s">
        <v>9</v>
      </c>
      <c r="J10" t="s">
        <v>12</v>
      </c>
      <c r="K10" t="s">
        <v>147</v>
      </c>
      <c r="L10">
        <v>30</v>
      </c>
      <c r="M10">
        <v>1</v>
      </c>
      <c r="N10">
        <v>2004</v>
      </c>
      <c r="O10" s="36">
        <v>38016</v>
      </c>
      <c r="P10">
        <v>21</v>
      </c>
      <c r="Q10">
        <v>2955</v>
      </c>
      <c r="R10">
        <v>295.5</v>
      </c>
      <c r="S10">
        <v>88.649999999999991</v>
      </c>
      <c r="T10">
        <v>2748.15</v>
      </c>
      <c r="U10" t="s">
        <v>1114</v>
      </c>
      <c r="V10" s="37">
        <v>0.08</v>
      </c>
    </row>
    <row r="11" spans="1:22" x14ac:dyDescent="0.2">
      <c r="A11">
        <v>1010</v>
      </c>
      <c r="B11" t="s">
        <v>37</v>
      </c>
      <c r="C11" t="s">
        <v>44</v>
      </c>
      <c r="D11" t="s">
        <v>1121</v>
      </c>
      <c r="E11" t="s">
        <v>34</v>
      </c>
      <c r="F11" t="s">
        <v>817</v>
      </c>
      <c r="G11" t="s">
        <v>16</v>
      </c>
      <c r="H11" t="s">
        <v>14</v>
      </c>
      <c r="I11" t="s">
        <v>198</v>
      </c>
      <c r="J11" t="s">
        <v>12</v>
      </c>
      <c r="K11" t="s">
        <v>148</v>
      </c>
      <c r="L11">
        <v>11</v>
      </c>
      <c r="M11">
        <v>2</v>
      </c>
      <c r="N11">
        <v>2003</v>
      </c>
      <c r="O11" s="36">
        <v>37663</v>
      </c>
      <c r="P11">
        <v>22</v>
      </c>
      <c r="Q11">
        <v>1948</v>
      </c>
      <c r="R11">
        <v>194.8</v>
      </c>
      <c r="S11">
        <v>58.44</v>
      </c>
      <c r="T11">
        <v>1811.64</v>
      </c>
      <c r="U11" t="s">
        <v>1114</v>
      </c>
      <c r="V11" s="37">
        <v>0.08</v>
      </c>
    </row>
    <row r="12" spans="1:22" x14ac:dyDescent="0.2">
      <c r="A12">
        <v>1011</v>
      </c>
      <c r="B12" t="s">
        <v>37</v>
      </c>
      <c r="C12" t="s">
        <v>45</v>
      </c>
      <c r="D12" t="s">
        <v>1122</v>
      </c>
      <c r="E12" t="s">
        <v>34</v>
      </c>
      <c r="F12" t="s">
        <v>818</v>
      </c>
      <c r="G12" t="s">
        <v>18</v>
      </c>
      <c r="H12" t="s">
        <v>14</v>
      </c>
      <c r="I12" t="s">
        <v>22</v>
      </c>
      <c r="J12" t="s">
        <v>21</v>
      </c>
      <c r="K12" t="s">
        <v>149</v>
      </c>
      <c r="L12">
        <v>11</v>
      </c>
      <c r="M12">
        <v>2</v>
      </c>
      <c r="N12">
        <v>1993</v>
      </c>
      <c r="O12" s="36">
        <v>34011</v>
      </c>
      <c r="P12">
        <v>32</v>
      </c>
      <c r="Q12">
        <v>3294</v>
      </c>
      <c r="R12">
        <v>329.40000000000003</v>
      </c>
      <c r="S12">
        <v>98.82</v>
      </c>
      <c r="T12">
        <v>3063.42</v>
      </c>
      <c r="U12" t="s">
        <v>1114</v>
      </c>
      <c r="V12" s="37">
        <v>0.05</v>
      </c>
    </row>
    <row r="13" spans="1:22" x14ac:dyDescent="0.2">
      <c r="A13">
        <v>1012</v>
      </c>
      <c r="B13" t="s">
        <v>37</v>
      </c>
      <c r="C13" t="s">
        <v>46</v>
      </c>
      <c r="D13" t="s">
        <v>1123</v>
      </c>
      <c r="E13" t="s">
        <v>34</v>
      </c>
      <c r="F13" t="s">
        <v>819</v>
      </c>
      <c r="G13" t="s">
        <v>795</v>
      </c>
      <c r="H13" t="s">
        <v>11</v>
      </c>
      <c r="I13" t="s">
        <v>198</v>
      </c>
      <c r="J13" t="s">
        <v>10</v>
      </c>
      <c r="K13" t="s">
        <v>150</v>
      </c>
      <c r="L13">
        <v>17</v>
      </c>
      <c r="M13">
        <v>2</v>
      </c>
      <c r="N13">
        <v>2005</v>
      </c>
      <c r="O13" s="36">
        <v>38400</v>
      </c>
      <c r="P13">
        <v>20</v>
      </c>
      <c r="Q13">
        <v>7123</v>
      </c>
      <c r="R13">
        <v>712.30000000000007</v>
      </c>
      <c r="S13">
        <v>213.69</v>
      </c>
      <c r="T13">
        <v>6624.3899999999994</v>
      </c>
      <c r="U13" t="s">
        <v>1111</v>
      </c>
      <c r="V13" s="37">
        <v>0.02</v>
      </c>
    </row>
    <row r="14" spans="1:22" x14ac:dyDescent="0.2">
      <c r="A14">
        <v>1013</v>
      </c>
      <c r="B14" t="s">
        <v>47</v>
      </c>
      <c r="C14" t="s">
        <v>48</v>
      </c>
      <c r="D14" t="s">
        <v>1124</v>
      </c>
      <c r="E14" t="s">
        <v>33</v>
      </c>
      <c r="F14" t="s">
        <v>820</v>
      </c>
      <c r="G14" t="s">
        <v>13</v>
      </c>
      <c r="H14" t="s">
        <v>8</v>
      </c>
      <c r="I14" t="s">
        <v>22</v>
      </c>
      <c r="J14" t="s">
        <v>10</v>
      </c>
      <c r="K14" t="s">
        <v>151</v>
      </c>
      <c r="L14">
        <v>25</v>
      </c>
      <c r="M14">
        <v>2</v>
      </c>
      <c r="N14">
        <v>2019</v>
      </c>
      <c r="O14" s="36">
        <v>43521</v>
      </c>
      <c r="P14">
        <v>6</v>
      </c>
      <c r="Q14">
        <v>7236</v>
      </c>
      <c r="R14">
        <v>723.6</v>
      </c>
      <c r="S14">
        <v>217.07999999999998</v>
      </c>
      <c r="T14">
        <v>6729.48</v>
      </c>
      <c r="U14" t="s">
        <v>1111</v>
      </c>
      <c r="V14" s="37">
        <v>0.02</v>
      </c>
    </row>
    <row r="15" spans="1:22" x14ac:dyDescent="0.2">
      <c r="A15">
        <v>1014</v>
      </c>
      <c r="B15" t="s">
        <v>49</v>
      </c>
      <c r="C15" t="s">
        <v>203</v>
      </c>
      <c r="D15" t="s">
        <v>1125</v>
      </c>
      <c r="E15" t="s">
        <v>33</v>
      </c>
      <c r="F15" t="s">
        <v>821</v>
      </c>
      <c r="G15" t="s">
        <v>795</v>
      </c>
      <c r="H15" t="s">
        <v>8</v>
      </c>
      <c r="I15" t="s">
        <v>198</v>
      </c>
      <c r="J15" t="s">
        <v>12</v>
      </c>
      <c r="K15" t="s">
        <v>152</v>
      </c>
      <c r="L15">
        <v>26</v>
      </c>
      <c r="M15">
        <v>2</v>
      </c>
      <c r="N15">
        <v>2004</v>
      </c>
      <c r="O15" s="36">
        <v>38043</v>
      </c>
      <c r="P15">
        <v>21</v>
      </c>
      <c r="Q15">
        <v>6843</v>
      </c>
      <c r="R15">
        <v>684.30000000000007</v>
      </c>
      <c r="S15">
        <v>205.29</v>
      </c>
      <c r="T15">
        <v>6363.99</v>
      </c>
      <c r="U15" t="s">
        <v>1111</v>
      </c>
      <c r="V15" s="37">
        <v>0.02</v>
      </c>
    </row>
    <row r="16" spans="1:22" x14ac:dyDescent="0.2">
      <c r="A16">
        <v>1015</v>
      </c>
      <c r="B16" t="s">
        <v>51</v>
      </c>
      <c r="C16" t="s">
        <v>204</v>
      </c>
      <c r="D16" t="s">
        <v>1126</v>
      </c>
      <c r="E16" t="s">
        <v>33</v>
      </c>
      <c r="F16" t="s">
        <v>822</v>
      </c>
      <c r="G16" t="s">
        <v>795</v>
      </c>
      <c r="H16" t="s">
        <v>20</v>
      </c>
      <c r="I16" t="s">
        <v>198</v>
      </c>
      <c r="J16" t="s">
        <v>12</v>
      </c>
      <c r="K16" t="s">
        <v>153</v>
      </c>
      <c r="L16">
        <v>2</v>
      </c>
      <c r="M16">
        <v>3</v>
      </c>
      <c r="N16">
        <v>2011</v>
      </c>
      <c r="O16" s="36">
        <v>40604</v>
      </c>
      <c r="P16">
        <v>14</v>
      </c>
      <c r="Q16">
        <v>1070</v>
      </c>
      <c r="R16">
        <v>107</v>
      </c>
      <c r="S16">
        <v>32.1</v>
      </c>
      <c r="T16">
        <v>995.09999999999991</v>
      </c>
      <c r="U16" t="s">
        <v>1114</v>
      </c>
      <c r="V16" s="37">
        <v>0.1</v>
      </c>
    </row>
    <row r="17" spans="1:22" x14ac:dyDescent="0.2">
      <c r="A17">
        <v>1016</v>
      </c>
      <c r="B17" t="s">
        <v>52</v>
      </c>
      <c r="C17" t="s">
        <v>37</v>
      </c>
      <c r="D17" t="s">
        <v>1127</v>
      </c>
      <c r="E17" t="s">
        <v>34</v>
      </c>
      <c r="F17" t="s">
        <v>823</v>
      </c>
      <c r="G17" t="s">
        <v>13</v>
      </c>
      <c r="H17" t="s">
        <v>20</v>
      </c>
      <c r="I17" t="s">
        <v>198</v>
      </c>
      <c r="J17" t="s">
        <v>10</v>
      </c>
      <c r="K17" t="s">
        <v>154</v>
      </c>
      <c r="L17">
        <v>10</v>
      </c>
      <c r="M17">
        <v>3</v>
      </c>
      <c r="N17">
        <v>2020</v>
      </c>
      <c r="O17" s="36">
        <v>43900</v>
      </c>
      <c r="P17">
        <v>5</v>
      </c>
      <c r="Q17">
        <v>1493</v>
      </c>
      <c r="R17">
        <v>149.30000000000001</v>
      </c>
      <c r="S17">
        <v>44.79</v>
      </c>
      <c r="T17">
        <v>1388.49</v>
      </c>
      <c r="U17" t="s">
        <v>1114</v>
      </c>
      <c r="V17" s="37">
        <v>0.08</v>
      </c>
    </row>
    <row r="18" spans="1:22" x14ac:dyDescent="0.2">
      <c r="A18">
        <v>1017</v>
      </c>
      <c r="B18" t="s">
        <v>53</v>
      </c>
      <c r="C18" t="s">
        <v>784</v>
      </c>
      <c r="D18" t="s">
        <v>1128</v>
      </c>
      <c r="E18" t="s">
        <v>33</v>
      </c>
      <c r="F18" t="s">
        <v>824</v>
      </c>
      <c r="G18" t="s">
        <v>18</v>
      </c>
      <c r="H18" t="s">
        <v>8</v>
      </c>
      <c r="I18" t="s">
        <v>22</v>
      </c>
      <c r="J18" t="s">
        <v>12</v>
      </c>
      <c r="K18" t="s">
        <v>785</v>
      </c>
      <c r="L18">
        <v>6</v>
      </c>
      <c r="M18">
        <v>4</v>
      </c>
      <c r="N18">
        <v>1999</v>
      </c>
      <c r="O18" s="36">
        <v>36256</v>
      </c>
      <c r="P18">
        <v>26</v>
      </c>
      <c r="Q18">
        <v>5857</v>
      </c>
      <c r="R18">
        <v>585.70000000000005</v>
      </c>
      <c r="S18">
        <v>175.70999999999998</v>
      </c>
      <c r="T18">
        <v>5447.01</v>
      </c>
      <c r="U18" t="s">
        <v>1114</v>
      </c>
      <c r="V18" s="37">
        <v>0.05</v>
      </c>
    </row>
    <row r="19" spans="1:22" x14ac:dyDescent="0.2">
      <c r="A19">
        <v>1018</v>
      </c>
      <c r="B19" t="s">
        <v>54</v>
      </c>
      <c r="C19" t="s">
        <v>55</v>
      </c>
      <c r="D19" t="s">
        <v>1129</v>
      </c>
      <c r="E19" t="s">
        <v>34</v>
      </c>
      <c r="F19" t="s">
        <v>825</v>
      </c>
      <c r="G19" t="s">
        <v>18</v>
      </c>
      <c r="H19" t="s">
        <v>11</v>
      </c>
      <c r="I19" t="s">
        <v>23</v>
      </c>
      <c r="J19" t="s">
        <v>12</v>
      </c>
      <c r="K19" t="s">
        <v>155</v>
      </c>
      <c r="L19">
        <v>12</v>
      </c>
      <c r="M19">
        <v>4</v>
      </c>
      <c r="N19">
        <v>2004</v>
      </c>
      <c r="O19" s="36">
        <v>38089</v>
      </c>
      <c r="P19">
        <v>21</v>
      </c>
      <c r="Q19">
        <v>5278</v>
      </c>
      <c r="R19">
        <v>527.80000000000007</v>
      </c>
      <c r="S19">
        <v>158.34</v>
      </c>
      <c r="T19">
        <v>4908.54</v>
      </c>
      <c r="U19" t="s">
        <v>1114</v>
      </c>
      <c r="V19" s="37">
        <v>0.05</v>
      </c>
    </row>
    <row r="20" spans="1:22" x14ac:dyDescent="0.2">
      <c r="A20">
        <v>1019</v>
      </c>
      <c r="B20" t="s">
        <v>56</v>
      </c>
      <c r="C20" t="s">
        <v>57</v>
      </c>
      <c r="D20" t="s">
        <v>1130</v>
      </c>
      <c r="E20" t="s">
        <v>33</v>
      </c>
      <c r="F20" t="s">
        <v>826</v>
      </c>
      <c r="G20" t="s">
        <v>795</v>
      </c>
      <c r="H20" t="s">
        <v>8</v>
      </c>
      <c r="I20" t="s">
        <v>23</v>
      </c>
      <c r="J20" t="s">
        <v>12</v>
      </c>
      <c r="K20" t="s">
        <v>156</v>
      </c>
      <c r="L20">
        <v>13</v>
      </c>
      <c r="M20">
        <v>4</v>
      </c>
      <c r="N20">
        <v>1999</v>
      </c>
      <c r="O20" s="36">
        <v>36263</v>
      </c>
      <c r="P20">
        <v>26</v>
      </c>
      <c r="Q20">
        <v>5710</v>
      </c>
      <c r="R20">
        <v>571</v>
      </c>
      <c r="S20">
        <v>171.29999999999998</v>
      </c>
      <c r="T20">
        <v>5310.3</v>
      </c>
      <c r="U20" t="s">
        <v>1114</v>
      </c>
      <c r="V20" s="37">
        <v>0.05</v>
      </c>
    </row>
    <row r="21" spans="1:22" x14ac:dyDescent="0.2">
      <c r="A21">
        <v>1020</v>
      </c>
      <c r="B21" t="s">
        <v>58</v>
      </c>
      <c r="C21" t="s">
        <v>59</v>
      </c>
      <c r="D21" t="s">
        <v>1131</v>
      </c>
      <c r="E21" t="s">
        <v>34</v>
      </c>
      <c r="F21" t="s">
        <v>827</v>
      </c>
      <c r="G21" t="s">
        <v>13</v>
      </c>
      <c r="H21" t="s">
        <v>8</v>
      </c>
      <c r="I21" t="s">
        <v>15</v>
      </c>
      <c r="J21" t="s">
        <v>12</v>
      </c>
      <c r="K21" t="s">
        <v>157</v>
      </c>
      <c r="L21">
        <v>28</v>
      </c>
      <c r="M21">
        <v>4</v>
      </c>
      <c r="N21">
        <v>2020</v>
      </c>
      <c r="O21" s="36">
        <v>43949</v>
      </c>
      <c r="P21">
        <v>5</v>
      </c>
      <c r="Q21">
        <v>6145</v>
      </c>
      <c r="R21">
        <v>614.5</v>
      </c>
      <c r="S21">
        <v>184.35</v>
      </c>
      <c r="T21">
        <v>5714.85</v>
      </c>
      <c r="U21" t="s">
        <v>1114</v>
      </c>
      <c r="V21" s="37">
        <v>0.05</v>
      </c>
    </row>
    <row r="22" spans="1:22" x14ac:dyDescent="0.2">
      <c r="A22">
        <v>1021</v>
      </c>
      <c r="B22" t="s">
        <v>60</v>
      </c>
      <c r="C22" t="s">
        <v>61</v>
      </c>
      <c r="D22" t="s">
        <v>1132</v>
      </c>
      <c r="E22" t="s">
        <v>34</v>
      </c>
      <c r="F22" t="s">
        <v>828</v>
      </c>
      <c r="G22" t="s">
        <v>16</v>
      </c>
      <c r="H22" t="s">
        <v>11</v>
      </c>
      <c r="I22" t="s">
        <v>23</v>
      </c>
      <c r="J22" t="s">
        <v>21</v>
      </c>
      <c r="K22" t="s">
        <v>158</v>
      </c>
      <c r="L22">
        <v>1</v>
      </c>
      <c r="M22">
        <v>5</v>
      </c>
      <c r="N22">
        <v>2012</v>
      </c>
      <c r="O22" s="36">
        <v>41030</v>
      </c>
      <c r="P22">
        <v>13</v>
      </c>
      <c r="Q22">
        <v>5278</v>
      </c>
      <c r="R22">
        <v>527.80000000000007</v>
      </c>
      <c r="S22">
        <v>158.34</v>
      </c>
      <c r="T22">
        <v>4908.54</v>
      </c>
      <c r="U22" t="s">
        <v>1114</v>
      </c>
      <c r="V22" s="37">
        <v>0.05</v>
      </c>
    </row>
    <row r="23" spans="1:22" x14ac:dyDescent="0.2">
      <c r="A23">
        <v>1022</v>
      </c>
      <c r="B23" t="s">
        <v>62</v>
      </c>
      <c r="C23" t="s">
        <v>63</v>
      </c>
      <c r="D23" t="s">
        <v>1133</v>
      </c>
      <c r="E23" t="s">
        <v>34</v>
      </c>
      <c r="F23" t="s">
        <v>829</v>
      </c>
      <c r="G23" t="s">
        <v>16</v>
      </c>
      <c r="H23" t="s">
        <v>11</v>
      </c>
      <c r="I23" t="s">
        <v>9</v>
      </c>
      <c r="J23" t="s">
        <v>10</v>
      </c>
      <c r="K23" t="s">
        <v>159</v>
      </c>
      <c r="L23">
        <v>7</v>
      </c>
      <c r="M23">
        <v>5</v>
      </c>
      <c r="N23">
        <v>1996</v>
      </c>
      <c r="O23" s="36">
        <v>35192</v>
      </c>
      <c r="P23">
        <v>29</v>
      </c>
      <c r="Q23">
        <v>6409</v>
      </c>
      <c r="R23">
        <v>640.90000000000009</v>
      </c>
      <c r="S23">
        <v>192.26999999999998</v>
      </c>
      <c r="T23">
        <v>5960.3700000000008</v>
      </c>
      <c r="U23" t="s">
        <v>1114</v>
      </c>
      <c r="V23" s="37">
        <v>0.05</v>
      </c>
    </row>
    <row r="24" spans="1:22" x14ac:dyDescent="0.2">
      <c r="A24">
        <v>1023</v>
      </c>
      <c r="B24" t="s">
        <v>64</v>
      </c>
      <c r="C24" t="s">
        <v>65</v>
      </c>
      <c r="D24" t="s">
        <v>1134</v>
      </c>
      <c r="E24" t="s">
        <v>34</v>
      </c>
      <c r="F24" t="s">
        <v>830</v>
      </c>
      <c r="G24" t="s">
        <v>13</v>
      </c>
      <c r="H24" t="s">
        <v>8</v>
      </c>
      <c r="I24" t="s">
        <v>9</v>
      </c>
      <c r="J24" t="s">
        <v>12</v>
      </c>
      <c r="K24" t="s">
        <v>160</v>
      </c>
      <c r="L24">
        <v>12</v>
      </c>
      <c r="M24">
        <v>5</v>
      </c>
      <c r="N24">
        <v>2007</v>
      </c>
      <c r="O24" s="36">
        <v>39214</v>
      </c>
      <c r="P24">
        <v>18</v>
      </c>
      <c r="Q24">
        <v>7478</v>
      </c>
      <c r="R24">
        <v>747.80000000000007</v>
      </c>
      <c r="S24">
        <v>224.34</v>
      </c>
      <c r="T24">
        <v>6954.54</v>
      </c>
      <c r="U24" t="s">
        <v>1111</v>
      </c>
      <c r="V24" s="37">
        <v>0.02</v>
      </c>
    </row>
    <row r="25" spans="1:22" x14ac:dyDescent="0.2">
      <c r="A25">
        <v>1024</v>
      </c>
      <c r="B25" t="s">
        <v>36</v>
      </c>
      <c r="C25" t="s">
        <v>36</v>
      </c>
      <c r="D25" t="s">
        <v>1135</v>
      </c>
      <c r="E25" t="s">
        <v>34</v>
      </c>
      <c r="F25" t="s">
        <v>831</v>
      </c>
      <c r="G25" t="s">
        <v>795</v>
      </c>
      <c r="H25" t="s">
        <v>8</v>
      </c>
      <c r="I25" t="s">
        <v>9</v>
      </c>
      <c r="J25" t="s">
        <v>19</v>
      </c>
      <c r="K25" t="s">
        <v>161</v>
      </c>
      <c r="L25">
        <v>18</v>
      </c>
      <c r="M25">
        <v>5</v>
      </c>
      <c r="N25">
        <v>2002</v>
      </c>
      <c r="O25" s="36">
        <v>37394</v>
      </c>
      <c r="P25">
        <v>23</v>
      </c>
      <c r="Q25">
        <v>4621</v>
      </c>
      <c r="R25">
        <v>462.1</v>
      </c>
      <c r="S25">
        <v>138.63</v>
      </c>
      <c r="T25">
        <v>4297.53</v>
      </c>
      <c r="U25" t="s">
        <v>1114</v>
      </c>
      <c r="V25" s="37">
        <v>0.05</v>
      </c>
    </row>
    <row r="26" spans="1:22" x14ac:dyDescent="0.2">
      <c r="A26">
        <v>1025</v>
      </c>
      <c r="B26" t="s">
        <v>37</v>
      </c>
      <c r="C26" t="s">
        <v>66</v>
      </c>
      <c r="D26" t="s">
        <v>1136</v>
      </c>
      <c r="E26" t="s">
        <v>34</v>
      </c>
      <c r="F26" t="s">
        <v>832</v>
      </c>
      <c r="G26" t="s">
        <v>16</v>
      </c>
      <c r="H26" t="s">
        <v>11</v>
      </c>
      <c r="I26" t="s">
        <v>24</v>
      </c>
      <c r="J26" t="s">
        <v>19</v>
      </c>
      <c r="K26" t="s">
        <v>162</v>
      </c>
      <c r="L26">
        <v>19</v>
      </c>
      <c r="M26">
        <v>5</v>
      </c>
      <c r="N26">
        <v>2002</v>
      </c>
      <c r="O26" s="36">
        <v>37395</v>
      </c>
      <c r="P26">
        <v>23</v>
      </c>
      <c r="Q26">
        <v>2093</v>
      </c>
      <c r="R26">
        <v>209.3</v>
      </c>
      <c r="S26">
        <v>62.79</v>
      </c>
      <c r="T26">
        <v>1946.49</v>
      </c>
      <c r="U26" t="s">
        <v>1114</v>
      </c>
      <c r="V26" s="37">
        <v>0.08</v>
      </c>
    </row>
    <row r="27" spans="1:22" x14ac:dyDescent="0.2">
      <c r="A27">
        <v>1026</v>
      </c>
      <c r="B27" t="s">
        <v>67</v>
      </c>
      <c r="C27" t="s">
        <v>68</v>
      </c>
      <c r="D27" t="s">
        <v>1137</v>
      </c>
      <c r="E27" t="s">
        <v>33</v>
      </c>
      <c r="F27" t="s">
        <v>833</v>
      </c>
      <c r="G27" t="s">
        <v>795</v>
      </c>
      <c r="H27" t="s">
        <v>11</v>
      </c>
      <c r="I27" t="s">
        <v>198</v>
      </c>
      <c r="J27" t="s">
        <v>12</v>
      </c>
      <c r="K27" t="s">
        <v>163</v>
      </c>
      <c r="L27">
        <v>20</v>
      </c>
      <c r="M27">
        <v>5</v>
      </c>
      <c r="N27">
        <v>2016</v>
      </c>
      <c r="O27" s="36">
        <v>42510</v>
      </c>
      <c r="P27">
        <v>9</v>
      </c>
      <c r="Q27">
        <v>7333</v>
      </c>
      <c r="R27">
        <v>733.30000000000007</v>
      </c>
      <c r="S27">
        <v>219.98999999999998</v>
      </c>
      <c r="T27">
        <v>6819.69</v>
      </c>
      <c r="U27" t="s">
        <v>1111</v>
      </c>
      <c r="V27" s="37">
        <v>0.02</v>
      </c>
    </row>
    <row r="28" spans="1:22" x14ac:dyDescent="0.2">
      <c r="A28">
        <v>1027</v>
      </c>
      <c r="B28" t="s">
        <v>63</v>
      </c>
      <c r="C28" t="s">
        <v>69</v>
      </c>
      <c r="D28" t="s">
        <v>1138</v>
      </c>
      <c r="E28" t="s">
        <v>34</v>
      </c>
      <c r="F28" t="s">
        <v>834</v>
      </c>
      <c r="G28" t="s">
        <v>16</v>
      </c>
      <c r="H28" t="s">
        <v>20</v>
      </c>
      <c r="I28" t="s">
        <v>15</v>
      </c>
      <c r="J28" t="s">
        <v>10</v>
      </c>
      <c r="K28" t="s">
        <v>164</v>
      </c>
      <c r="L28">
        <v>26</v>
      </c>
      <c r="M28">
        <v>5</v>
      </c>
      <c r="N28">
        <v>2000</v>
      </c>
      <c r="O28" s="36">
        <v>36672</v>
      </c>
      <c r="P28">
        <v>25</v>
      </c>
      <c r="Q28">
        <v>1194</v>
      </c>
      <c r="R28">
        <v>119.4</v>
      </c>
      <c r="S28">
        <v>35.82</v>
      </c>
      <c r="T28">
        <v>1110.4199999999998</v>
      </c>
      <c r="U28" t="s">
        <v>1114</v>
      </c>
      <c r="V28" s="37">
        <v>0.08</v>
      </c>
    </row>
    <row r="29" spans="1:22" x14ac:dyDescent="0.2">
      <c r="A29">
        <v>1028</v>
      </c>
      <c r="B29" t="s">
        <v>70</v>
      </c>
      <c r="C29" t="s">
        <v>71</v>
      </c>
      <c r="D29" t="s">
        <v>1139</v>
      </c>
      <c r="E29" t="s">
        <v>33</v>
      </c>
      <c r="F29" t="s">
        <v>835</v>
      </c>
      <c r="G29" t="s">
        <v>7</v>
      </c>
      <c r="H29" t="s">
        <v>8</v>
      </c>
      <c r="I29" t="s">
        <v>15</v>
      </c>
      <c r="J29" t="s">
        <v>21</v>
      </c>
      <c r="K29" t="s">
        <v>165</v>
      </c>
      <c r="L29">
        <v>7</v>
      </c>
      <c r="M29">
        <v>6</v>
      </c>
      <c r="N29">
        <v>2000</v>
      </c>
      <c r="O29" s="36">
        <v>36684</v>
      </c>
      <c r="P29">
        <v>25</v>
      </c>
      <c r="Q29">
        <v>5118</v>
      </c>
      <c r="R29">
        <v>511.8</v>
      </c>
      <c r="S29">
        <v>153.54</v>
      </c>
      <c r="T29">
        <v>4759.74</v>
      </c>
      <c r="U29" t="s">
        <v>1114</v>
      </c>
      <c r="V29" s="37">
        <v>0.05</v>
      </c>
    </row>
    <row r="30" spans="1:22" x14ac:dyDescent="0.2">
      <c r="A30">
        <v>1029</v>
      </c>
      <c r="B30" t="s">
        <v>72</v>
      </c>
      <c r="C30" t="s">
        <v>73</v>
      </c>
      <c r="D30" t="s">
        <v>1140</v>
      </c>
      <c r="E30" t="s">
        <v>33</v>
      </c>
      <c r="F30" t="s">
        <v>836</v>
      </c>
      <c r="G30" t="s">
        <v>16</v>
      </c>
      <c r="H30" t="s">
        <v>11</v>
      </c>
      <c r="I30" t="s">
        <v>25</v>
      </c>
      <c r="J30" t="s">
        <v>12</v>
      </c>
      <c r="K30" t="s">
        <v>166</v>
      </c>
      <c r="L30">
        <v>8</v>
      </c>
      <c r="M30">
        <v>6</v>
      </c>
      <c r="N30">
        <v>2015</v>
      </c>
      <c r="O30" s="36">
        <v>42163</v>
      </c>
      <c r="P30">
        <v>10</v>
      </c>
      <c r="Q30">
        <v>5373</v>
      </c>
      <c r="R30">
        <v>537.30000000000007</v>
      </c>
      <c r="S30">
        <v>161.19</v>
      </c>
      <c r="T30">
        <v>4996.8899999999994</v>
      </c>
      <c r="U30" t="s">
        <v>1114</v>
      </c>
      <c r="V30" s="37">
        <v>0.05</v>
      </c>
    </row>
    <row r="31" spans="1:22" x14ac:dyDescent="0.2">
      <c r="A31">
        <v>1030</v>
      </c>
      <c r="B31" t="s">
        <v>74</v>
      </c>
      <c r="C31" t="s">
        <v>75</v>
      </c>
      <c r="D31" t="s">
        <v>1141</v>
      </c>
      <c r="E31" t="s">
        <v>34</v>
      </c>
      <c r="F31" t="s">
        <v>837</v>
      </c>
      <c r="G31" t="s">
        <v>16</v>
      </c>
      <c r="H31" t="s">
        <v>14</v>
      </c>
      <c r="I31" t="s">
        <v>26</v>
      </c>
      <c r="J31" t="s">
        <v>12</v>
      </c>
      <c r="K31" t="s">
        <v>167</v>
      </c>
      <c r="L31">
        <v>10</v>
      </c>
      <c r="M31">
        <v>6</v>
      </c>
      <c r="N31">
        <v>2020</v>
      </c>
      <c r="O31" s="36">
        <v>43992</v>
      </c>
      <c r="P31">
        <v>5</v>
      </c>
      <c r="Q31">
        <v>1708</v>
      </c>
      <c r="R31">
        <v>170.8</v>
      </c>
      <c r="S31">
        <v>51.239999999999995</v>
      </c>
      <c r="T31">
        <v>1588.44</v>
      </c>
      <c r="U31" t="s">
        <v>1114</v>
      </c>
      <c r="V31" s="37">
        <v>0.08</v>
      </c>
    </row>
    <row r="32" spans="1:22" x14ac:dyDescent="0.2">
      <c r="A32">
        <v>1031</v>
      </c>
      <c r="B32" t="s">
        <v>76</v>
      </c>
      <c r="C32" t="s">
        <v>77</v>
      </c>
      <c r="D32" t="s">
        <v>1142</v>
      </c>
      <c r="E32" t="s">
        <v>33</v>
      </c>
      <c r="F32" t="s">
        <v>838</v>
      </c>
      <c r="G32" t="s">
        <v>18</v>
      </c>
      <c r="H32" t="s">
        <v>8</v>
      </c>
      <c r="I32" t="s">
        <v>198</v>
      </c>
      <c r="J32" t="s">
        <v>12</v>
      </c>
      <c r="K32" t="s">
        <v>168</v>
      </c>
      <c r="L32">
        <v>14</v>
      </c>
      <c r="M32">
        <v>6</v>
      </c>
      <c r="N32">
        <v>1993</v>
      </c>
      <c r="O32" s="36">
        <v>34134</v>
      </c>
      <c r="P32">
        <v>32</v>
      </c>
      <c r="Q32">
        <v>2898</v>
      </c>
      <c r="R32">
        <v>289.8</v>
      </c>
      <c r="S32">
        <v>86.94</v>
      </c>
      <c r="T32">
        <v>2695.14</v>
      </c>
      <c r="U32" t="s">
        <v>1114</v>
      </c>
      <c r="V32" s="37">
        <v>0.08</v>
      </c>
    </row>
    <row r="33" spans="1:22" x14ac:dyDescent="0.2">
      <c r="A33">
        <v>1032</v>
      </c>
      <c r="B33" t="s">
        <v>78</v>
      </c>
      <c r="C33" t="s">
        <v>79</v>
      </c>
      <c r="D33" t="s">
        <v>1143</v>
      </c>
      <c r="E33" t="s">
        <v>34</v>
      </c>
      <c r="F33" t="s">
        <v>839</v>
      </c>
      <c r="G33" t="s">
        <v>7</v>
      </c>
      <c r="H33" t="s">
        <v>8</v>
      </c>
      <c r="I33" t="s">
        <v>23</v>
      </c>
      <c r="J33" t="s">
        <v>10</v>
      </c>
      <c r="K33" t="s">
        <v>169</v>
      </c>
      <c r="L33">
        <v>18</v>
      </c>
      <c r="M33">
        <v>6</v>
      </c>
      <c r="N33">
        <v>1999</v>
      </c>
      <c r="O33" s="36">
        <v>36329</v>
      </c>
      <c r="P33">
        <v>26</v>
      </c>
      <c r="Q33">
        <v>6211</v>
      </c>
      <c r="R33">
        <v>621.1</v>
      </c>
      <c r="S33">
        <v>186.32999999999998</v>
      </c>
      <c r="T33">
        <v>5776.23</v>
      </c>
      <c r="U33" t="s">
        <v>1114</v>
      </c>
      <c r="V33" s="37">
        <v>0.05</v>
      </c>
    </row>
    <row r="34" spans="1:22" x14ac:dyDescent="0.2">
      <c r="A34">
        <v>1033</v>
      </c>
      <c r="B34" t="s">
        <v>37</v>
      </c>
      <c r="C34" t="s">
        <v>80</v>
      </c>
      <c r="D34" t="s">
        <v>1144</v>
      </c>
      <c r="E34" t="s">
        <v>34</v>
      </c>
      <c r="F34" t="s">
        <v>840</v>
      </c>
      <c r="G34" t="s">
        <v>18</v>
      </c>
      <c r="H34" t="s">
        <v>11</v>
      </c>
      <c r="I34" t="s">
        <v>9</v>
      </c>
      <c r="J34" t="s">
        <v>10</v>
      </c>
      <c r="K34" t="s">
        <v>170</v>
      </c>
      <c r="L34">
        <v>21</v>
      </c>
      <c r="M34">
        <v>6</v>
      </c>
      <c r="N34">
        <v>2011</v>
      </c>
      <c r="O34" s="36">
        <v>40715</v>
      </c>
      <c r="P34">
        <v>14</v>
      </c>
      <c r="Q34">
        <v>5976</v>
      </c>
      <c r="R34">
        <v>597.6</v>
      </c>
      <c r="S34">
        <v>179.28</v>
      </c>
      <c r="T34">
        <v>5557.6799999999994</v>
      </c>
      <c r="U34" t="s">
        <v>1114</v>
      </c>
      <c r="V34" s="37">
        <v>0.05</v>
      </c>
    </row>
    <row r="35" spans="1:22" x14ac:dyDescent="0.2">
      <c r="A35">
        <v>1034</v>
      </c>
      <c r="B35" t="s">
        <v>81</v>
      </c>
      <c r="C35" t="s">
        <v>82</v>
      </c>
      <c r="D35" t="s">
        <v>1145</v>
      </c>
      <c r="E35" t="s">
        <v>34</v>
      </c>
      <c r="F35" t="s">
        <v>841</v>
      </c>
      <c r="G35" t="s">
        <v>18</v>
      </c>
      <c r="H35" t="s">
        <v>20</v>
      </c>
      <c r="I35" t="s">
        <v>9</v>
      </c>
      <c r="J35" t="s">
        <v>12</v>
      </c>
      <c r="K35" t="s">
        <v>171</v>
      </c>
      <c r="L35">
        <v>1</v>
      </c>
      <c r="M35">
        <v>7</v>
      </c>
      <c r="N35">
        <v>1997</v>
      </c>
      <c r="O35" s="36">
        <v>35612</v>
      </c>
      <c r="P35">
        <v>28</v>
      </c>
      <c r="Q35">
        <v>742</v>
      </c>
      <c r="R35">
        <v>74.2</v>
      </c>
      <c r="S35">
        <v>22.259999999999998</v>
      </c>
      <c r="T35">
        <v>690.06</v>
      </c>
      <c r="U35" t="s">
        <v>1114</v>
      </c>
      <c r="V35" s="37">
        <v>0.1</v>
      </c>
    </row>
    <row r="36" spans="1:22" x14ac:dyDescent="0.2">
      <c r="A36">
        <v>1035</v>
      </c>
      <c r="B36" t="s">
        <v>36</v>
      </c>
      <c r="C36" t="s">
        <v>83</v>
      </c>
      <c r="D36" t="s">
        <v>1146</v>
      </c>
      <c r="E36" t="s">
        <v>34</v>
      </c>
      <c r="F36" t="s">
        <v>842</v>
      </c>
      <c r="G36" t="s">
        <v>13</v>
      </c>
      <c r="H36" t="s">
        <v>8</v>
      </c>
      <c r="I36" t="s">
        <v>24</v>
      </c>
      <c r="J36" t="s">
        <v>19</v>
      </c>
      <c r="K36" t="s">
        <v>172</v>
      </c>
      <c r="L36">
        <v>8</v>
      </c>
      <c r="M36">
        <v>7</v>
      </c>
      <c r="N36">
        <v>2008</v>
      </c>
      <c r="O36" s="36">
        <v>39637</v>
      </c>
      <c r="P36">
        <v>17</v>
      </c>
      <c r="Q36">
        <v>5918</v>
      </c>
      <c r="R36">
        <v>591.80000000000007</v>
      </c>
      <c r="S36">
        <v>177.54</v>
      </c>
      <c r="T36">
        <v>5503.74</v>
      </c>
      <c r="U36" t="s">
        <v>1114</v>
      </c>
      <c r="V36" s="37">
        <v>0.05</v>
      </c>
    </row>
    <row r="37" spans="1:22" x14ac:dyDescent="0.2">
      <c r="A37">
        <v>1036</v>
      </c>
      <c r="B37" t="s">
        <v>37</v>
      </c>
      <c r="C37" t="s">
        <v>84</v>
      </c>
      <c r="D37" t="s">
        <v>1147</v>
      </c>
      <c r="E37" t="s">
        <v>34</v>
      </c>
      <c r="F37" t="s">
        <v>843</v>
      </c>
      <c r="G37" t="s">
        <v>13</v>
      </c>
      <c r="H37" t="s">
        <v>8</v>
      </c>
      <c r="I37" t="s">
        <v>15</v>
      </c>
      <c r="J37" t="s">
        <v>19</v>
      </c>
      <c r="K37" t="s">
        <v>173</v>
      </c>
      <c r="L37">
        <v>9</v>
      </c>
      <c r="M37">
        <v>7</v>
      </c>
      <c r="N37">
        <v>1994</v>
      </c>
      <c r="O37" s="36">
        <v>34524</v>
      </c>
      <c r="P37">
        <v>31</v>
      </c>
      <c r="Q37">
        <v>3074</v>
      </c>
      <c r="R37">
        <v>307.40000000000003</v>
      </c>
      <c r="S37">
        <v>92.22</v>
      </c>
      <c r="T37">
        <v>2858.8199999999997</v>
      </c>
      <c r="U37" t="s">
        <v>1114</v>
      </c>
      <c r="V37" s="37">
        <v>0.08</v>
      </c>
    </row>
    <row r="38" spans="1:22" x14ac:dyDescent="0.2">
      <c r="A38">
        <v>1037</v>
      </c>
      <c r="B38" t="s">
        <v>85</v>
      </c>
      <c r="C38" t="s">
        <v>86</v>
      </c>
      <c r="D38" t="s">
        <v>1148</v>
      </c>
      <c r="E38" t="s">
        <v>33</v>
      </c>
      <c r="F38" t="s">
        <v>844</v>
      </c>
      <c r="G38" t="s">
        <v>18</v>
      </c>
      <c r="H38" t="s">
        <v>11</v>
      </c>
      <c r="I38" t="s">
        <v>26</v>
      </c>
      <c r="J38" t="s">
        <v>10</v>
      </c>
      <c r="K38" t="s">
        <v>174</v>
      </c>
      <c r="L38">
        <v>11</v>
      </c>
      <c r="M38">
        <v>7</v>
      </c>
      <c r="N38">
        <v>2014</v>
      </c>
      <c r="O38" s="36">
        <v>41831</v>
      </c>
      <c r="P38">
        <v>11</v>
      </c>
      <c r="Q38">
        <v>5688</v>
      </c>
      <c r="R38">
        <v>568.80000000000007</v>
      </c>
      <c r="S38">
        <v>170.64</v>
      </c>
      <c r="T38">
        <v>5289.84</v>
      </c>
      <c r="U38" t="s">
        <v>1114</v>
      </c>
      <c r="V38" s="37">
        <v>0.05</v>
      </c>
    </row>
    <row r="39" spans="1:22" x14ac:dyDescent="0.2">
      <c r="A39">
        <v>1038</v>
      </c>
      <c r="B39" t="s">
        <v>87</v>
      </c>
      <c r="C39" t="s">
        <v>208</v>
      </c>
      <c r="D39" t="s">
        <v>1149</v>
      </c>
      <c r="E39" t="s">
        <v>33</v>
      </c>
      <c r="F39" t="s">
        <v>845</v>
      </c>
      <c r="G39" t="s">
        <v>13</v>
      </c>
      <c r="H39" t="s">
        <v>8</v>
      </c>
      <c r="I39" t="s">
        <v>26</v>
      </c>
      <c r="J39" t="s">
        <v>21</v>
      </c>
      <c r="K39" t="s">
        <v>209</v>
      </c>
      <c r="L39">
        <v>15</v>
      </c>
      <c r="M39">
        <v>7</v>
      </c>
      <c r="N39">
        <v>2013</v>
      </c>
      <c r="O39" s="36">
        <v>41470</v>
      </c>
      <c r="P39">
        <v>12</v>
      </c>
      <c r="Q39">
        <v>3362</v>
      </c>
      <c r="R39">
        <v>336.20000000000005</v>
      </c>
      <c r="S39">
        <v>100.86</v>
      </c>
      <c r="T39">
        <v>3126.66</v>
      </c>
      <c r="U39" t="s">
        <v>1114</v>
      </c>
      <c r="V39" s="37">
        <v>0.05</v>
      </c>
    </row>
    <row r="40" spans="1:22" x14ac:dyDescent="0.2">
      <c r="A40">
        <v>1039</v>
      </c>
      <c r="B40" t="s">
        <v>88</v>
      </c>
      <c r="C40" t="s">
        <v>89</v>
      </c>
      <c r="D40" t="s">
        <v>1150</v>
      </c>
      <c r="E40" t="s">
        <v>34</v>
      </c>
      <c r="F40" t="s">
        <v>846</v>
      </c>
      <c r="G40" t="s">
        <v>16</v>
      </c>
      <c r="H40" t="s">
        <v>11</v>
      </c>
      <c r="I40" t="s">
        <v>26</v>
      </c>
      <c r="J40" t="s">
        <v>12</v>
      </c>
      <c r="K40" t="s">
        <v>175</v>
      </c>
      <c r="L40">
        <v>16</v>
      </c>
      <c r="M40">
        <v>7</v>
      </c>
      <c r="N40">
        <v>2008</v>
      </c>
      <c r="O40" s="36">
        <v>39645</v>
      </c>
      <c r="P40">
        <v>17</v>
      </c>
      <c r="Q40">
        <v>6043</v>
      </c>
      <c r="R40">
        <v>604.30000000000007</v>
      </c>
      <c r="S40">
        <v>181.29</v>
      </c>
      <c r="T40">
        <v>5619.99</v>
      </c>
      <c r="U40" t="s">
        <v>1114</v>
      </c>
      <c r="V40" s="37">
        <v>0.05</v>
      </c>
    </row>
    <row r="41" spans="1:22" x14ac:dyDescent="0.2">
      <c r="A41">
        <v>1040</v>
      </c>
      <c r="B41" t="s">
        <v>90</v>
      </c>
      <c r="C41" t="s">
        <v>91</v>
      </c>
      <c r="D41" t="s">
        <v>1151</v>
      </c>
      <c r="E41" t="s">
        <v>34</v>
      </c>
      <c r="F41" t="s">
        <v>847</v>
      </c>
      <c r="G41" t="s">
        <v>16</v>
      </c>
      <c r="H41" t="s">
        <v>8</v>
      </c>
      <c r="I41" t="s">
        <v>26</v>
      </c>
      <c r="J41" t="s">
        <v>21</v>
      </c>
      <c r="K41" t="s">
        <v>176</v>
      </c>
      <c r="L41">
        <v>28</v>
      </c>
      <c r="M41">
        <v>7</v>
      </c>
      <c r="N41">
        <v>2005</v>
      </c>
      <c r="O41" s="36">
        <v>38561</v>
      </c>
      <c r="P41">
        <v>20</v>
      </c>
      <c r="Q41">
        <v>6260</v>
      </c>
      <c r="R41">
        <v>626</v>
      </c>
      <c r="S41">
        <v>187.79999999999998</v>
      </c>
      <c r="T41">
        <v>5821.8</v>
      </c>
      <c r="U41" t="s">
        <v>1114</v>
      </c>
      <c r="V41" s="37">
        <v>0.05</v>
      </c>
    </row>
    <row r="42" spans="1:22" x14ac:dyDescent="0.2">
      <c r="A42">
        <v>1041</v>
      </c>
      <c r="B42" t="s">
        <v>58</v>
      </c>
      <c r="C42" t="s">
        <v>92</v>
      </c>
      <c r="D42" t="s">
        <v>1152</v>
      </c>
      <c r="E42" t="s">
        <v>34</v>
      </c>
      <c r="F42" t="s">
        <v>848</v>
      </c>
      <c r="G42" t="s">
        <v>16</v>
      </c>
      <c r="H42" t="s">
        <v>11</v>
      </c>
      <c r="I42" t="s">
        <v>9</v>
      </c>
      <c r="J42" t="s">
        <v>21</v>
      </c>
      <c r="K42" t="s">
        <v>177</v>
      </c>
      <c r="L42">
        <v>30</v>
      </c>
      <c r="M42">
        <v>7</v>
      </c>
      <c r="N42">
        <v>2005</v>
      </c>
      <c r="O42" s="36">
        <v>38563</v>
      </c>
      <c r="P42">
        <v>20</v>
      </c>
      <c r="Q42">
        <v>3754</v>
      </c>
      <c r="R42">
        <v>375.40000000000003</v>
      </c>
      <c r="S42">
        <v>112.61999999999999</v>
      </c>
      <c r="T42">
        <v>3491.22</v>
      </c>
      <c r="U42" t="s">
        <v>1114</v>
      </c>
      <c r="V42" s="37">
        <v>0.05</v>
      </c>
    </row>
    <row r="43" spans="1:22" x14ac:dyDescent="0.2">
      <c r="A43">
        <v>1042</v>
      </c>
      <c r="B43" t="s">
        <v>93</v>
      </c>
      <c r="C43" t="s">
        <v>94</v>
      </c>
      <c r="D43" t="s">
        <v>1153</v>
      </c>
      <c r="E43" t="s">
        <v>34</v>
      </c>
      <c r="F43" t="s">
        <v>849</v>
      </c>
      <c r="G43" t="s">
        <v>13</v>
      </c>
      <c r="H43" t="s">
        <v>8</v>
      </c>
      <c r="I43" t="s">
        <v>22</v>
      </c>
      <c r="J43" t="s">
        <v>12</v>
      </c>
      <c r="K43" t="s">
        <v>178</v>
      </c>
      <c r="L43">
        <v>31</v>
      </c>
      <c r="M43">
        <v>7</v>
      </c>
      <c r="N43">
        <v>2017</v>
      </c>
      <c r="O43" s="36">
        <v>42947</v>
      </c>
      <c r="P43">
        <v>8</v>
      </c>
      <c r="Q43">
        <v>6579</v>
      </c>
      <c r="R43">
        <v>657.90000000000009</v>
      </c>
      <c r="S43">
        <v>197.37</v>
      </c>
      <c r="T43">
        <v>6118.4699999999993</v>
      </c>
      <c r="U43" t="s">
        <v>1111</v>
      </c>
      <c r="V43" s="37">
        <v>0.02</v>
      </c>
    </row>
    <row r="44" spans="1:22" x14ac:dyDescent="0.2">
      <c r="A44">
        <v>1043</v>
      </c>
      <c r="B44" t="s">
        <v>57</v>
      </c>
      <c r="C44" t="s">
        <v>95</v>
      </c>
      <c r="D44" t="s">
        <v>1154</v>
      </c>
      <c r="E44" t="s">
        <v>34</v>
      </c>
      <c r="F44" t="s">
        <v>850</v>
      </c>
      <c r="G44" t="s">
        <v>16</v>
      </c>
      <c r="H44" t="s">
        <v>8</v>
      </c>
      <c r="I44" t="s">
        <v>17</v>
      </c>
      <c r="J44" t="s">
        <v>10</v>
      </c>
      <c r="K44" t="s">
        <v>179</v>
      </c>
      <c r="L44">
        <v>13</v>
      </c>
      <c r="M44">
        <v>8</v>
      </c>
      <c r="N44">
        <v>1990</v>
      </c>
      <c r="O44" s="36">
        <v>33098</v>
      </c>
      <c r="P44">
        <v>35</v>
      </c>
      <c r="Q44">
        <v>5373</v>
      </c>
      <c r="R44">
        <v>537.30000000000007</v>
      </c>
      <c r="S44">
        <v>161.19</v>
      </c>
      <c r="T44">
        <v>4996.8899999999994</v>
      </c>
      <c r="U44" t="s">
        <v>1114</v>
      </c>
      <c r="V44" s="37">
        <v>0.05</v>
      </c>
    </row>
    <row r="45" spans="1:22" x14ac:dyDescent="0.2">
      <c r="A45">
        <v>1044</v>
      </c>
      <c r="B45" t="s">
        <v>96</v>
      </c>
      <c r="C45" t="s">
        <v>97</v>
      </c>
      <c r="D45" t="s">
        <v>1155</v>
      </c>
      <c r="E45" t="s">
        <v>34</v>
      </c>
      <c r="F45" t="s">
        <v>851</v>
      </c>
      <c r="G45" t="s">
        <v>13</v>
      </c>
      <c r="H45" t="s">
        <v>20</v>
      </c>
      <c r="I45" t="s">
        <v>15</v>
      </c>
      <c r="J45" t="s">
        <v>10</v>
      </c>
      <c r="K45" t="s">
        <v>180</v>
      </c>
      <c r="L45">
        <v>16</v>
      </c>
      <c r="M45">
        <v>8</v>
      </c>
      <c r="N45">
        <v>2022</v>
      </c>
      <c r="O45" s="36">
        <v>44789</v>
      </c>
      <c r="P45">
        <v>3</v>
      </c>
      <c r="Q45">
        <v>1391</v>
      </c>
      <c r="R45">
        <v>139.1</v>
      </c>
      <c r="S45">
        <v>41.73</v>
      </c>
      <c r="T45">
        <v>1293.6300000000001</v>
      </c>
      <c r="U45" t="s">
        <v>1114</v>
      </c>
      <c r="V45" s="37">
        <v>0.08</v>
      </c>
    </row>
    <row r="46" spans="1:22" x14ac:dyDescent="0.2">
      <c r="A46">
        <v>1045</v>
      </c>
      <c r="B46" t="s">
        <v>36</v>
      </c>
      <c r="C46" t="s">
        <v>98</v>
      </c>
      <c r="D46" t="s">
        <v>1156</v>
      </c>
      <c r="E46" t="s">
        <v>34</v>
      </c>
      <c r="F46" t="s">
        <v>852</v>
      </c>
      <c r="G46" t="s">
        <v>16</v>
      </c>
      <c r="H46" t="s">
        <v>11</v>
      </c>
      <c r="I46" t="s">
        <v>198</v>
      </c>
      <c r="J46" t="s">
        <v>12</v>
      </c>
      <c r="K46" t="s">
        <v>181</v>
      </c>
      <c r="L46">
        <v>26</v>
      </c>
      <c r="M46">
        <v>8</v>
      </c>
      <c r="N46">
        <v>2009</v>
      </c>
      <c r="O46" s="36">
        <v>40051</v>
      </c>
      <c r="P46">
        <v>16</v>
      </c>
      <c r="Q46">
        <v>2528</v>
      </c>
      <c r="R46">
        <v>252.8</v>
      </c>
      <c r="S46">
        <v>75.84</v>
      </c>
      <c r="T46">
        <v>2351.04</v>
      </c>
      <c r="U46" t="s">
        <v>1114</v>
      </c>
      <c r="V46" s="37">
        <v>0.08</v>
      </c>
    </row>
    <row r="47" spans="1:22" x14ac:dyDescent="0.2">
      <c r="A47">
        <v>1046</v>
      </c>
      <c r="B47" t="s">
        <v>99</v>
      </c>
      <c r="C47" t="s">
        <v>100</v>
      </c>
      <c r="D47" t="s">
        <v>1157</v>
      </c>
      <c r="E47" t="s">
        <v>33</v>
      </c>
      <c r="F47" t="s">
        <v>853</v>
      </c>
      <c r="G47" t="s">
        <v>16</v>
      </c>
      <c r="H47" t="s">
        <v>11</v>
      </c>
      <c r="I47" t="s">
        <v>26</v>
      </c>
      <c r="J47" t="s">
        <v>19</v>
      </c>
      <c r="K47" t="s">
        <v>182</v>
      </c>
      <c r="L47">
        <v>4</v>
      </c>
      <c r="M47">
        <v>9</v>
      </c>
      <c r="N47">
        <v>2010</v>
      </c>
      <c r="O47" s="36">
        <v>40425</v>
      </c>
      <c r="P47">
        <v>15</v>
      </c>
      <c r="Q47">
        <v>6040</v>
      </c>
      <c r="R47">
        <v>604</v>
      </c>
      <c r="S47">
        <v>181.2</v>
      </c>
      <c r="T47">
        <v>5617.2</v>
      </c>
      <c r="U47" t="s">
        <v>1114</v>
      </c>
      <c r="V47" s="37">
        <v>0.05</v>
      </c>
    </row>
    <row r="48" spans="1:22" x14ac:dyDescent="0.2">
      <c r="A48">
        <v>1047</v>
      </c>
      <c r="B48" t="s">
        <v>101</v>
      </c>
      <c r="C48" t="s">
        <v>102</v>
      </c>
      <c r="D48" t="s">
        <v>1158</v>
      </c>
      <c r="E48" t="s">
        <v>34</v>
      </c>
      <c r="F48" t="s">
        <v>854</v>
      </c>
      <c r="G48" t="s">
        <v>795</v>
      </c>
      <c r="H48" t="s">
        <v>14</v>
      </c>
      <c r="I48" t="s">
        <v>17</v>
      </c>
      <c r="J48" t="s">
        <v>10</v>
      </c>
      <c r="K48" t="s">
        <v>183</v>
      </c>
      <c r="L48">
        <v>10</v>
      </c>
      <c r="M48">
        <v>9</v>
      </c>
      <c r="N48">
        <v>2004</v>
      </c>
      <c r="O48" s="36">
        <v>38240</v>
      </c>
      <c r="P48">
        <v>21</v>
      </c>
      <c r="Q48">
        <v>3842</v>
      </c>
      <c r="R48">
        <v>384.20000000000005</v>
      </c>
      <c r="S48">
        <v>115.25999999999999</v>
      </c>
      <c r="T48">
        <v>3573.0600000000004</v>
      </c>
      <c r="U48" t="s">
        <v>1114</v>
      </c>
      <c r="V48" s="37">
        <v>0.05</v>
      </c>
    </row>
    <row r="49" spans="1:22" x14ac:dyDescent="0.2">
      <c r="A49">
        <v>1048</v>
      </c>
      <c r="B49" t="s">
        <v>103</v>
      </c>
      <c r="C49" t="s">
        <v>104</v>
      </c>
      <c r="D49" t="s">
        <v>1159</v>
      </c>
      <c r="E49" t="s">
        <v>33</v>
      </c>
      <c r="F49" t="s">
        <v>855</v>
      </c>
      <c r="G49" t="s">
        <v>16</v>
      </c>
      <c r="H49" t="s">
        <v>20</v>
      </c>
      <c r="I49" t="s">
        <v>198</v>
      </c>
      <c r="J49" t="s">
        <v>12</v>
      </c>
      <c r="K49" t="s">
        <v>184</v>
      </c>
      <c r="L49">
        <v>16</v>
      </c>
      <c r="M49">
        <v>9</v>
      </c>
      <c r="N49">
        <v>2005</v>
      </c>
      <c r="O49" s="36">
        <v>38611</v>
      </c>
      <c r="P49">
        <v>20</v>
      </c>
      <c r="Q49">
        <v>1542</v>
      </c>
      <c r="R49">
        <v>154.20000000000002</v>
      </c>
      <c r="S49">
        <v>46.26</v>
      </c>
      <c r="T49">
        <v>1434.06</v>
      </c>
      <c r="U49" t="s">
        <v>1114</v>
      </c>
      <c r="V49" s="37">
        <v>0.08</v>
      </c>
    </row>
    <row r="50" spans="1:22" x14ac:dyDescent="0.2">
      <c r="A50">
        <v>1049</v>
      </c>
      <c r="B50" t="s">
        <v>105</v>
      </c>
      <c r="C50" t="s">
        <v>92</v>
      </c>
      <c r="D50" t="s">
        <v>1160</v>
      </c>
      <c r="E50" t="s">
        <v>33</v>
      </c>
      <c r="F50" t="s">
        <v>856</v>
      </c>
      <c r="G50" t="s">
        <v>16</v>
      </c>
      <c r="H50" t="s">
        <v>20</v>
      </c>
      <c r="I50" t="s">
        <v>9</v>
      </c>
      <c r="J50" t="s">
        <v>12</v>
      </c>
      <c r="K50" t="s">
        <v>185</v>
      </c>
      <c r="L50">
        <v>24</v>
      </c>
      <c r="M50">
        <v>9</v>
      </c>
      <c r="N50">
        <v>1997</v>
      </c>
      <c r="O50" s="36">
        <v>35697</v>
      </c>
      <c r="P50">
        <v>28</v>
      </c>
      <c r="Q50">
        <v>3134</v>
      </c>
      <c r="R50">
        <v>313.40000000000003</v>
      </c>
      <c r="S50">
        <v>94.02</v>
      </c>
      <c r="T50">
        <v>2914.62</v>
      </c>
      <c r="U50" t="s">
        <v>1114</v>
      </c>
      <c r="V50" s="37">
        <v>0.08</v>
      </c>
    </row>
    <row r="51" spans="1:22" x14ac:dyDescent="0.2">
      <c r="A51">
        <v>1050</v>
      </c>
      <c r="B51" t="s">
        <v>106</v>
      </c>
      <c r="C51" t="s">
        <v>107</v>
      </c>
      <c r="D51" t="s">
        <v>1161</v>
      </c>
      <c r="E51" t="s">
        <v>33</v>
      </c>
      <c r="F51" t="s">
        <v>857</v>
      </c>
      <c r="G51" t="s">
        <v>16</v>
      </c>
      <c r="H51" t="s">
        <v>11</v>
      </c>
      <c r="I51" t="s">
        <v>22</v>
      </c>
      <c r="J51" t="s">
        <v>10</v>
      </c>
      <c r="K51" t="s">
        <v>186</v>
      </c>
      <c r="L51">
        <v>27</v>
      </c>
      <c r="M51">
        <v>9</v>
      </c>
      <c r="N51">
        <v>1993</v>
      </c>
      <c r="O51" s="36">
        <v>34239</v>
      </c>
      <c r="P51">
        <v>32</v>
      </c>
      <c r="Q51">
        <v>4921</v>
      </c>
      <c r="R51">
        <v>492.1</v>
      </c>
      <c r="S51">
        <v>147.63</v>
      </c>
      <c r="T51">
        <v>4576.53</v>
      </c>
      <c r="U51" t="s">
        <v>1114</v>
      </c>
      <c r="V51" s="37">
        <v>0.05</v>
      </c>
    </row>
    <row r="52" spans="1:22" x14ac:dyDescent="0.2">
      <c r="A52">
        <v>1051</v>
      </c>
      <c r="B52" t="s">
        <v>108</v>
      </c>
      <c r="C52" t="s">
        <v>37</v>
      </c>
      <c r="D52" t="s">
        <v>1162</v>
      </c>
      <c r="E52" t="s">
        <v>34</v>
      </c>
      <c r="F52" t="s">
        <v>858</v>
      </c>
      <c r="G52" t="s">
        <v>16</v>
      </c>
      <c r="H52" t="s">
        <v>14</v>
      </c>
      <c r="I52" t="s">
        <v>198</v>
      </c>
      <c r="J52" t="s">
        <v>12</v>
      </c>
      <c r="K52" t="s">
        <v>154</v>
      </c>
      <c r="L52">
        <v>11</v>
      </c>
      <c r="M52">
        <v>2</v>
      </c>
      <c r="N52">
        <v>2004</v>
      </c>
      <c r="O52" s="36">
        <v>38028</v>
      </c>
      <c r="P52">
        <v>21</v>
      </c>
      <c r="Q52">
        <v>1948</v>
      </c>
      <c r="R52">
        <v>194.8</v>
      </c>
      <c r="S52">
        <v>58.44</v>
      </c>
      <c r="T52">
        <v>1811.64</v>
      </c>
      <c r="U52" t="s">
        <v>1114</v>
      </c>
      <c r="V52" s="37">
        <v>0.08</v>
      </c>
    </row>
    <row r="53" spans="1:22" x14ac:dyDescent="0.2">
      <c r="A53">
        <v>1052</v>
      </c>
      <c r="B53" t="s">
        <v>109</v>
      </c>
      <c r="C53" t="s">
        <v>110</v>
      </c>
      <c r="D53" t="s">
        <v>1163</v>
      </c>
      <c r="E53" t="s">
        <v>34</v>
      </c>
      <c r="F53" t="s">
        <v>859</v>
      </c>
      <c r="G53" t="s">
        <v>18</v>
      </c>
      <c r="H53" t="s">
        <v>14</v>
      </c>
      <c r="I53" t="s">
        <v>22</v>
      </c>
      <c r="J53" t="s">
        <v>21</v>
      </c>
      <c r="K53" t="s">
        <v>187</v>
      </c>
      <c r="L53">
        <v>11</v>
      </c>
      <c r="M53">
        <v>2</v>
      </c>
      <c r="N53">
        <v>2001</v>
      </c>
      <c r="O53" s="36">
        <v>36933</v>
      </c>
      <c r="P53">
        <v>24</v>
      </c>
      <c r="Q53">
        <v>3294</v>
      </c>
      <c r="R53">
        <v>329.40000000000003</v>
      </c>
      <c r="S53">
        <v>98.82</v>
      </c>
      <c r="T53">
        <v>3063.42</v>
      </c>
      <c r="U53" t="s">
        <v>1114</v>
      </c>
      <c r="V53" s="37">
        <v>0.05</v>
      </c>
    </row>
    <row r="54" spans="1:22" x14ac:dyDescent="0.2">
      <c r="A54">
        <v>1053</v>
      </c>
      <c r="B54" t="s">
        <v>111</v>
      </c>
      <c r="C54" t="s">
        <v>112</v>
      </c>
      <c r="D54" t="s">
        <v>1164</v>
      </c>
      <c r="E54" t="s">
        <v>34</v>
      </c>
      <c r="F54" t="s">
        <v>860</v>
      </c>
      <c r="G54" t="s">
        <v>795</v>
      </c>
      <c r="H54" t="s">
        <v>11</v>
      </c>
      <c r="I54" t="s">
        <v>198</v>
      </c>
      <c r="J54" t="s">
        <v>10</v>
      </c>
      <c r="K54" t="s">
        <v>188</v>
      </c>
      <c r="L54">
        <v>17</v>
      </c>
      <c r="M54">
        <v>2</v>
      </c>
      <c r="N54">
        <v>1999</v>
      </c>
      <c r="O54" s="36">
        <v>36208</v>
      </c>
      <c r="P54">
        <v>26</v>
      </c>
      <c r="Q54">
        <v>7123</v>
      </c>
      <c r="R54">
        <v>712.30000000000007</v>
      </c>
      <c r="S54">
        <v>213.69</v>
      </c>
      <c r="T54">
        <v>6624.3899999999994</v>
      </c>
      <c r="U54" t="s">
        <v>1111</v>
      </c>
      <c r="V54" s="37">
        <v>0.02</v>
      </c>
    </row>
    <row r="55" spans="1:22" x14ac:dyDescent="0.2">
      <c r="A55">
        <v>1054</v>
      </c>
      <c r="B55" t="s">
        <v>113</v>
      </c>
      <c r="C55" t="s">
        <v>114</v>
      </c>
      <c r="D55" t="s">
        <v>1165</v>
      </c>
      <c r="E55" t="s">
        <v>34</v>
      </c>
      <c r="F55" t="s">
        <v>861</v>
      </c>
      <c r="G55" t="s">
        <v>13</v>
      </c>
      <c r="H55" t="s">
        <v>8</v>
      </c>
      <c r="I55" t="s">
        <v>22</v>
      </c>
      <c r="J55" t="s">
        <v>10</v>
      </c>
      <c r="K55" t="s">
        <v>189</v>
      </c>
      <c r="L55">
        <v>25</v>
      </c>
      <c r="M55">
        <v>2</v>
      </c>
      <c r="N55">
        <v>2006</v>
      </c>
      <c r="O55" s="36">
        <v>38773</v>
      </c>
      <c r="P55">
        <v>19</v>
      </c>
      <c r="Q55">
        <v>7236</v>
      </c>
      <c r="R55">
        <v>723.6</v>
      </c>
      <c r="S55">
        <v>217.07999999999998</v>
      </c>
      <c r="T55">
        <v>6729.48</v>
      </c>
      <c r="U55" t="s">
        <v>1111</v>
      </c>
      <c r="V55" s="37">
        <v>0.02</v>
      </c>
    </row>
    <row r="56" spans="1:22" x14ac:dyDescent="0.2">
      <c r="A56">
        <v>1055</v>
      </c>
      <c r="B56" t="s">
        <v>115</v>
      </c>
      <c r="C56" t="s">
        <v>116</v>
      </c>
      <c r="D56" t="s">
        <v>1166</v>
      </c>
      <c r="E56" t="s">
        <v>34</v>
      </c>
      <c r="F56" t="s">
        <v>862</v>
      </c>
      <c r="G56" t="s">
        <v>795</v>
      </c>
      <c r="H56" t="s">
        <v>8</v>
      </c>
      <c r="I56" t="s">
        <v>26</v>
      </c>
      <c r="J56" t="s">
        <v>12</v>
      </c>
      <c r="K56" t="s">
        <v>190</v>
      </c>
      <c r="L56">
        <v>26</v>
      </c>
      <c r="M56">
        <v>2</v>
      </c>
      <c r="N56">
        <v>1998</v>
      </c>
      <c r="O56" s="36">
        <v>35852</v>
      </c>
      <c r="P56">
        <v>27</v>
      </c>
      <c r="Q56">
        <v>6843</v>
      </c>
      <c r="R56">
        <v>684.30000000000007</v>
      </c>
      <c r="S56">
        <v>205.29</v>
      </c>
      <c r="T56">
        <v>6363.99</v>
      </c>
      <c r="U56" t="s">
        <v>1111</v>
      </c>
      <c r="V56" s="37">
        <v>0.02</v>
      </c>
    </row>
    <row r="57" spans="1:22" x14ac:dyDescent="0.2">
      <c r="A57">
        <v>1056</v>
      </c>
      <c r="B57" t="s">
        <v>117</v>
      </c>
      <c r="C57" t="s">
        <v>118</v>
      </c>
      <c r="D57" t="s">
        <v>1167</v>
      </c>
      <c r="E57" t="s">
        <v>34</v>
      </c>
      <c r="F57" t="s">
        <v>863</v>
      </c>
      <c r="G57" t="s">
        <v>795</v>
      </c>
      <c r="H57" t="s">
        <v>20</v>
      </c>
      <c r="I57" t="s">
        <v>26</v>
      </c>
      <c r="J57" t="s">
        <v>12</v>
      </c>
      <c r="K57" t="s">
        <v>191</v>
      </c>
      <c r="L57">
        <v>2</v>
      </c>
      <c r="M57">
        <v>3</v>
      </c>
      <c r="N57">
        <v>2020</v>
      </c>
      <c r="O57" s="36">
        <v>43892</v>
      </c>
      <c r="P57">
        <v>5</v>
      </c>
      <c r="Q57">
        <v>1070</v>
      </c>
      <c r="R57">
        <v>107</v>
      </c>
      <c r="S57">
        <v>32.1</v>
      </c>
      <c r="T57">
        <v>995.09999999999991</v>
      </c>
      <c r="U57" t="s">
        <v>1114</v>
      </c>
      <c r="V57" s="37">
        <v>0.1</v>
      </c>
    </row>
    <row r="58" spans="1:22" x14ac:dyDescent="0.2">
      <c r="A58">
        <v>1057</v>
      </c>
      <c r="B58" t="s">
        <v>119</v>
      </c>
      <c r="C58" t="s">
        <v>120</v>
      </c>
      <c r="D58" t="s">
        <v>1168</v>
      </c>
      <c r="E58" t="s">
        <v>33</v>
      </c>
      <c r="F58" t="s">
        <v>864</v>
      </c>
      <c r="G58" t="s">
        <v>13</v>
      </c>
      <c r="H58" t="s">
        <v>20</v>
      </c>
      <c r="I58" t="s">
        <v>22</v>
      </c>
      <c r="J58" t="s">
        <v>10</v>
      </c>
      <c r="K58" t="s">
        <v>192</v>
      </c>
      <c r="L58">
        <v>10</v>
      </c>
      <c r="M58">
        <v>3</v>
      </c>
      <c r="N58">
        <v>1996</v>
      </c>
      <c r="O58" s="36">
        <v>35134</v>
      </c>
      <c r="P58">
        <v>29</v>
      </c>
      <c r="Q58">
        <v>1493</v>
      </c>
      <c r="R58">
        <v>149.30000000000001</v>
      </c>
      <c r="S58">
        <v>44.79</v>
      </c>
      <c r="T58">
        <v>1388.49</v>
      </c>
      <c r="U58" t="s">
        <v>1114</v>
      </c>
      <c r="V58" s="37">
        <v>0.08</v>
      </c>
    </row>
    <row r="59" spans="1:22" x14ac:dyDescent="0.2">
      <c r="A59">
        <v>1058</v>
      </c>
      <c r="B59" t="s">
        <v>121</v>
      </c>
      <c r="C59" t="s">
        <v>122</v>
      </c>
      <c r="D59" t="s">
        <v>1169</v>
      </c>
      <c r="E59" t="s">
        <v>33</v>
      </c>
      <c r="F59" t="s">
        <v>865</v>
      </c>
      <c r="G59" t="s">
        <v>18</v>
      </c>
      <c r="H59" t="s">
        <v>8</v>
      </c>
      <c r="I59" t="s">
        <v>22</v>
      </c>
      <c r="J59" t="s">
        <v>12</v>
      </c>
      <c r="K59" t="s">
        <v>193</v>
      </c>
      <c r="L59">
        <v>6</v>
      </c>
      <c r="M59">
        <v>4</v>
      </c>
      <c r="N59">
        <v>2011</v>
      </c>
      <c r="O59" s="36">
        <v>40639</v>
      </c>
      <c r="P59">
        <v>14</v>
      </c>
      <c r="Q59">
        <v>5857</v>
      </c>
      <c r="R59">
        <v>585.70000000000005</v>
      </c>
      <c r="S59">
        <v>175.70999999999998</v>
      </c>
      <c r="T59">
        <v>5447.01</v>
      </c>
      <c r="U59" t="s">
        <v>1114</v>
      </c>
      <c r="V59" s="37">
        <v>0.05</v>
      </c>
    </row>
    <row r="60" spans="1:22" x14ac:dyDescent="0.2">
      <c r="A60">
        <v>1059</v>
      </c>
      <c r="B60" t="s">
        <v>123</v>
      </c>
      <c r="C60" t="s">
        <v>124</v>
      </c>
      <c r="D60" t="s">
        <v>1170</v>
      </c>
      <c r="E60" t="s">
        <v>33</v>
      </c>
      <c r="F60" t="s">
        <v>866</v>
      </c>
      <c r="G60" t="s">
        <v>18</v>
      </c>
      <c r="H60" t="s">
        <v>11</v>
      </c>
      <c r="I60" t="s">
        <v>198</v>
      </c>
      <c r="J60" t="s">
        <v>12</v>
      </c>
      <c r="K60" t="s">
        <v>194</v>
      </c>
      <c r="L60">
        <v>12</v>
      </c>
      <c r="M60">
        <v>4</v>
      </c>
      <c r="N60">
        <v>2011</v>
      </c>
      <c r="O60" s="36">
        <v>40645</v>
      </c>
      <c r="P60">
        <v>14</v>
      </c>
      <c r="Q60">
        <v>5278</v>
      </c>
      <c r="R60">
        <v>527.80000000000007</v>
      </c>
      <c r="S60">
        <v>158.34</v>
      </c>
      <c r="T60">
        <v>4908.54</v>
      </c>
      <c r="U60" t="s">
        <v>1114</v>
      </c>
      <c r="V60" s="37">
        <v>0.05</v>
      </c>
    </row>
    <row r="61" spans="1:22" x14ac:dyDescent="0.2">
      <c r="A61">
        <v>1060</v>
      </c>
      <c r="B61" t="s">
        <v>37</v>
      </c>
      <c r="C61" t="s">
        <v>125</v>
      </c>
      <c r="D61" t="s">
        <v>1171</v>
      </c>
      <c r="E61" t="s">
        <v>34</v>
      </c>
      <c r="F61" t="s">
        <v>867</v>
      </c>
      <c r="G61" t="s">
        <v>795</v>
      </c>
      <c r="H61" t="s">
        <v>8</v>
      </c>
      <c r="I61" t="s">
        <v>23</v>
      </c>
      <c r="J61" t="s">
        <v>12</v>
      </c>
      <c r="K61" t="s">
        <v>195</v>
      </c>
      <c r="L61">
        <v>13</v>
      </c>
      <c r="M61">
        <v>4</v>
      </c>
      <c r="N61">
        <v>2021</v>
      </c>
      <c r="O61" s="36">
        <v>44299</v>
      </c>
      <c r="P61">
        <v>4</v>
      </c>
      <c r="Q61">
        <v>5710</v>
      </c>
      <c r="R61">
        <v>571</v>
      </c>
      <c r="S61">
        <v>171.29999999999998</v>
      </c>
      <c r="T61">
        <v>5310.3</v>
      </c>
      <c r="U61" t="s">
        <v>1114</v>
      </c>
      <c r="V61" s="37">
        <v>0.05</v>
      </c>
    </row>
    <row r="62" spans="1:22" x14ac:dyDescent="0.2">
      <c r="A62">
        <v>1061</v>
      </c>
      <c r="B62" t="s">
        <v>76</v>
      </c>
      <c r="C62" t="s">
        <v>126</v>
      </c>
      <c r="D62" t="s">
        <v>1172</v>
      </c>
      <c r="E62" t="s">
        <v>33</v>
      </c>
      <c r="F62" t="s">
        <v>868</v>
      </c>
      <c r="G62" t="s">
        <v>13</v>
      </c>
      <c r="H62" t="s">
        <v>8</v>
      </c>
      <c r="I62" t="s">
        <v>15</v>
      </c>
      <c r="J62" t="s">
        <v>12</v>
      </c>
      <c r="K62" t="s">
        <v>196</v>
      </c>
      <c r="L62">
        <v>28</v>
      </c>
      <c r="M62">
        <v>4</v>
      </c>
      <c r="N62">
        <v>2013</v>
      </c>
      <c r="O62" s="36">
        <v>41392</v>
      </c>
      <c r="P62">
        <v>12</v>
      </c>
      <c r="Q62">
        <v>6145</v>
      </c>
      <c r="R62">
        <v>614.5</v>
      </c>
      <c r="S62">
        <v>184.35</v>
      </c>
      <c r="T62">
        <v>5714.85</v>
      </c>
      <c r="U62" t="s">
        <v>1114</v>
      </c>
      <c r="V62" s="37">
        <v>0.05</v>
      </c>
    </row>
    <row r="63" spans="1:22" x14ac:dyDescent="0.2">
      <c r="A63">
        <v>1062</v>
      </c>
      <c r="B63" t="s">
        <v>37</v>
      </c>
      <c r="C63" t="s">
        <v>127</v>
      </c>
      <c r="D63" t="s">
        <v>1173</v>
      </c>
      <c r="E63" t="s">
        <v>34</v>
      </c>
      <c r="F63" t="s">
        <v>869</v>
      </c>
      <c r="G63" t="s">
        <v>16</v>
      </c>
      <c r="H63" t="s">
        <v>11</v>
      </c>
      <c r="I63" t="s">
        <v>23</v>
      </c>
      <c r="J63" t="s">
        <v>21</v>
      </c>
      <c r="K63" t="s">
        <v>197</v>
      </c>
      <c r="L63">
        <v>1</v>
      </c>
      <c r="M63">
        <v>5</v>
      </c>
      <c r="N63">
        <v>1993</v>
      </c>
      <c r="O63" s="36">
        <v>34090</v>
      </c>
      <c r="P63">
        <v>32</v>
      </c>
      <c r="Q63">
        <v>5278</v>
      </c>
      <c r="R63">
        <v>527.80000000000007</v>
      </c>
      <c r="S63">
        <v>158.34</v>
      </c>
      <c r="T63">
        <v>4908.54</v>
      </c>
      <c r="U63" t="s">
        <v>1114</v>
      </c>
      <c r="V63" s="37">
        <v>0.05</v>
      </c>
    </row>
    <row r="64" spans="1:22" x14ac:dyDescent="0.2">
      <c r="A64">
        <v>1063</v>
      </c>
      <c r="B64" t="s">
        <v>37</v>
      </c>
      <c r="C64" t="s">
        <v>212</v>
      </c>
      <c r="D64" t="s">
        <v>1174</v>
      </c>
      <c r="E64" t="s">
        <v>34</v>
      </c>
      <c r="F64" t="s">
        <v>870</v>
      </c>
      <c r="G64" t="s">
        <v>795</v>
      </c>
      <c r="H64" t="s">
        <v>11</v>
      </c>
      <c r="I64" t="s">
        <v>9</v>
      </c>
      <c r="J64" t="s">
        <v>12</v>
      </c>
      <c r="K64" t="s">
        <v>555</v>
      </c>
      <c r="L64">
        <v>12</v>
      </c>
      <c r="M64">
        <v>2</v>
      </c>
      <c r="N64">
        <v>1999</v>
      </c>
      <c r="O64" s="36">
        <v>36203</v>
      </c>
      <c r="P64">
        <v>26</v>
      </c>
      <c r="Q64">
        <v>6548</v>
      </c>
      <c r="R64">
        <v>654.80000000000007</v>
      </c>
      <c r="S64">
        <v>196.44</v>
      </c>
      <c r="T64">
        <v>6089.6399999999994</v>
      </c>
      <c r="U64" t="s">
        <v>1111</v>
      </c>
      <c r="V64" s="37">
        <v>0.02</v>
      </c>
    </row>
    <row r="65" spans="1:22" x14ac:dyDescent="0.2">
      <c r="A65">
        <v>1064</v>
      </c>
      <c r="B65" t="s">
        <v>213</v>
      </c>
      <c r="C65" t="s">
        <v>214</v>
      </c>
      <c r="D65" t="s">
        <v>1175</v>
      </c>
      <c r="E65" t="s">
        <v>33</v>
      </c>
      <c r="F65" t="s">
        <v>871</v>
      </c>
      <c r="G65" t="s">
        <v>7</v>
      </c>
      <c r="H65" t="s">
        <v>11</v>
      </c>
      <c r="I65" t="s">
        <v>22</v>
      </c>
      <c r="J65" t="s">
        <v>12</v>
      </c>
      <c r="K65" t="s">
        <v>556</v>
      </c>
      <c r="L65">
        <v>21</v>
      </c>
      <c r="M65">
        <v>1</v>
      </c>
      <c r="N65">
        <v>2006</v>
      </c>
      <c r="O65" s="36">
        <v>38738</v>
      </c>
      <c r="P65">
        <v>19</v>
      </c>
      <c r="Q65">
        <v>7175</v>
      </c>
      <c r="R65">
        <v>717.5</v>
      </c>
      <c r="S65">
        <v>215.25</v>
      </c>
      <c r="T65">
        <v>6672.75</v>
      </c>
      <c r="U65" t="s">
        <v>1111</v>
      </c>
      <c r="V65" s="37">
        <v>0.02</v>
      </c>
    </row>
    <row r="66" spans="1:22" x14ac:dyDescent="0.2">
      <c r="A66">
        <v>1065</v>
      </c>
      <c r="B66" t="s">
        <v>215</v>
      </c>
      <c r="C66" t="s">
        <v>216</v>
      </c>
      <c r="D66" t="s">
        <v>1113</v>
      </c>
      <c r="E66" t="s">
        <v>33</v>
      </c>
      <c r="F66" t="s">
        <v>872</v>
      </c>
      <c r="G66" t="s">
        <v>13</v>
      </c>
      <c r="H66" t="s">
        <v>8</v>
      </c>
      <c r="I66" t="s">
        <v>9</v>
      </c>
      <c r="J66" t="s">
        <v>10</v>
      </c>
      <c r="K66" t="s">
        <v>141</v>
      </c>
      <c r="L66">
        <v>9</v>
      </c>
      <c r="M66">
        <v>3</v>
      </c>
      <c r="N66">
        <v>1996</v>
      </c>
      <c r="O66" s="36">
        <v>35133</v>
      </c>
      <c r="P66">
        <v>29</v>
      </c>
      <c r="Q66">
        <v>4070</v>
      </c>
      <c r="R66">
        <v>407</v>
      </c>
      <c r="S66">
        <v>122.1</v>
      </c>
      <c r="T66">
        <v>3785.1000000000004</v>
      </c>
      <c r="U66" t="s">
        <v>1114</v>
      </c>
      <c r="V66" s="37">
        <v>0.05</v>
      </c>
    </row>
    <row r="67" spans="1:22" x14ac:dyDescent="0.2">
      <c r="A67">
        <v>1066</v>
      </c>
      <c r="B67" t="s">
        <v>36</v>
      </c>
      <c r="C67" t="s">
        <v>217</v>
      </c>
      <c r="D67" t="s">
        <v>1116</v>
      </c>
      <c r="E67" t="s">
        <v>34</v>
      </c>
      <c r="F67" t="s">
        <v>873</v>
      </c>
      <c r="G67" t="s">
        <v>795</v>
      </c>
      <c r="H67" t="s">
        <v>11</v>
      </c>
      <c r="I67" t="s">
        <v>15</v>
      </c>
      <c r="J67" t="s">
        <v>10</v>
      </c>
      <c r="K67" t="s">
        <v>143</v>
      </c>
      <c r="L67">
        <v>4</v>
      </c>
      <c r="M67">
        <v>11</v>
      </c>
      <c r="N67">
        <v>2006</v>
      </c>
      <c r="O67" s="36">
        <v>39025</v>
      </c>
      <c r="P67">
        <v>19</v>
      </c>
      <c r="Q67">
        <v>1906</v>
      </c>
      <c r="R67">
        <v>190.60000000000002</v>
      </c>
      <c r="S67">
        <v>57.18</v>
      </c>
      <c r="T67">
        <v>1772.58</v>
      </c>
      <c r="U67" t="s">
        <v>1114</v>
      </c>
      <c r="V67" s="37">
        <v>0.08</v>
      </c>
    </row>
    <row r="68" spans="1:22" x14ac:dyDescent="0.2">
      <c r="A68">
        <v>1067</v>
      </c>
      <c r="B68" t="s">
        <v>218</v>
      </c>
      <c r="C68" t="s">
        <v>219</v>
      </c>
      <c r="D68" t="s">
        <v>1176</v>
      </c>
      <c r="E68" t="s">
        <v>34</v>
      </c>
      <c r="F68" t="s">
        <v>874</v>
      </c>
      <c r="G68" t="s">
        <v>16</v>
      </c>
      <c r="H68" t="s">
        <v>8</v>
      </c>
      <c r="I68" t="s">
        <v>15</v>
      </c>
      <c r="J68" t="s">
        <v>10</v>
      </c>
      <c r="K68" t="s">
        <v>557</v>
      </c>
      <c r="L68">
        <v>20</v>
      </c>
      <c r="M68">
        <v>12</v>
      </c>
      <c r="N68">
        <v>2021</v>
      </c>
      <c r="O68" s="36">
        <v>44550</v>
      </c>
      <c r="P68">
        <v>4</v>
      </c>
      <c r="Q68">
        <v>2600</v>
      </c>
      <c r="R68">
        <v>260</v>
      </c>
      <c r="S68">
        <v>78</v>
      </c>
      <c r="T68">
        <v>2418</v>
      </c>
      <c r="U68" t="s">
        <v>1114</v>
      </c>
      <c r="V68" s="37">
        <v>0.08</v>
      </c>
    </row>
    <row r="69" spans="1:22" x14ac:dyDescent="0.2">
      <c r="A69">
        <v>1068</v>
      </c>
      <c r="B69" t="s">
        <v>211</v>
      </c>
      <c r="C69" t="s">
        <v>220</v>
      </c>
      <c r="D69" t="s">
        <v>1177</v>
      </c>
      <c r="E69" t="s">
        <v>34</v>
      </c>
      <c r="F69" t="s">
        <v>875</v>
      </c>
      <c r="G69" t="s">
        <v>13</v>
      </c>
      <c r="H69" t="s">
        <v>11</v>
      </c>
      <c r="I69" t="s">
        <v>17</v>
      </c>
      <c r="J69" t="s">
        <v>19</v>
      </c>
      <c r="K69" t="s">
        <v>558</v>
      </c>
      <c r="L69">
        <v>18</v>
      </c>
      <c r="M69">
        <v>12</v>
      </c>
      <c r="N69">
        <v>2011</v>
      </c>
      <c r="O69" s="36">
        <v>40895</v>
      </c>
      <c r="P69">
        <v>14</v>
      </c>
      <c r="Q69">
        <v>3753</v>
      </c>
      <c r="R69">
        <v>375.3</v>
      </c>
      <c r="S69">
        <v>112.58999999999999</v>
      </c>
      <c r="T69">
        <v>3490.29</v>
      </c>
      <c r="U69" t="s">
        <v>1114</v>
      </c>
      <c r="V69" s="37">
        <v>0.05</v>
      </c>
    </row>
    <row r="70" spans="1:22" x14ac:dyDescent="0.2">
      <c r="A70">
        <v>1069</v>
      </c>
      <c r="B70" t="s">
        <v>103</v>
      </c>
      <c r="C70" t="s">
        <v>210</v>
      </c>
      <c r="D70" t="s">
        <v>1178</v>
      </c>
      <c r="E70" t="s">
        <v>34</v>
      </c>
      <c r="F70" t="s">
        <v>876</v>
      </c>
      <c r="G70" t="s">
        <v>18</v>
      </c>
      <c r="H70" t="s">
        <v>8</v>
      </c>
      <c r="I70" t="s">
        <v>198</v>
      </c>
      <c r="J70" t="s">
        <v>21</v>
      </c>
      <c r="K70" t="s">
        <v>559</v>
      </c>
      <c r="L70">
        <v>8</v>
      </c>
      <c r="M70">
        <v>3</v>
      </c>
      <c r="N70">
        <v>1994</v>
      </c>
      <c r="O70" s="36">
        <v>34401</v>
      </c>
      <c r="P70">
        <v>31</v>
      </c>
      <c r="Q70">
        <v>5086</v>
      </c>
      <c r="R70">
        <v>508.6</v>
      </c>
      <c r="S70">
        <v>152.57999999999998</v>
      </c>
      <c r="T70">
        <v>4729.9799999999996</v>
      </c>
      <c r="U70" t="s">
        <v>1114</v>
      </c>
      <c r="V70" s="37">
        <v>0.05</v>
      </c>
    </row>
    <row r="71" spans="1:22" x14ac:dyDescent="0.2">
      <c r="A71">
        <v>1070</v>
      </c>
      <c r="B71" t="s">
        <v>221</v>
      </c>
      <c r="C71" t="s">
        <v>222</v>
      </c>
      <c r="D71" t="s">
        <v>1179</v>
      </c>
      <c r="E71" t="s">
        <v>33</v>
      </c>
      <c r="F71" t="s">
        <v>877</v>
      </c>
      <c r="G71" t="s">
        <v>13</v>
      </c>
      <c r="H71" t="s">
        <v>8</v>
      </c>
      <c r="I71" t="s">
        <v>9</v>
      </c>
      <c r="J71" t="s">
        <v>19</v>
      </c>
      <c r="K71" t="s">
        <v>560</v>
      </c>
      <c r="L71">
        <v>24</v>
      </c>
      <c r="M71">
        <v>3</v>
      </c>
      <c r="N71">
        <v>2000</v>
      </c>
      <c r="O71" s="36">
        <v>36609</v>
      </c>
      <c r="P71">
        <v>25</v>
      </c>
      <c r="Q71">
        <v>2431</v>
      </c>
      <c r="R71">
        <v>243.10000000000002</v>
      </c>
      <c r="S71">
        <v>72.929999999999993</v>
      </c>
      <c r="T71">
        <v>2260.83</v>
      </c>
      <c r="U71" t="s">
        <v>1114</v>
      </c>
      <c r="V71" s="37">
        <v>0.08</v>
      </c>
    </row>
    <row r="72" spans="1:22" x14ac:dyDescent="0.2">
      <c r="A72">
        <v>1071</v>
      </c>
      <c r="B72" t="s">
        <v>223</v>
      </c>
      <c r="C72" t="s">
        <v>224</v>
      </c>
      <c r="D72" t="s">
        <v>1180</v>
      </c>
      <c r="E72" t="s">
        <v>33</v>
      </c>
      <c r="F72" t="s">
        <v>878</v>
      </c>
      <c r="G72" t="s">
        <v>16</v>
      </c>
      <c r="H72" t="s">
        <v>8</v>
      </c>
      <c r="I72" t="s">
        <v>9</v>
      </c>
      <c r="J72" t="s">
        <v>10</v>
      </c>
      <c r="K72" t="s">
        <v>561</v>
      </c>
      <c r="L72">
        <v>4</v>
      </c>
      <c r="M72">
        <v>10</v>
      </c>
      <c r="N72">
        <v>2016</v>
      </c>
      <c r="O72" s="36">
        <v>42647</v>
      </c>
      <c r="P72">
        <v>9</v>
      </c>
      <c r="Q72">
        <v>2955</v>
      </c>
      <c r="R72">
        <v>295.5</v>
      </c>
      <c r="S72">
        <v>88.649999999999991</v>
      </c>
      <c r="T72">
        <v>2748.15</v>
      </c>
      <c r="U72" t="s">
        <v>1114</v>
      </c>
      <c r="V72" s="37">
        <v>0.08</v>
      </c>
    </row>
    <row r="73" spans="1:22" x14ac:dyDescent="0.2">
      <c r="A73">
        <v>1072</v>
      </c>
      <c r="B73" t="s">
        <v>31</v>
      </c>
      <c r="C73" t="s">
        <v>225</v>
      </c>
      <c r="D73" t="s">
        <v>1181</v>
      </c>
      <c r="E73" t="s">
        <v>34</v>
      </c>
      <c r="F73" t="s">
        <v>879</v>
      </c>
      <c r="G73" t="s">
        <v>16</v>
      </c>
      <c r="H73" t="s">
        <v>20</v>
      </c>
      <c r="I73" t="s">
        <v>198</v>
      </c>
      <c r="J73" t="s">
        <v>21</v>
      </c>
      <c r="K73" t="s">
        <v>562</v>
      </c>
      <c r="L73">
        <v>11</v>
      </c>
      <c r="M73">
        <v>8</v>
      </c>
      <c r="N73">
        <v>2018</v>
      </c>
      <c r="O73" s="36">
        <v>43323</v>
      </c>
      <c r="P73">
        <v>7</v>
      </c>
      <c r="Q73">
        <v>1948</v>
      </c>
      <c r="R73">
        <v>194.8</v>
      </c>
      <c r="S73">
        <v>58.44</v>
      </c>
      <c r="T73">
        <v>1811.64</v>
      </c>
      <c r="U73" t="s">
        <v>1114</v>
      </c>
      <c r="V73" s="37">
        <v>0.08</v>
      </c>
    </row>
    <row r="74" spans="1:22" x14ac:dyDescent="0.2">
      <c r="A74">
        <v>1073</v>
      </c>
      <c r="B74" t="s">
        <v>226</v>
      </c>
      <c r="C74" t="s">
        <v>227</v>
      </c>
      <c r="D74" t="s">
        <v>1182</v>
      </c>
      <c r="E74" t="s">
        <v>34</v>
      </c>
      <c r="F74" t="s">
        <v>880</v>
      </c>
      <c r="G74" t="s">
        <v>18</v>
      </c>
      <c r="H74" t="s">
        <v>20</v>
      </c>
      <c r="I74" t="s">
        <v>22</v>
      </c>
      <c r="J74" t="s">
        <v>21</v>
      </c>
      <c r="K74" t="s">
        <v>563</v>
      </c>
      <c r="L74">
        <v>10</v>
      </c>
      <c r="M74">
        <v>11</v>
      </c>
      <c r="N74">
        <v>1993</v>
      </c>
      <c r="O74" s="36">
        <v>34283</v>
      </c>
      <c r="P74">
        <v>32</v>
      </c>
      <c r="Q74">
        <v>3294</v>
      </c>
      <c r="R74">
        <v>329.40000000000003</v>
      </c>
      <c r="S74">
        <v>98.82</v>
      </c>
      <c r="T74">
        <v>3063.42</v>
      </c>
      <c r="U74" t="s">
        <v>1114</v>
      </c>
      <c r="V74" s="37">
        <v>0.05</v>
      </c>
    </row>
    <row r="75" spans="1:22" x14ac:dyDescent="0.2">
      <c r="A75">
        <v>1074</v>
      </c>
      <c r="B75" t="s">
        <v>228</v>
      </c>
      <c r="C75" t="s">
        <v>229</v>
      </c>
      <c r="D75" t="s">
        <v>1183</v>
      </c>
      <c r="E75" t="s">
        <v>33</v>
      </c>
      <c r="F75" t="s">
        <v>881</v>
      </c>
      <c r="G75" t="s">
        <v>795</v>
      </c>
      <c r="H75" t="s">
        <v>11</v>
      </c>
      <c r="I75" t="s">
        <v>198</v>
      </c>
      <c r="J75" t="s">
        <v>19</v>
      </c>
      <c r="K75" t="s">
        <v>564</v>
      </c>
      <c r="L75">
        <v>13</v>
      </c>
      <c r="M75">
        <v>2</v>
      </c>
      <c r="N75">
        <v>2002</v>
      </c>
      <c r="O75" s="36">
        <v>37300</v>
      </c>
      <c r="P75">
        <v>23</v>
      </c>
      <c r="Q75">
        <v>7123</v>
      </c>
      <c r="R75">
        <v>712.30000000000007</v>
      </c>
      <c r="S75">
        <v>213.69</v>
      </c>
      <c r="T75">
        <v>6624.3899999999994</v>
      </c>
      <c r="U75" t="s">
        <v>1111</v>
      </c>
      <c r="V75" s="37">
        <v>0.02</v>
      </c>
    </row>
    <row r="76" spans="1:22" x14ac:dyDescent="0.2">
      <c r="A76">
        <v>1075</v>
      </c>
      <c r="B76" t="s">
        <v>230</v>
      </c>
      <c r="C76" t="s">
        <v>231</v>
      </c>
      <c r="D76" t="s">
        <v>1184</v>
      </c>
      <c r="E76" t="s">
        <v>34</v>
      </c>
      <c r="F76" t="s">
        <v>882</v>
      </c>
      <c r="G76" t="s">
        <v>13</v>
      </c>
      <c r="H76" t="s">
        <v>8</v>
      </c>
      <c r="I76" t="s">
        <v>22</v>
      </c>
      <c r="J76" t="s">
        <v>10</v>
      </c>
      <c r="K76" t="s">
        <v>565</v>
      </c>
      <c r="L76">
        <v>20</v>
      </c>
      <c r="M76">
        <v>2</v>
      </c>
      <c r="N76">
        <v>2012</v>
      </c>
      <c r="O76" s="36">
        <v>40959</v>
      </c>
      <c r="P76">
        <v>13</v>
      </c>
      <c r="Q76">
        <v>7236</v>
      </c>
      <c r="R76">
        <v>723.6</v>
      </c>
      <c r="S76">
        <v>217.07999999999998</v>
      </c>
      <c r="T76">
        <v>6729.48</v>
      </c>
      <c r="U76" t="s">
        <v>1111</v>
      </c>
      <c r="V76" s="37">
        <v>0.02</v>
      </c>
    </row>
    <row r="77" spans="1:22" x14ac:dyDescent="0.2">
      <c r="A77">
        <v>1076</v>
      </c>
      <c r="B77" t="s">
        <v>232</v>
      </c>
      <c r="C77" t="s">
        <v>122</v>
      </c>
      <c r="D77" t="s">
        <v>1185</v>
      </c>
      <c r="E77" t="s">
        <v>33</v>
      </c>
      <c r="F77" t="s">
        <v>883</v>
      </c>
      <c r="G77" t="s">
        <v>795</v>
      </c>
      <c r="H77" t="s">
        <v>11</v>
      </c>
      <c r="I77" t="s">
        <v>22</v>
      </c>
      <c r="J77" t="s">
        <v>21</v>
      </c>
      <c r="K77" t="s">
        <v>566</v>
      </c>
      <c r="L77">
        <v>20</v>
      </c>
      <c r="M77">
        <v>3</v>
      </c>
      <c r="N77">
        <v>1994</v>
      </c>
      <c r="O77" s="36">
        <v>34413</v>
      </c>
      <c r="P77">
        <v>31</v>
      </c>
      <c r="Q77">
        <v>6843</v>
      </c>
      <c r="R77">
        <v>684.30000000000007</v>
      </c>
      <c r="S77">
        <v>205.29</v>
      </c>
      <c r="T77">
        <v>6363.99</v>
      </c>
      <c r="U77" t="s">
        <v>1111</v>
      </c>
      <c r="V77" s="37">
        <v>0.02</v>
      </c>
    </row>
    <row r="78" spans="1:22" x14ac:dyDescent="0.2">
      <c r="A78">
        <v>1077</v>
      </c>
      <c r="B78" t="s">
        <v>39</v>
      </c>
      <c r="C78" t="s">
        <v>233</v>
      </c>
      <c r="D78" t="s">
        <v>1186</v>
      </c>
      <c r="E78" t="s">
        <v>33</v>
      </c>
      <c r="F78" t="s">
        <v>884</v>
      </c>
      <c r="G78" t="s">
        <v>795</v>
      </c>
      <c r="H78" t="s">
        <v>20</v>
      </c>
      <c r="I78" t="s">
        <v>22</v>
      </c>
      <c r="J78" t="s">
        <v>21</v>
      </c>
      <c r="K78" t="s">
        <v>567</v>
      </c>
      <c r="L78">
        <v>7</v>
      </c>
      <c r="M78">
        <v>1</v>
      </c>
      <c r="N78">
        <v>2006</v>
      </c>
      <c r="O78" s="36">
        <v>38724</v>
      </c>
      <c r="P78">
        <v>20</v>
      </c>
      <c r="Q78">
        <v>1070</v>
      </c>
      <c r="R78">
        <v>107</v>
      </c>
      <c r="S78">
        <v>32.1</v>
      </c>
      <c r="T78">
        <v>995.09999999999991</v>
      </c>
      <c r="U78" t="s">
        <v>1114</v>
      </c>
      <c r="V78" s="37">
        <v>0.1</v>
      </c>
    </row>
    <row r="79" spans="1:22" x14ac:dyDescent="0.2">
      <c r="A79">
        <v>1078</v>
      </c>
      <c r="B79" t="s">
        <v>76</v>
      </c>
      <c r="C79" t="s">
        <v>234</v>
      </c>
      <c r="D79" t="s">
        <v>1187</v>
      </c>
      <c r="E79" t="s">
        <v>33</v>
      </c>
      <c r="F79" t="s">
        <v>885</v>
      </c>
      <c r="G79" t="s">
        <v>13</v>
      </c>
      <c r="H79" t="s">
        <v>8</v>
      </c>
      <c r="I79" t="s">
        <v>22</v>
      </c>
      <c r="J79" t="s">
        <v>10</v>
      </c>
      <c r="K79" t="s">
        <v>568</v>
      </c>
      <c r="L79">
        <v>13</v>
      </c>
      <c r="M79">
        <v>6</v>
      </c>
      <c r="N79">
        <v>2001</v>
      </c>
      <c r="O79" s="36">
        <v>37055</v>
      </c>
      <c r="P79">
        <v>24</v>
      </c>
      <c r="Q79">
        <v>1493</v>
      </c>
      <c r="R79">
        <v>149.30000000000001</v>
      </c>
      <c r="S79">
        <v>44.79</v>
      </c>
      <c r="T79">
        <v>1388.49</v>
      </c>
      <c r="U79" t="s">
        <v>1114</v>
      </c>
      <c r="V79" s="37">
        <v>0.08</v>
      </c>
    </row>
    <row r="80" spans="1:22" x14ac:dyDescent="0.2">
      <c r="A80">
        <v>1079</v>
      </c>
      <c r="B80" t="s">
        <v>235</v>
      </c>
      <c r="C80" t="s">
        <v>236</v>
      </c>
      <c r="D80" t="s">
        <v>1188</v>
      </c>
      <c r="E80" t="s">
        <v>34</v>
      </c>
      <c r="F80" t="s">
        <v>886</v>
      </c>
      <c r="G80" t="s">
        <v>18</v>
      </c>
      <c r="H80" t="s">
        <v>11</v>
      </c>
      <c r="I80" t="s">
        <v>22</v>
      </c>
      <c r="J80" t="s">
        <v>21</v>
      </c>
      <c r="K80" t="s">
        <v>569</v>
      </c>
      <c r="L80">
        <v>28</v>
      </c>
      <c r="M80">
        <v>6</v>
      </c>
      <c r="N80">
        <v>2017</v>
      </c>
      <c r="O80" s="36">
        <v>42914</v>
      </c>
      <c r="P80">
        <v>8</v>
      </c>
      <c r="Q80">
        <v>5857</v>
      </c>
      <c r="R80">
        <v>585.70000000000005</v>
      </c>
      <c r="S80">
        <v>175.70999999999998</v>
      </c>
      <c r="T80">
        <v>5447.01</v>
      </c>
      <c r="U80" t="s">
        <v>1114</v>
      </c>
      <c r="V80" s="37">
        <v>0.05</v>
      </c>
    </row>
    <row r="81" spans="1:22" x14ac:dyDescent="0.2">
      <c r="A81">
        <v>1080</v>
      </c>
      <c r="B81" t="s">
        <v>237</v>
      </c>
      <c r="C81" t="s">
        <v>238</v>
      </c>
      <c r="D81" t="s">
        <v>1189</v>
      </c>
      <c r="E81" t="s">
        <v>33</v>
      </c>
      <c r="F81" t="s">
        <v>887</v>
      </c>
      <c r="G81" t="s">
        <v>18</v>
      </c>
      <c r="H81" t="s">
        <v>11</v>
      </c>
      <c r="I81" t="s">
        <v>198</v>
      </c>
      <c r="J81" t="s">
        <v>19</v>
      </c>
      <c r="K81" t="s">
        <v>570</v>
      </c>
      <c r="L81">
        <v>22</v>
      </c>
      <c r="M81">
        <v>10</v>
      </c>
      <c r="N81">
        <v>2019</v>
      </c>
      <c r="O81" s="36">
        <v>43760</v>
      </c>
      <c r="P81">
        <v>6</v>
      </c>
      <c r="Q81">
        <v>5278</v>
      </c>
      <c r="R81">
        <v>527.80000000000007</v>
      </c>
      <c r="S81">
        <v>158.34</v>
      </c>
      <c r="T81">
        <v>4908.54</v>
      </c>
      <c r="U81" t="s">
        <v>1114</v>
      </c>
      <c r="V81" s="37">
        <v>0.05</v>
      </c>
    </row>
    <row r="82" spans="1:22" x14ac:dyDescent="0.2">
      <c r="A82">
        <v>1081</v>
      </c>
      <c r="B82" t="s">
        <v>239</v>
      </c>
      <c r="C82" t="s">
        <v>240</v>
      </c>
      <c r="D82" t="s">
        <v>1190</v>
      </c>
      <c r="E82" t="s">
        <v>34</v>
      </c>
      <c r="F82" t="s">
        <v>888</v>
      </c>
      <c r="G82" t="s">
        <v>795</v>
      </c>
      <c r="H82" t="s">
        <v>11</v>
      </c>
      <c r="I82" t="s">
        <v>23</v>
      </c>
      <c r="J82" t="s">
        <v>10</v>
      </c>
      <c r="K82" t="s">
        <v>571</v>
      </c>
      <c r="L82">
        <v>2</v>
      </c>
      <c r="M82">
        <v>9</v>
      </c>
      <c r="N82">
        <v>2011</v>
      </c>
      <c r="O82" s="36">
        <v>40788</v>
      </c>
      <c r="P82">
        <v>14</v>
      </c>
      <c r="Q82">
        <v>5710</v>
      </c>
      <c r="R82">
        <v>571</v>
      </c>
      <c r="S82">
        <v>171.29999999999998</v>
      </c>
      <c r="T82">
        <v>5310.3</v>
      </c>
      <c r="U82" t="s">
        <v>1114</v>
      </c>
      <c r="V82" s="37">
        <v>0.05</v>
      </c>
    </row>
    <row r="83" spans="1:22" x14ac:dyDescent="0.2">
      <c r="A83">
        <v>1082</v>
      </c>
      <c r="B83" t="s">
        <v>241</v>
      </c>
      <c r="C83" t="s">
        <v>242</v>
      </c>
      <c r="D83" t="s">
        <v>1191</v>
      </c>
      <c r="E83" t="s">
        <v>34</v>
      </c>
      <c r="F83" t="s">
        <v>889</v>
      </c>
      <c r="G83" t="s">
        <v>13</v>
      </c>
      <c r="H83" t="s">
        <v>8</v>
      </c>
      <c r="I83" t="s">
        <v>15</v>
      </c>
      <c r="J83" t="s">
        <v>19</v>
      </c>
      <c r="K83" t="s">
        <v>572</v>
      </c>
      <c r="L83">
        <v>15</v>
      </c>
      <c r="M83">
        <v>10</v>
      </c>
      <c r="N83">
        <v>2002</v>
      </c>
      <c r="O83" s="36">
        <v>37544</v>
      </c>
      <c r="P83">
        <v>23</v>
      </c>
      <c r="Q83">
        <v>6145</v>
      </c>
      <c r="R83">
        <v>614.5</v>
      </c>
      <c r="S83">
        <v>184.35</v>
      </c>
      <c r="T83">
        <v>5714.85</v>
      </c>
      <c r="U83" t="s">
        <v>1114</v>
      </c>
      <c r="V83" s="37">
        <v>0.05</v>
      </c>
    </row>
    <row r="84" spans="1:22" x14ac:dyDescent="0.2">
      <c r="A84">
        <v>1083</v>
      </c>
      <c r="B84" t="s">
        <v>243</v>
      </c>
      <c r="C84" t="s">
        <v>244</v>
      </c>
      <c r="D84" t="s">
        <v>1192</v>
      </c>
      <c r="E84" t="s">
        <v>34</v>
      </c>
      <c r="F84" t="s">
        <v>890</v>
      </c>
      <c r="G84" t="s">
        <v>16</v>
      </c>
      <c r="H84" t="s">
        <v>11</v>
      </c>
      <c r="I84" t="s">
        <v>23</v>
      </c>
      <c r="J84" t="s">
        <v>19</v>
      </c>
      <c r="K84" t="s">
        <v>573</v>
      </c>
      <c r="L84">
        <v>22</v>
      </c>
      <c r="M84">
        <v>5</v>
      </c>
      <c r="N84">
        <v>1995</v>
      </c>
      <c r="O84" s="36">
        <v>34841</v>
      </c>
      <c r="P84">
        <v>30</v>
      </c>
      <c r="Q84">
        <v>5278</v>
      </c>
      <c r="R84">
        <v>527.80000000000007</v>
      </c>
      <c r="S84">
        <v>158.34</v>
      </c>
      <c r="T84">
        <v>4908.54</v>
      </c>
      <c r="U84" t="s">
        <v>1114</v>
      </c>
      <c r="V84" s="37">
        <v>0.05</v>
      </c>
    </row>
    <row r="85" spans="1:22" x14ac:dyDescent="0.2">
      <c r="A85">
        <v>1084</v>
      </c>
      <c r="B85" t="s">
        <v>245</v>
      </c>
      <c r="C85" t="s">
        <v>246</v>
      </c>
      <c r="D85" t="s">
        <v>1193</v>
      </c>
      <c r="E85" t="s">
        <v>34</v>
      </c>
      <c r="F85" t="s">
        <v>891</v>
      </c>
      <c r="G85" t="s">
        <v>16</v>
      </c>
      <c r="H85" t="s">
        <v>8</v>
      </c>
      <c r="I85" t="s">
        <v>9</v>
      </c>
      <c r="J85" t="s">
        <v>10</v>
      </c>
      <c r="K85" t="s">
        <v>574</v>
      </c>
      <c r="L85">
        <v>17</v>
      </c>
      <c r="M85">
        <v>1</v>
      </c>
      <c r="N85">
        <v>2019</v>
      </c>
      <c r="O85" s="36">
        <v>43482</v>
      </c>
      <c r="P85">
        <v>7</v>
      </c>
      <c r="Q85">
        <v>6409</v>
      </c>
      <c r="R85">
        <v>640.90000000000009</v>
      </c>
      <c r="S85">
        <v>192.26999999999998</v>
      </c>
      <c r="T85">
        <v>5960.3700000000008</v>
      </c>
      <c r="U85" t="s">
        <v>1114</v>
      </c>
      <c r="V85" s="37">
        <v>0.05</v>
      </c>
    </row>
    <row r="86" spans="1:22" x14ac:dyDescent="0.2">
      <c r="A86">
        <v>1085</v>
      </c>
      <c r="B86" t="s">
        <v>247</v>
      </c>
      <c r="C86" t="s">
        <v>248</v>
      </c>
      <c r="D86" t="s">
        <v>1194</v>
      </c>
      <c r="E86" t="s">
        <v>33</v>
      </c>
      <c r="F86" t="s">
        <v>892</v>
      </c>
      <c r="G86" t="s">
        <v>13</v>
      </c>
      <c r="H86" t="s">
        <v>20</v>
      </c>
      <c r="I86" t="s">
        <v>9</v>
      </c>
      <c r="J86" t="s">
        <v>21</v>
      </c>
      <c r="K86" t="s">
        <v>575</v>
      </c>
      <c r="L86">
        <v>4</v>
      </c>
      <c r="M86">
        <v>12</v>
      </c>
      <c r="N86">
        <v>2015</v>
      </c>
      <c r="O86" s="36">
        <v>42342</v>
      </c>
      <c r="P86">
        <v>10</v>
      </c>
      <c r="Q86">
        <v>7478</v>
      </c>
      <c r="R86">
        <v>747.80000000000007</v>
      </c>
      <c r="S86">
        <v>224.34</v>
      </c>
      <c r="T86">
        <v>6954.54</v>
      </c>
      <c r="U86" t="s">
        <v>1111</v>
      </c>
      <c r="V86" s="37">
        <v>0.02</v>
      </c>
    </row>
    <row r="87" spans="1:22" x14ac:dyDescent="0.2">
      <c r="A87">
        <v>1086</v>
      </c>
      <c r="B87" t="s">
        <v>111</v>
      </c>
      <c r="C87" t="s">
        <v>249</v>
      </c>
      <c r="D87" t="s">
        <v>1195</v>
      </c>
      <c r="E87" t="s">
        <v>34</v>
      </c>
      <c r="F87" t="s">
        <v>893</v>
      </c>
      <c r="G87" t="s">
        <v>795</v>
      </c>
      <c r="H87" t="s">
        <v>11</v>
      </c>
      <c r="I87" t="s">
        <v>9</v>
      </c>
      <c r="J87" t="s">
        <v>10</v>
      </c>
      <c r="K87" t="s">
        <v>576</v>
      </c>
      <c r="L87">
        <v>14</v>
      </c>
      <c r="M87">
        <v>12</v>
      </c>
      <c r="N87">
        <v>2018</v>
      </c>
      <c r="O87" s="36">
        <v>43448</v>
      </c>
      <c r="P87">
        <v>7</v>
      </c>
      <c r="Q87">
        <v>4621</v>
      </c>
      <c r="R87">
        <v>462.1</v>
      </c>
      <c r="S87">
        <v>138.63</v>
      </c>
      <c r="T87">
        <v>4297.53</v>
      </c>
      <c r="U87" t="s">
        <v>1114</v>
      </c>
      <c r="V87" s="37">
        <v>0.05</v>
      </c>
    </row>
    <row r="88" spans="1:22" x14ac:dyDescent="0.2">
      <c r="A88">
        <v>1087</v>
      </c>
      <c r="B88" t="s">
        <v>250</v>
      </c>
      <c r="C88" t="s">
        <v>251</v>
      </c>
      <c r="D88" t="s">
        <v>1196</v>
      </c>
      <c r="E88" t="s">
        <v>34</v>
      </c>
      <c r="F88" t="s">
        <v>894</v>
      </c>
      <c r="G88" t="s">
        <v>16</v>
      </c>
      <c r="H88" t="s">
        <v>8</v>
      </c>
      <c r="I88" t="s">
        <v>24</v>
      </c>
      <c r="J88" t="s">
        <v>10</v>
      </c>
      <c r="K88" t="s">
        <v>577</v>
      </c>
      <c r="L88">
        <v>14</v>
      </c>
      <c r="M88">
        <v>12</v>
      </c>
      <c r="N88">
        <v>1993</v>
      </c>
      <c r="O88" s="36">
        <v>34317</v>
      </c>
      <c r="P88">
        <v>32</v>
      </c>
      <c r="Q88">
        <v>2093</v>
      </c>
      <c r="R88">
        <v>209.3</v>
      </c>
      <c r="S88">
        <v>62.79</v>
      </c>
      <c r="T88">
        <v>1946.49</v>
      </c>
      <c r="U88" t="s">
        <v>1114</v>
      </c>
      <c r="V88" s="37">
        <v>0.08</v>
      </c>
    </row>
    <row r="89" spans="1:22" x14ac:dyDescent="0.2">
      <c r="A89">
        <v>1088</v>
      </c>
      <c r="B89" t="s">
        <v>252</v>
      </c>
      <c r="C89" t="s">
        <v>253</v>
      </c>
      <c r="D89" t="s">
        <v>1197</v>
      </c>
      <c r="E89" t="s">
        <v>33</v>
      </c>
      <c r="F89" t="s">
        <v>895</v>
      </c>
      <c r="G89" t="s">
        <v>795</v>
      </c>
      <c r="H89" t="s">
        <v>8</v>
      </c>
      <c r="I89" t="s">
        <v>198</v>
      </c>
      <c r="J89" t="s">
        <v>19</v>
      </c>
      <c r="K89" t="s">
        <v>578</v>
      </c>
      <c r="L89">
        <v>20</v>
      </c>
      <c r="M89">
        <v>5</v>
      </c>
      <c r="N89">
        <v>2002</v>
      </c>
      <c r="O89" s="36">
        <v>37396</v>
      </c>
      <c r="P89">
        <v>23</v>
      </c>
      <c r="Q89">
        <v>7333</v>
      </c>
      <c r="R89">
        <v>733.30000000000007</v>
      </c>
      <c r="S89">
        <v>219.98999999999998</v>
      </c>
      <c r="T89">
        <v>6819.69</v>
      </c>
      <c r="U89" t="s">
        <v>1111</v>
      </c>
      <c r="V89" s="37">
        <v>0.02</v>
      </c>
    </row>
    <row r="90" spans="1:22" x14ac:dyDescent="0.2">
      <c r="A90">
        <v>1089</v>
      </c>
      <c r="B90" t="s">
        <v>60</v>
      </c>
      <c r="C90" t="s">
        <v>254</v>
      </c>
      <c r="D90" t="s">
        <v>1198</v>
      </c>
      <c r="E90" t="s">
        <v>34</v>
      </c>
      <c r="F90" t="s">
        <v>896</v>
      </c>
      <c r="G90" t="s">
        <v>16</v>
      </c>
      <c r="H90" t="s">
        <v>11</v>
      </c>
      <c r="I90" t="s">
        <v>15</v>
      </c>
      <c r="J90" t="s">
        <v>19</v>
      </c>
      <c r="K90" t="s">
        <v>579</v>
      </c>
      <c r="L90">
        <v>16</v>
      </c>
      <c r="M90">
        <v>9</v>
      </c>
      <c r="N90">
        <v>2008</v>
      </c>
      <c r="O90" s="36">
        <v>39707</v>
      </c>
      <c r="P90">
        <v>17</v>
      </c>
      <c r="Q90">
        <v>1194</v>
      </c>
      <c r="R90">
        <v>119.4</v>
      </c>
      <c r="S90">
        <v>35.82</v>
      </c>
      <c r="T90">
        <v>1110.4199999999998</v>
      </c>
      <c r="U90" t="s">
        <v>1114</v>
      </c>
      <c r="V90" s="37">
        <v>0.08</v>
      </c>
    </row>
    <row r="91" spans="1:22" x14ac:dyDescent="0.2">
      <c r="A91">
        <v>1090</v>
      </c>
      <c r="B91" t="s">
        <v>255</v>
      </c>
      <c r="C91" t="s">
        <v>256</v>
      </c>
      <c r="D91" t="s">
        <v>1199</v>
      </c>
      <c r="E91" t="s">
        <v>34</v>
      </c>
      <c r="F91" t="s">
        <v>897</v>
      </c>
      <c r="G91" t="s">
        <v>7</v>
      </c>
      <c r="H91" t="s">
        <v>8</v>
      </c>
      <c r="I91" t="s">
        <v>15</v>
      </c>
      <c r="J91" t="s">
        <v>21</v>
      </c>
      <c r="K91" t="s">
        <v>580</v>
      </c>
      <c r="L91">
        <v>6</v>
      </c>
      <c r="M91">
        <v>11</v>
      </c>
      <c r="N91">
        <v>2015</v>
      </c>
      <c r="O91" s="36">
        <v>42314</v>
      </c>
      <c r="P91">
        <v>10</v>
      </c>
      <c r="Q91">
        <v>5118</v>
      </c>
      <c r="R91">
        <v>511.8</v>
      </c>
      <c r="S91">
        <v>153.54</v>
      </c>
      <c r="T91">
        <v>4759.74</v>
      </c>
      <c r="U91" t="s">
        <v>1114</v>
      </c>
      <c r="V91" s="37">
        <v>0.05</v>
      </c>
    </row>
    <row r="92" spans="1:22" x14ac:dyDescent="0.2">
      <c r="A92">
        <v>1091</v>
      </c>
      <c r="B92" t="s">
        <v>257</v>
      </c>
      <c r="C92" t="s">
        <v>258</v>
      </c>
      <c r="D92" t="s">
        <v>1200</v>
      </c>
      <c r="E92" t="s">
        <v>34</v>
      </c>
      <c r="F92" t="s">
        <v>898</v>
      </c>
      <c r="G92" t="s">
        <v>16</v>
      </c>
      <c r="H92" t="s">
        <v>8</v>
      </c>
      <c r="I92" t="s">
        <v>25</v>
      </c>
      <c r="J92" t="s">
        <v>19</v>
      </c>
      <c r="K92" t="s">
        <v>581</v>
      </c>
      <c r="L92">
        <v>28</v>
      </c>
      <c r="M92">
        <v>5</v>
      </c>
      <c r="N92">
        <v>2004</v>
      </c>
      <c r="O92" s="36">
        <v>38135</v>
      </c>
      <c r="P92">
        <v>21</v>
      </c>
      <c r="Q92">
        <v>5373</v>
      </c>
      <c r="R92">
        <v>537.30000000000007</v>
      </c>
      <c r="S92">
        <v>161.19</v>
      </c>
      <c r="T92">
        <v>4996.8899999999994</v>
      </c>
      <c r="U92" t="s">
        <v>1114</v>
      </c>
      <c r="V92" s="37">
        <v>0.05</v>
      </c>
    </row>
    <row r="93" spans="1:22" x14ac:dyDescent="0.2">
      <c r="A93">
        <v>1092</v>
      </c>
      <c r="B93" t="s">
        <v>259</v>
      </c>
      <c r="C93" t="s">
        <v>260</v>
      </c>
      <c r="D93" t="s">
        <v>1201</v>
      </c>
      <c r="E93" t="s">
        <v>33</v>
      </c>
      <c r="F93" t="s">
        <v>899</v>
      </c>
      <c r="G93" t="s">
        <v>16</v>
      </c>
      <c r="H93" t="s">
        <v>14</v>
      </c>
      <c r="I93" t="s">
        <v>26</v>
      </c>
      <c r="J93" t="s">
        <v>10</v>
      </c>
      <c r="K93" t="s">
        <v>582</v>
      </c>
      <c r="L93">
        <v>27</v>
      </c>
      <c r="M93">
        <v>7</v>
      </c>
      <c r="N93">
        <v>2011</v>
      </c>
      <c r="O93" s="36">
        <v>40751</v>
      </c>
      <c r="P93">
        <v>14</v>
      </c>
      <c r="Q93">
        <v>1708</v>
      </c>
      <c r="R93">
        <v>170.8</v>
      </c>
      <c r="S93">
        <v>51.239999999999995</v>
      </c>
      <c r="T93">
        <v>1588.44</v>
      </c>
      <c r="U93" t="s">
        <v>1114</v>
      </c>
      <c r="V93" s="37">
        <v>0.08</v>
      </c>
    </row>
    <row r="94" spans="1:22" x14ac:dyDescent="0.2">
      <c r="A94">
        <v>1093</v>
      </c>
      <c r="B94" t="s">
        <v>261</v>
      </c>
      <c r="C94" t="s">
        <v>262</v>
      </c>
      <c r="D94" t="s">
        <v>1202</v>
      </c>
      <c r="E94" t="s">
        <v>33</v>
      </c>
      <c r="F94" t="s">
        <v>900</v>
      </c>
      <c r="G94" t="s">
        <v>18</v>
      </c>
      <c r="H94" t="s">
        <v>8</v>
      </c>
      <c r="I94" t="s">
        <v>198</v>
      </c>
      <c r="J94" t="s">
        <v>21</v>
      </c>
      <c r="K94" t="s">
        <v>583</v>
      </c>
      <c r="L94">
        <v>11</v>
      </c>
      <c r="M94">
        <v>8</v>
      </c>
      <c r="N94">
        <v>2019</v>
      </c>
      <c r="O94" s="36">
        <v>43688</v>
      </c>
      <c r="P94">
        <v>6</v>
      </c>
      <c r="Q94">
        <v>2898</v>
      </c>
      <c r="R94">
        <v>289.8</v>
      </c>
      <c r="S94">
        <v>86.94</v>
      </c>
      <c r="T94">
        <v>2695.14</v>
      </c>
      <c r="U94" t="s">
        <v>1114</v>
      </c>
      <c r="V94" s="37">
        <v>0.08</v>
      </c>
    </row>
    <row r="95" spans="1:22" x14ac:dyDescent="0.2">
      <c r="A95">
        <v>1094</v>
      </c>
      <c r="B95" t="s">
        <v>52</v>
      </c>
      <c r="C95" t="s">
        <v>263</v>
      </c>
      <c r="D95" t="s">
        <v>1203</v>
      </c>
      <c r="E95" t="s">
        <v>34</v>
      </c>
      <c r="F95" t="s">
        <v>901</v>
      </c>
      <c r="G95" t="s">
        <v>7</v>
      </c>
      <c r="H95" t="s">
        <v>11</v>
      </c>
      <c r="I95" t="s">
        <v>23</v>
      </c>
      <c r="J95" t="s">
        <v>10</v>
      </c>
      <c r="K95" t="s">
        <v>584</v>
      </c>
      <c r="L95">
        <v>16</v>
      </c>
      <c r="M95">
        <v>10</v>
      </c>
      <c r="N95">
        <v>2007</v>
      </c>
      <c r="O95" s="36">
        <v>39371</v>
      </c>
      <c r="P95">
        <v>18</v>
      </c>
      <c r="Q95">
        <v>6211</v>
      </c>
      <c r="R95">
        <v>621.1</v>
      </c>
      <c r="S95">
        <v>186.32999999999998</v>
      </c>
      <c r="T95">
        <v>5776.23</v>
      </c>
      <c r="U95" t="s">
        <v>1114</v>
      </c>
      <c r="V95" s="37">
        <v>0.05</v>
      </c>
    </row>
    <row r="96" spans="1:22" x14ac:dyDescent="0.2">
      <c r="A96">
        <v>1095</v>
      </c>
      <c r="B96" t="s">
        <v>264</v>
      </c>
      <c r="C96" t="s">
        <v>265</v>
      </c>
      <c r="D96" t="s">
        <v>1204</v>
      </c>
      <c r="E96" t="s">
        <v>34</v>
      </c>
      <c r="F96" t="s">
        <v>902</v>
      </c>
      <c r="G96" t="s">
        <v>18</v>
      </c>
      <c r="H96" t="s">
        <v>8</v>
      </c>
      <c r="I96" t="s">
        <v>9</v>
      </c>
      <c r="J96" t="s">
        <v>10</v>
      </c>
      <c r="K96" t="s">
        <v>585</v>
      </c>
      <c r="L96">
        <v>25</v>
      </c>
      <c r="M96">
        <v>12</v>
      </c>
      <c r="N96">
        <v>2020</v>
      </c>
      <c r="O96" s="36">
        <v>44190</v>
      </c>
      <c r="P96">
        <v>5</v>
      </c>
      <c r="Q96">
        <v>5976</v>
      </c>
      <c r="R96">
        <v>597.6</v>
      </c>
      <c r="S96">
        <v>179.28</v>
      </c>
      <c r="T96">
        <v>5557.6799999999994</v>
      </c>
      <c r="U96" t="s">
        <v>1114</v>
      </c>
      <c r="V96" s="37">
        <v>0.05</v>
      </c>
    </row>
    <row r="97" spans="1:22" x14ac:dyDescent="0.2">
      <c r="A97">
        <v>1096</v>
      </c>
      <c r="B97" t="s">
        <v>39</v>
      </c>
      <c r="C97" t="s">
        <v>266</v>
      </c>
      <c r="D97" t="s">
        <v>1205</v>
      </c>
      <c r="E97" t="s">
        <v>33</v>
      </c>
      <c r="F97" t="s">
        <v>903</v>
      </c>
      <c r="G97" t="s">
        <v>18</v>
      </c>
      <c r="H97" t="s">
        <v>11</v>
      </c>
      <c r="I97" t="s">
        <v>9</v>
      </c>
      <c r="J97" t="s">
        <v>19</v>
      </c>
      <c r="K97" t="s">
        <v>586</v>
      </c>
      <c r="L97">
        <v>28</v>
      </c>
      <c r="M97">
        <v>10</v>
      </c>
      <c r="N97">
        <v>1997</v>
      </c>
      <c r="O97" s="36">
        <v>35731</v>
      </c>
      <c r="P97">
        <v>28</v>
      </c>
      <c r="Q97">
        <v>742</v>
      </c>
      <c r="R97">
        <v>74.2</v>
      </c>
      <c r="S97">
        <v>22.259999999999998</v>
      </c>
      <c r="T97">
        <v>690.06</v>
      </c>
      <c r="U97" t="s">
        <v>1114</v>
      </c>
      <c r="V97" s="37">
        <v>0.1</v>
      </c>
    </row>
    <row r="98" spans="1:22" x14ac:dyDescent="0.2">
      <c r="A98">
        <v>1097</v>
      </c>
      <c r="B98" t="s">
        <v>52</v>
      </c>
      <c r="C98" t="s">
        <v>267</v>
      </c>
      <c r="D98" t="s">
        <v>1206</v>
      </c>
      <c r="E98" t="s">
        <v>33</v>
      </c>
      <c r="F98" t="s">
        <v>904</v>
      </c>
      <c r="G98" t="s">
        <v>13</v>
      </c>
      <c r="H98" t="s">
        <v>11</v>
      </c>
      <c r="I98" t="s">
        <v>24</v>
      </c>
      <c r="J98" t="s">
        <v>10</v>
      </c>
      <c r="K98" t="s">
        <v>587</v>
      </c>
      <c r="L98">
        <v>3</v>
      </c>
      <c r="M98">
        <v>4</v>
      </c>
      <c r="N98">
        <v>2008</v>
      </c>
      <c r="O98" s="36">
        <v>39541</v>
      </c>
      <c r="P98">
        <v>17</v>
      </c>
      <c r="Q98">
        <v>5918</v>
      </c>
      <c r="R98">
        <v>591.80000000000007</v>
      </c>
      <c r="S98">
        <v>177.54</v>
      </c>
      <c r="T98">
        <v>5503.74</v>
      </c>
      <c r="U98" t="s">
        <v>1114</v>
      </c>
      <c r="V98" s="37">
        <v>0.05</v>
      </c>
    </row>
    <row r="99" spans="1:22" x14ac:dyDescent="0.2">
      <c r="A99">
        <v>1098</v>
      </c>
      <c r="B99" t="s">
        <v>268</v>
      </c>
      <c r="C99" t="s">
        <v>269</v>
      </c>
      <c r="D99" t="s">
        <v>1207</v>
      </c>
      <c r="E99" t="s">
        <v>33</v>
      </c>
      <c r="F99" t="s">
        <v>905</v>
      </c>
      <c r="G99" t="s">
        <v>13</v>
      </c>
      <c r="H99" t="s">
        <v>11</v>
      </c>
      <c r="I99" t="s">
        <v>15</v>
      </c>
      <c r="J99" t="s">
        <v>21</v>
      </c>
      <c r="K99" t="s">
        <v>588</v>
      </c>
      <c r="L99">
        <v>3</v>
      </c>
      <c r="M99">
        <v>1</v>
      </c>
      <c r="N99">
        <v>1998</v>
      </c>
      <c r="O99" s="36">
        <v>35798</v>
      </c>
      <c r="P99">
        <v>28</v>
      </c>
      <c r="Q99">
        <v>3074</v>
      </c>
      <c r="R99">
        <v>307.40000000000003</v>
      </c>
      <c r="S99">
        <v>92.22</v>
      </c>
      <c r="T99">
        <v>2858.8199999999997</v>
      </c>
      <c r="U99" t="s">
        <v>1114</v>
      </c>
      <c r="V99" s="37">
        <v>0.08</v>
      </c>
    </row>
    <row r="100" spans="1:22" x14ac:dyDescent="0.2">
      <c r="A100">
        <v>1099</v>
      </c>
      <c r="B100" t="s">
        <v>270</v>
      </c>
      <c r="C100" t="s">
        <v>271</v>
      </c>
      <c r="D100" t="s">
        <v>1208</v>
      </c>
      <c r="E100" t="s">
        <v>33</v>
      </c>
      <c r="F100" t="s">
        <v>906</v>
      </c>
      <c r="G100" t="s">
        <v>18</v>
      </c>
      <c r="H100" t="s">
        <v>8</v>
      </c>
      <c r="I100" t="s">
        <v>9</v>
      </c>
      <c r="J100" t="s">
        <v>21</v>
      </c>
      <c r="K100" t="s">
        <v>589</v>
      </c>
      <c r="L100">
        <v>21</v>
      </c>
      <c r="M100">
        <v>4</v>
      </c>
      <c r="N100">
        <v>2006</v>
      </c>
      <c r="O100" s="36">
        <v>38828</v>
      </c>
      <c r="P100">
        <v>19</v>
      </c>
      <c r="Q100">
        <v>5688</v>
      </c>
      <c r="R100">
        <v>568.80000000000007</v>
      </c>
      <c r="S100">
        <v>170.64</v>
      </c>
      <c r="T100">
        <v>5289.84</v>
      </c>
      <c r="U100" t="s">
        <v>1114</v>
      </c>
      <c r="V100" s="37">
        <v>0.05</v>
      </c>
    </row>
    <row r="101" spans="1:22" x14ac:dyDescent="0.2">
      <c r="A101">
        <v>1100</v>
      </c>
      <c r="B101" t="s">
        <v>272</v>
      </c>
      <c r="C101" t="s">
        <v>273</v>
      </c>
      <c r="D101" t="s">
        <v>1209</v>
      </c>
      <c r="E101" t="s">
        <v>33</v>
      </c>
      <c r="F101" t="s">
        <v>907</v>
      </c>
      <c r="G101" t="s">
        <v>13</v>
      </c>
      <c r="H101" t="s">
        <v>11</v>
      </c>
      <c r="I101" t="s">
        <v>9</v>
      </c>
      <c r="J101" t="s">
        <v>10</v>
      </c>
      <c r="K101" t="s">
        <v>590</v>
      </c>
      <c r="L101">
        <v>25</v>
      </c>
      <c r="M101">
        <v>9</v>
      </c>
      <c r="N101">
        <v>2003</v>
      </c>
      <c r="O101" s="36">
        <v>37889</v>
      </c>
      <c r="P101">
        <v>22</v>
      </c>
      <c r="Q101">
        <v>3362</v>
      </c>
      <c r="R101">
        <v>336.20000000000005</v>
      </c>
      <c r="S101">
        <v>100.86</v>
      </c>
      <c r="T101">
        <v>3126.66</v>
      </c>
      <c r="U101" t="s">
        <v>1114</v>
      </c>
      <c r="V101" s="37">
        <v>0.05</v>
      </c>
    </row>
    <row r="102" spans="1:22" x14ac:dyDescent="0.2">
      <c r="A102">
        <v>1101</v>
      </c>
      <c r="B102" t="s">
        <v>274</v>
      </c>
      <c r="C102" t="s">
        <v>275</v>
      </c>
      <c r="D102" t="s">
        <v>1210</v>
      </c>
      <c r="E102" t="s">
        <v>34</v>
      </c>
      <c r="F102" t="s">
        <v>908</v>
      </c>
      <c r="G102" t="s">
        <v>16</v>
      </c>
      <c r="H102" t="s">
        <v>11</v>
      </c>
      <c r="I102" t="s">
        <v>9</v>
      </c>
      <c r="J102" t="s">
        <v>21</v>
      </c>
      <c r="K102" t="s">
        <v>591</v>
      </c>
      <c r="L102">
        <v>23</v>
      </c>
      <c r="M102">
        <v>9</v>
      </c>
      <c r="N102">
        <v>1996</v>
      </c>
      <c r="O102" s="36">
        <v>35331</v>
      </c>
      <c r="P102">
        <v>29</v>
      </c>
      <c r="Q102">
        <v>6043</v>
      </c>
      <c r="R102">
        <v>604.30000000000007</v>
      </c>
      <c r="S102">
        <v>181.29</v>
      </c>
      <c r="T102">
        <v>5619.99</v>
      </c>
      <c r="U102" t="s">
        <v>1114</v>
      </c>
      <c r="V102" s="37">
        <v>0.05</v>
      </c>
    </row>
    <row r="103" spans="1:22" x14ac:dyDescent="0.2">
      <c r="A103">
        <v>1102</v>
      </c>
      <c r="B103" t="s">
        <v>276</v>
      </c>
      <c r="C103" t="s">
        <v>277</v>
      </c>
      <c r="D103" t="s">
        <v>1211</v>
      </c>
      <c r="E103" t="s">
        <v>33</v>
      </c>
      <c r="F103" t="s">
        <v>909</v>
      </c>
      <c r="G103" t="s">
        <v>16</v>
      </c>
      <c r="H103" t="s">
        <v>8</v>
      </c>
      <c r="I103" t="s">
        <v>9</v>
      </c>
      <c r="J103" t="s">
        <v>10</v>
      </c>
      <c r="K103" t="s">
        <v>592</v>
      </c>
      <c r="L103">
        <v>26</v>
      </c>
      <c r="M103">
        <v>8</v>
      </c>
      <c r="N103">
        <v>2022</v>
      </c>
      <c r="O103" s="36">
        <v>44799</v>
      </c>
      <c r="P103">
        <v>3</v>
      </c>
      <c r="Q103">
        <v>6260</v>
      </c>
      <c r="R103">
        <v>626</v>
      </c>
      <c r="S103">
        <v>187.79999999999998</v>
      </c>
      <c r="T103">
        <v>5821.8</v>
      </c>
      <c r="U103" t="s">
        <v>1114</v>
      </c>
      <c r="V103" s="37">
        <v>0.05</v>
      </c>
    </row>
    <row r="104" spans="1:22" x14ac:dyDescent="0.2">
      <c r="A104">
        <v>1103</v>
      </c>
      <c r="B104" t="s">
        <v>27</v>
      </c>
      <c r="C104" t="s">
        <v>278</v>
      </c>
      <c r="D104" t="s">
        <v>1212</v>
      </c>
      <c r="E104" t="s">
        <v>34</v>
      </c>
      <c r="F104" t="s">
        <v>910</v>
      </c>
      <c r="G104" t="s">
        <v>16</v>
      </c>
      <c r="H104" t="s">
        <v>11</v>
      </c>
      <c r="I104" t="s">
        <v>9</v>
      </c>
      <c r="J104" t="s">
        <v>10</v>
      </c>
      <c r="K104" t="s">
        <v>593</v>
      </c>
      <c r="L104">
        <v>19</v>
      </c>
      <c r="M104">
        <v>7</v>
      </c>
      <c r="N104">
        <v>1995</v>
      </c>
      <c r="O104" s="36">
        <v>34899</v>
      </c>
      <c r="P104">
        <v>30</v>
      </c>
      <c r="Q104">
        <v>3754</v>
      </c>
      <c r="R104">
        <v>375.40000000000003</v>
      </c>
      <c r="S104">
        <v>112.61999999999999</v>
      </c>
      <c r="T104">
        <v>3491.22</v>
      </c>
      <c r="U104" t="s">
        <v>1114</v>
      </c>
      <c r="V104" s="37">
        <v>0.05</v>
      </c>
    </row>
    <row r="105" spans="1:22" x14ac:dyDescent="0.2">
      <c r="A105">
        <v>1104</v>
      </c>
      <c r="B105" t="s">
        <v>36</v>
      </c>
      <c r="C105" t="s">
        <v>279</v>
      </c>
      <c r="D105" t="s">
        <v>1213</v>
      </c>
      <c r="E105" t="s">
        <v>34</v>
      </c>
      <c r="F105" t="s">
        <v>911</v>
      </c>
      <c r="G105" t="s">
        <v>13</v>
      </c>
      <c r="H105" t="s">
        <v>8</v>
      </c>
      <c r="I105" t="s">
        <v>22</v>
      </c>
      <c r="J105" t="s">
        <v>10</v>
      </c>
      <c r="K105" t="s">
        <v>594</v>
      </c>
      <c r="L105">
        <v>2</v>
      </c>
      <c r="M105">
        <v>1</v>
      </c>
      <c r="N105">
        <v>2009</v>
      </c>
      <c r="O105" s="36">
        <v>39815</v>
      </c>
      <c r="P105">
        <v>17</v>
      </c>
      <c r="Q105">
        <v>6579</v>
      </c>
      <c r="R105">
        <v>657.90000000000009</v>
      </c>
      <c r="S105">
        <v>197.37</v>
      </c>
      <c r="T105">
        <v>6118.4699999999993</v>
      </c>
      <c r="U105" t="s">
        <v>1111</v>
      </c>
      <c r="V105" s="37">
        <v>0.02</v>
      </c>
    </row>
    <row r="106" spans="1:22" x14ac:dyDescent="0.2">
      <c r="A106">
        <v>1105</v>
      </c>
      <c r="B106" t="s">
        <v>36</v>
      </c>
      <c r="C106" t="s">
        <v>280</v>
      </c>
      <c r="D106" t="s">
        <v>1214</v>
      </c>
      <c r="E106" t="s">
        <v>34</v>
      </c>
      <c r="F106" t="s">
        <v>912</v>
      </c>
      <c r="G106" t="s">
        <v>16</v>
      </c>
      <c r="H106" t="s">
        <v>8</v>
      </c>
      <c r="I106" t="s">
        <v>17</v>
      </c>
      <c r="J106" t="s">
        <v>10</v>
      </c>
      <c r="K106" t="s">
        <v>595</v>
      </c>
      <c r="L106">
        <v>20</v>
      </c>
      <c r="M106">
        <v>7</v>
      </c>
      <c r="N106">
        <v>2005</v>
      </c>
      <c r="O106" s="36">
        <v>38553</v>
      </c>
      <c r="P106">
        <v>20</v>
      </c>
      <c r="Q106">
        <v>5373</v>
      </c>
      <c r="R106">
        <v>537.30000000000007</v>
      </c>
      <c r="S106">
        <v>161.19</v>
      </c>
      <c r="T106">
        <v>4996.8899999999994</v>
      </c>
      <c r="U106" t="s">
        <v>1114</v>
      </c>
      <c r="V106" s="37">
        <v>0.05</v>
      </c>
    </row>
    <row r="107" spans="1:22" x14ac:dyDescent="0.2">
      <c r="A107">
        <v>1106</v>
      </c>
      <c r="B107" t="s">
        <v>237</v>
      </c>
      <c r="C107" t="s">
        <v>281</v>
      </c>
      <c r="D107" t="s">
        <v>1215</v>
      </c>
      <c r="E107" t="s">
        <v>33</v>
      </c>
      <c r="F107" t="s">
        <v>913</v>
      </c>
      <c r="G107" t="s">
        <v>13</v>
      </c>
      <c r="H107" t="s">
        <v>8</v>
      </c>
      <c r="I107" t="s">
        <v>15</v>
      </c>
      <c r="J107" t="s">
        <v>10</v>
      </c>
      <c r="K107" t="s">
        <v>596</v>
      </c>
      <c r="L107">
        <v>5</v>
      </c>
      <c r="M107">
        <v>6</v>
      </c>
      <c r="N107">
        <v>1991</v>
      </c>
      <c r="O107" s="36">
        <v>33394</v>
      </c>
      <c r="P107">
        <v>34</v>
      </c>
      <c r="Q107">
        <v>1391</v>
      </c>
      <c r="R107">
        <v>139.1</v>
      </c>
      <c r="S107">
        <v>41.73</v>
      </c>
      <c r="T107">
        <v>1293.6300000000001</v>
      </c>
      <c r="U107" t="s">
        <v>1114</v>
      </c>
      <c r="V107" s="37">
        <v>0.08</v>
      </c>
    </row>
    <row r="108" spans="1:22" x14ac:dyDescent="0.2">
      <c r="A108">
        <v>1107</v>
      </c>
      <c r="B108" t="s">
        <v>27</v>
      </c>
      <c r="C108" t="s">
        <v>282</v>
      </c>
      <c r="D108" t="s">
        <v>1216</v>
      </c>
      <c r="E108" t="s">
        <v>34</v>
      </c>
      <c r="F108" t="s">
        <v>914</v>
      </c>
      <c r="G108" t="s">
        <v>16</v>
      </c>
      <c r="H108" t="s">
        <v>11</v>
      </c>
      <c r="I108" t="s">
        <v>198</v>
      </c>
      <c r="J108" t="s">
        <v>21</v>
      </c>
      <c r="K108" t="s">
        <v>597</v>
      </c>
      <c r="L108">
        <v>4</v>
      </c>
      <c r="M108">
        <v>1</v>
      </c>
      <c r="N108">
        <v>1990</v>
      </c>
      <c r="O108" s="36">
        <v>32877</v>
      </c>
      <c r="P108">
        <v>36</v>
      </c>
      <c r="Q108">
        <v>2528</v>
      </c>
      <c r="R108">
        <v>252.8</v>
      </c>
      <c r="S108">
        <v>75.84</v>
      </c>
      <c r="T108">
        <v>2351.04</v>
      </c>
      <c r="U108" t="s">
        <v>1114</v>
      </c>
      <c r="V108" s="37">
        <v>0.08</v>
      </c>
    </row>
    <row r="109" spans="1:22" x14ac:dyDescent="0.2">
      <c r="A109">
        <v>1108</v>
      </c>
      <c r="B109" t="s">
        <v>283</v>
      </c>
      <c r="C109" t="s">
        <v>284</v>
      </c>
      <c r="D109" t="s">
        <v>1217</v>
      </c>
      <c r="E109" t="s">
        <v>33</v>
      </c>
      <c r="F109" t="s">
        <v>915</v>
      </c>
      <c r="G109" t="s">
        <v>16</v>
      </c>
      <c r="H109" t="s">
        <v>11</v>
      </c>
      <c r="I109" t="s">
        <v>26</v>
      </c>
      <c r="J109" t="s">
        <v>10</v>
      </c>
      <c r="K109" t="s">
        <v>598</v>
      </c>
      <c r="L109">
        <v>12</v>
      </c>
      <c r="M109">
        <v>8</v>
      </c>
      <c r="N109">
        <v>2021</v>
      </c>
      <c r="O109" s="36">
        <v>44420</v>
      </c>
      <c r="P109">
        <v>4</v>
      </c>
      <c r="Q109">
        <v>6040</v>
      </c>
      <c r="R109">
        <v>604</v>
      </c>
      <c r="S109">
        <v>181.2</v>
      </c>
      <c r="T109">
        <v>5617.2</v>
      </c>
      <c r="U109" t="s">
        <v>1114</v>
      </c>
      <c r="V109" s="37">
        <v>0.05</v>
      </c>
    </row>
    <row r="110" spans="1:22" x14ac:dyDescent="0.2">
      <c r="A110">
        <v>1109</v>
      </c>
      <c r="B110" t="s">
        <v>27</v>
      </c>
      <c r="C110" t="s">
        <v>285</v>
      </c>
      <c r="D110" t="s">
        <v>1218</v>
      </c>
      <c r="E110" t="s">
        <v>34</v>
      </c>
      <c r="F110" t="s">
        <v>916</v>
      </c>
      <c r="G110" t="s">
        <v>795</v>
      </c>
      <c r="H110" t="s">
        <v>14</v>
      </c>
      <c r="I110" t="s">
        <v>17</v>
      </c>
      <c r="J110" t="s">
        <v>10</v>
      </c>
      <c r="K110" t="s">
        <v>599</v>
      </c>
      <c r="L110">
        <v>18</v>
      </c>
      <c r="M110">
        <v>11</v>
      </c>
      <c r="N110">
        <v>1994</v>
      </c>
      <c r="O110" s="36">
        <v>34656</v>
      </c>
      <c r="P110">
        <v>31</v>
      </c>
      <c r="Q110">
        <v>3842</v>
      </c>
      <c r="R110">
        <v>384.20000000000005</v>
      </c>
      <c r="S110">
        <v>115.25999999999999</v>
      </c>
      <c r="T110">
        <v>3573.0600000000004</v>
      </c>
      <c r="U110" t="s">
        <v>1114</v>
      </c>
      <c r="V110" s="37">
        <v>0.05</v>
      </c>
    </row>
    <row r="111" spans="1:22" x14ac:dyDescent="0.2">
      <c r="A111">
        <v>1110</v>
      </c>
      <c r="B111" t="s">
        <v>36</v>
      </c>
      <c r="C111" t="s">
        <v>286</v>
      </c>
      <c r="D111" t="s">
        <v>1219</v>
      </c>
      <c r="E111" t="s">
        <v>34</v>
      </c>
      <c r="F111" t="s">
        <v>917</v>
      </c>
      <c r="G111" t="s">
        <v>16</v>
      </c>
      <c r="H111" t="s">
        <v>8</v>
      </c>
      <c r="I111" t="s">
        <v>198</v>
      </c>
      <c r="J111" t="s">
        <v>21</v>
      </c>
      <c r="K111" t="s">
        <v>600</v>
      </c>
      <c r="L111">
        <v>24</v>
      </c>
      <c r="M111">
        <v>3</v>
      </c>
      <c r="N111">
        <v>1995</v>
      </c>
      <c r="O111" s="36">
        <v>34782</v>
      </c>
      <c r="P111">
        <v>30</v>
      </c>
      <c r="Q111">
        <v>1542</v>
      </c>
      <c r="R111">
        <v>154.20000000000002</v>
      </c>
      <c r="S111">
        <v>46.26</v>
      </c>
      <c r="T111">
        <v>1434.06</v>
      </c>
      <c r="U111" t="s">
        <v>1114</v>
      </c>
      <c r="V111" s="37">
        <v>0.08</v>
      </c>
    </row>
    <row r="112" spans="1:22" x14ac:dyDescent="0.2">
      <c r="A112">
        <v>1111</v>
      </c>
      <c r="B112" t="s">
        <v>58</v>
      </c>
      <c r="C112" t="s">
        <v>287</v>
      </c>
      <c r="D112" t="s">
        <v>1220</v>
      </c>
      <c r="E112" t="s">
        <v>34</v>
      </c>
      <c r="F112" t="s">
        <v>918</v>
      </c>
      <c r="G112" t="s">
        <v>16</v>
      </c>
      <c r="H112" t="s">
        <v>8</v>
      </c>
      <c r="I112" t="s">
        <v>9</v>
      </c>
      <c r="J112" t="s">
        <v>21</v>
      </c>
      <c r="K112" t="s">
        <v>601</v>
      </c>
      <c r="L112">
        <v>27</v>
      </c>
      <c r="M112">
        <v>10</v>
      </c>
      <c r="N112">
        <v>1995</v>
      </c>
      <c r="O112" s="36">
        <v>34999</v>
      </c>
      <c r="P112">
        <v>30</v>
      </c>
      <c r="Q112">
        <v>3134</v>
      </c>
      <c r="R112">
        <v>313.40000000000003</v>
      </c>
      <c r="S112">
        <v>94.02</v>
      </c>
      <c r="T112">
        <v>2914.62</v>
      </c>
      <c r="U112" t="s">
        <v>1114</v>
      </c>
      <c r="V112" s="37">
        <v>0.08</v>
      </c>
    </row>
    <row r="113" spans="1:22" x14ac:dyDescent="0.2">
      <c r="A113">
        <v>1112</v>
      </c>
      <c r="B113" t="s">
        <v>288</v>
      </c>
      <c r="C113" t="s">
        <v>289</v>
      </c>
      <c r="D113" t="s">
        <v>1221</v>
      </c>
      <c r="E113" t="s">
        <v>33</v>
      </c>
      <c r="F113" t="s">
        <v>919</v>
      </c>
      <c r="G113" t="s">
        <v>16</v>
      </c>
      <c r="H113" t="s">
        <v>11</v>
      </c>
      <c r="I113" t="s">
        <v>22</v>
      </c>
      <c r="J113" t="s">
        <v>10</v>
      </c>
      <c r="K113" t="s">
        <v>602</v>
      </c>
      <c r="L113">
        <v>9</v>
      </c>
      <c r="M113">
        <v>9</v>
      </c>
      <c r="N113">
        <v>2004</v>
      </c>
      <c r="O113" s="36">
        <v>38239</v>
      </c>
      <c r="P113">
        <v>21</v>
      </c>
      <c r="Q113">
        <v>4921</v>
      </c>
      <c r="R113">
        <v>492.1</v>
      </c>
      <c r="S113">
        <v>147.63</v>
      </c>
      <c r="T113">
        <v>4576.53</v>
      </c>
      <c r="U113" t="s">
        <v>1114</v>
      </c>
      <c r="V113" s="37">
        <v>0.05</v>
      </c>
    </row>
    <row r="114" spans="1:22" x14ac:dyDescent="0.2">
      <c r="A114">
        <v>1113</v>
      </c>
      <c r="B114" t="s">
        <v>290</v>
      </c>
      <c r="C114" t="s">
        <v>291</v>
      </c>
      <c r="D114" t="s">
        <v>1222</v>
      </c>
      <c r="E114" t="s">
        <v>34</v>
      </c>
      <c r="F114" t="s">
        <v>920</v>
      </c>
      <c r="G114" t="s">
        <v>16</v>
      </c>
      <c r="H114" t="s">
        <v>8</v>
      </c>
      <c r="I114" t="s">
        <v>198</v>
      </c>
      <c r="J114" t="s">
        <v>10</v>
      </c>
      <c r="K114" t="s">
        <v>603</v>
      </c>
      <c r="L114">
        <v>24</v>
      </c>
      <c r="M114">
        <v>2</v>
      </c>
      <c r="N114">
        <v>2001</v>
      </c>
      <c r="O114" s="36">
        <v>36946</v>
      </c>
      <c r="P114">
        <v>24</v>
      </c>
      <c r="Q114">
        <v>1948</v>
      </c>
      <c r="R114">
        <v>194.8</v>
      </c>
      <c r="S114">
        <v>58.44</v>
      </c>
      <c r="T114">
        <v>1811.64</v>
      </c>
      <c r="U114" t="s">
        <v>1114</v>
      </c>
      <c r="V114" s="37">
        <v>0.08</v>
      </c>
    </row>
    <row r="115" spans="1:22" x14ac:dyDescent="0.2">
      <c r="A115">
        <v>1114</v>
      </c>
      <c r="B115" t="s">
        <v>292</v>
      </c>
      <c r="C115" t="s">
        <v>293</v>
      </c>
      <c r="D115" t="s">
        <v>1223</v>
      </c>
      <c r="E115" t="s">
        <v>34</v>
      </c>
      <c r="F115" t="s">
        <v>921</v>
      </c>
      <c r="G115" t="s">
        <v>18</v>
      </c>
      <c r="H115" t="s">
        <v>11</v>
      </c>
      <c r="I115" t="s">
        <v>22</v>
      </c>
      <c r="J115" t="s">
        <v>10</v>
      </c>
      <c r="K115" t="s">
        <v>604</v>
      </c>
      <c r="L115">
        <v>20</v>
      </c>
      <c r="M115">
        <v>12</v>
      </c>
      <c r="N115">
        <v>2021</v>
      </c>
      <c r="O115" s="36">
        <v>44550</v>
      </c>
      <c r="P115">
        <v>4</v>
      </c>
      <c r="Q115">
        <v>3294</v>
      </c>
      <c r="R115">
        <v>329.40000000000003</v>
      </c>
      <c r="S115">
        <v>98.82</v>
      </c>
      <c r="T115">
        <v>3063.42</v>
      </c>
      <c r="U115" t="s">
        <v>1114</v>
      </c>
      <c r="V115" s="37">
        <v>0.05</v>
      </c>
    </row>
    <row r="116" spans="1:22" x14ac:dyDescent="0.2">
      <c r="A116">
        <v>1115</v>
      </c>
      <c r="B116" t="s">
        <v>264</v>
      </c>
      <c r="C116" t="s">
        <v>294</v>
      </c>
      <c r="D116" t="s">
        <v>1224</v>
      </c>
      <c r="E116" t="s">
        <v>34</v>
      </c>
      <c r="F116" t="s">
        <v>922</v>
      </c>
      <c r="G116" t="s">
        <v>795</v>
      </c>
      <c r="H116" t="s">
        <v>14</v>
      </c>
      <c r="I116" t="s">
        <v>198</v>
      </c>
      <c r="J116" t="s">
        <v>19</v>
      </c>
      <c r="K116" t="s">
        <v>605</v>
      </c>
      <c r="L116">
        <v>14</v>
      </c>
      <c r="M116">
        <v>8</v>
      </c>
      <c r="N116">
        <v>1994</v>
      </c>
      <c r="O116" s="36">
        <v>34560</v>
      </c>
      <c r="P116">
        <v>31</v>
      </c>
      <c r="Q116">
        <v>7123</v>
      </c>
      <c r="R116">
        <v>712.30000000000007</v>
      </c>
      <c r="S116">
        <v>213.69</v>
      </c>
      <c r="T116">
        <v>6624.3899999999994</v>
      </c>
      <c r="U116" t="s">
        <v>1111</v>
      </c>
      <c r="V116" s="37">
        <v>0.02</v>
      </c>
    </row>
    <row r="117" spans="1:22" x14ac:dyDescent="0.2">
      <c r="A117">
        <v>1116</v>
      </c>
      <c r="B117" t="s">
        <v>36</v>
      </c>
      <c r="C117" t="s">
        <v>295</v>
      </c>
      <c r="D117" t="s">
        <v>1225</v>
      </c>
      <c r="E117" t="s">
        <v>34</v>
      </c>
      <c r="F117" t="s">
        <v>923</v>
      </c>
      <c r="G117" t="s">
        <v>13</v>
      </c>
      <c r="H117" t="s">
        <v>8</v>
      </c>
      <c r="I117" t="s">
        <v>22</v>
      </c>
      <c r="J117" t="s">
        <v>10</v>
      </c>
      <c r="K117" t="s">
        <v>606</v>
      </c>
      <c r="L117">
        <v>10</v>
      </c>
      <c r="M117">
        <v>12</v>
      </c>
      <c r="N117">
        <v>1990</v>
      </c>
      <c r="O117" s="36">
        <v>33217</v>
      </c>
      <c r="P117">
        <v>35</v>
      </c>
      <c r="Q117">
        <v>7236</v>
      </c>
      <c r="R117">
        <v>723.6</v>
      </c>
      <c r="S117">
        <v>217.07999999999998</v>
      </c>
      <c r="T117">
        <v>6729.48</v>
      </c>
      <c r="U117" t="s">
        <v>1111</v>
      </c>
      <c r="V117" s="37">
        <v>0.02</v>
      </c>
    </row>
    <row r="118" spans="1:22" x14ac:dyDescent="0.2">
      <c r="A118">
        <v>1117</v>
      </c>
      <c r="B118" t="s">
        <v>296</v>
      </c>
      <c r="C118" t="s">
        <v>297</v>
      </c>
      <c r="D118" t="s">
        <v>1226</v>
      </c>
      <c r="E118" t="s">
        <v>34</v>
      </c>
      <c r="F118" t="s">
        <v>924</v>
      </c>
      <c r="G118" t="s">
        <v>795</v>
      </c>
      <c r="H118" t="s">
        <v>8</v>
      </c>
      <c r="I118" t="s">
        <v>22</v>
      </c>
      <c r="J118" t="s">
        <v>10</v>
      </c>
      <c r="K118" t="s">
        <v>607</v>
      </c>
      <c r="L118">
        <v>9</v>
      </c>
      <c r="M118">
        <v>11</v>
      </c>
      <c r="N118">
        <v>2010</v>
      </c>
      <c r="O118" s="36">
        <v>40491</v>
      </c>
      <c r="P118">
        <v>15</v>
      </c>
      <c r="Q118">
        <v>6843</v>
      </c>
      <c r="R118">
        <v>684.30000000000007</v>
      </c>
      <c r="S118">
        <v>205.29</v>
      </c>
      <c r="T118">
        <v>6363.99</v>
      </c>
      <c r="U118" t="s">
        <v>1111</v>
      </c>
      <c r="V118" s="37">
        <v>0.02</v>
      </c>
    </row>
    <row r="119" spans="1:22" x14ac:dyDescent="0.2">
      <c r="A119">
        <v>1118</v>
      </c>
      <c r="B119" t="s">
        <v>36</v>
      </c>
      <c r="C119" t="s">
        <v>298</v>
      </c>
      <c r="D119" t="s">
        <v>1227</v>
      </c>
      <c r="E119" t="s">
        <v>34</v>
      </c>
      <c r="F119" t="s">
        <v>925</v>
      </c>
      <c r="G119" t="s">
        <v>795</v>
      </c>
      <c r="H119" t="s">
        <v>8</v>
      </c>
      <c r="I119" t="s">
        <v>22</v>
      </c>
      <c r="J119" t="s">
        <v>10</v>
      </c>
      <c r="K119" t="s">
        <v>608</v>
      </c>
      <c r="L119">
        <v>18</v>
      </c>
      <c r="M119">
        <v>10</v>
      </c>
      <c r="N119">
        <v>2014</v>
      </c>
      <c r="O119" s="36">
        <v>41930</v>
      </c>
      <c r="P119">
        <v>11</v>
      </c>
      <c r="Q119">
        <v>1070</v>
      </c>
      <c r="R119">
        <v>107</v>
      </c>
      <c r="S119">
        <v>32.1</v>
      </c>
      <c r="T119">
        <v>995.09999999999991</v>
      </c>
      <c r="U119" t="s">
        <v>1114</v>
      </c>
      <c r="V119" s="37">
        <v>0.1</v>
      </c>
    </row>
    <row r="120" spans="1:22" x14ac:dyDescent="0.2">
      <c r="A120">
        <v>1119</v>
      </c>
      <c r="B120" t="s">
        <v>299</v>
      </c>
      <c r="C120" t="s">
        <v>300</v>
      </c>
      <c r="D120" t="s">
        <v>1228</v>
      </c>
      <c r="E120" t="s">
        <v>34</v>
      </c>
      <c r="F120" t="s">
        <v>926</v>
      </c>
      <c r="G120" t="s">
        <v>13</v>
      </c>
      <c r="H120" t="s">
        <v>8</v>
      </c>
      <c r="I120" t="s">
        <v>22</v>
      </c>
      <c r="J120" t="s">
        <v>10</v>
      </c>
      <c r="K120" t="s">
        <v>609</v>
      </c>
      <c r="L120">
        <v>22</v>
      </c>
      <c r="M120">
        <v>11</v>
      </c>
      <c r="N120">
        <v>1995</v>
      </c>
      <c r="O120" s="36">
        <v>35025</v>
      </c>
      <c r="P120">
        <v>30</v>
      </c>
      <c r="Q120">
        <v>1493</v>
      </c>
      <c r="R120">
        <v>149.30000000000001</v>
      </c>
      <c r="S120">
        <v>44.79</v>
      </c>
      <c r="T120">
        <v>1388.49</v>
      </c>
      <c r="U120" t="s">
        <v>1114</v>
      </c>
      <c r="V120" s="37">
        <v>0.08</v>
      </c>
    </row>
    <row r="121" spans="1:22" x14ac:dyDescent="0.2">
      <c r="A121">
        <v>1120</v>
      </c>
      <c r="B121" t="s">
        <v>301</v>
      </c>
      <c r="C121" t="s">
        <v>302</v>
      </c>
      <c r="D121" t="s">
        <v>1229</v>
      </c>
      <c r="E121" t="s">
        <v>34</v>
      </c>
      <c r="F121" t="s">
        <v>927</v>
      </c>
      <c r="G121" t="s">
        <v>18</v>
      </c>
      <c r="H121" t="s">
        <v>11</v>
      </c>
      <c r="I121" t="s">
        <v>22</v>
      </c>
      <c r="J121" t="s">
        <v>10</v>
      </c>
      <c r="K121" t="s">
        <v>610</v>
      </c>
      <c r="L121">
        <v>17</v>
      </c>
      <c r="M121">
        <v>12</v>
      </c>
      <c r="N121">
        <v>1995</v>
      </c>
      <c r="O121" s="36">
        <v>35050</v>
      </c>
      <c r="P121">
        <v>30</v>
      </c>
      <c r="Q121">
        <v>5857</v>
      </c>
      <c r="R121">
        <v>585.70000000000005</v>
      </c>
      <c r="S121">
        <v>175.70999999999998</v>
      </c>
      <c r="T121">
        <v>5447.01</v>
      </c>
      <c r="U121" t="s">
        <v>1114</v>
      </c>
      <c r="V121" s="37">
        <v>0.05</v>
      </c>
    </row>
    <row r="122" spans="1:22" x14ac:dyDescent="0.2">
      <c r="A122">
        <v>1121</v>
      </c>
      <c r="B122" t="s">
        <v>303</v>
      </c>
      <c r="C122" t="s">
        <v>304</v>
      </c>
      <c r="D122" t="s">
        <v>1230</v>
      </c>
      <c r="E122" t="s">
        <v>34</v>
      </c>
      <c r="F122" t="s">
        <v>928</v>
      </c>
      <c r="G122" t="s">
        <v>18</v>
      </c>
      <c r="H122" t="s">
        <v>14</v>
      </c>
      <c r="I122" t="s">
        <v>198</v>
      </c>
      <c r="J122" t="s">
        <v>10</v>
      </c>
      <c r="K122" t="s">
        <v>611</v>
      </c>
      <c r="L122">
        <v>26</v>
      </c>
      <c r="M122">
        <v>1</v>
      </c>
      <c r="N122">
        <v>1991</v>
      </c>
      <c r="O122" s="36">
        <v>33264</v>
      </c>
      <c r="P122">
        <v>34</v>
      </c>
      <c r="Q122">
        <v>5278</v>
      </c>
      <c r="R122">
        <v>527.80000000000007</v>
      </c>
      <c r="S122">
        <v>158.34</v>
      </c>
      <c r="T122">
        <v>4908.54</v>
      </c>
      <c r="U122" t="s">
        <v>1114</v>
      </c>
      <c r="V122" s="37">
        <v>0.05</v>
      </c>
    </row>
    <row r="123" spans="1:22" x14ac:dyDescent="0.2">
      <c r="A123">
        <v>1122</v>
      </c>
      <c r="B123" t="s">
        <v>305</v>
      </c>
      <c r="C123" t="s">
        <v>306</v>
      </c>
      <c r="D123" t="s">
        <v>1231</v>
      </c>
      <c r="E123" t="s">
        <v>34</v>
      </c>
      <c r="F123" t="s">
        <v>929</v>
      </c>
      <c r="G123" t="s">
        <v>795</v>
      </c>
      <c r="H123" t="s">
        <v>8</v>
      </c>
      <c r="I123" t="s">
        <v>23</v>
      </c>
      <c r="J123" t="s">
        <v>21</v>
      </c>
      <c r="K123" t="s">
        <v>612</v>
      </c>
      <c r="L123">
        <v>24</v>
      </c>
      <c r="M123">
        <v>9</v>
      </c>
      <c r="N123">
        <v>2020</v>
      </c>
      <c r="O123" s="36">
        <v>44098</v>
      </c>
      <c r="P123">
        <v>5</v>
      </c>
      <c r="Q123">
        <v>5710</v>
      </c>
      <c r="R123">
        <v>571</v>
      </c>
      <c r="S123">
        <v>171.29999999999998</v>
      </c>
      <c r="T123">
        <v>5310.3</v>
      </c>
      <c r="U123" t="s">
        <v>1114</v>
      </c>
      <c r="V123" s="37">
        <v>0.05</v>
      </c>
    </row>
    <row r="124" spans="1:22" x14ac:dyDescent="0.2">
      <c r="A124">
        <v>1123</v>
      </c>
      <c r="B124" t="s">
        <v>247</v>
      </c>
      <c r="C124" t="s">
        <v>307</v>
      </c>
      <c r="D124" t="s">
        <v>1232</v>
      </c>
      <c r="E124" t="s">
        <v>33</v>
      </c>
      <c r="F124" t="s">
        <v>930</v>
      </c>
      <c r="G124" t="s">
        <v>13</v>
      </c>
      <c r="H124" t="s">
        <v>8</v>
      </c>
      <c r="I124" t="s">
        <v>15</v>
      </c>
      <c r="J124" t="s">
        <v>21</v>
      </c>
      <c r="K124" t="s">
        <v>613</v>
      </c>
      <c r="L124">
        <v>26</v>
      </c>
      <c r="M124">
        <v>4</v>
      </c>
      <c r="N124">
        <v>2018</v>
      </c>
      <c r="O124" s="36">
        <v>43216</v>
      </c>
      <c r="P124">
        <v>7</v>
      </c>
      <c r="Q124">
        <v>6145</v>
      </c>
      <c r="R124">
        <v>614.5</v>
      </c>
      <c r="S124">
        <v>184.35</v>
      </c>
      <c r="T124">
        <v>5714.85</v>
      </c>
      <c r="U124" t="s">
        <v>1114</v>
      </c>
      <c r="V124" s="37">
        <v>0.05</v>
      </c>
    </row>
    <row r="125" spans="1:22" x14ac:dyDescent="0.2">
      <c r="A125">
        <v>1124</v>
      </c>
      <c r="B125" t="s">
        <v>308</v>
      </c>
      <c r="C125" t="s">
        <v>309</v>
      </c>
      <c r="D125" t="s">
        <v>1233</v>
      </c>
      <c r="E125" t="s">
        <v>34</v>
      </c>
      <c r="F125" t="s">
        <v>931</v>
      </c>
      <c r="G125" t="s">
        <v>16</v>
      </c>
      <c r="H125" t="s">
        <v>11</v>
      </c>
      <c r="I125" t="s">
        <v>23</v>
      </c>
      <c r="J125" t="s">
        <v>10</v>
      </c>
      <c r="K125" t="s">
        <v>614</v>
      </c>
      <c r="L125">
        <v>10</v>
      </c>
      <c r="M125">
        <v>11</v>
      </c>
      <c r="N125">
        <v>2019</v>
      </c>
      <c r="O125" s="36">
        <v>43779</v>
      </c>
      <c r="P125">
        <v>6</v>
      </c>
      <c r="Q125">
        <v>5278</v>
      </c>
      <c r="R125">
        <v>527.80000000000007</v>
      </c>
      <c r="S125">
        <v>158.34</v>
      </c>
      <c r="T125">
        <v>4908.54</v>
      </c>
      <c r="U125" t="s">
        <v>1114</v>
      </c>
      <c r="V125" s="37">
        <v>0.05</v>
      </c>
    </row>
    <row r="126" spans="1:22" x14ac:dyDescent="0.2">
      <c r="A126">
        <v>1125</v>
      </c>
      <c r="B126" t="s">
        <v>62</v>
      </c>
      <c r="C126" t="s">
        <v>310</v>
      </c>
      <c r="D126" t="s">
        <v>1234</v>
      </c>
      <c r="E126" t="s">
        <v>34</v>
      </c>
      <c r="F126" t="s">
        <v>932</v>
      </c>
      <c r="G126" t="s">
        <v>795</v>
      </c>
      <c r="H126" t="s">
        <v>8</v>
      </c>
      <c r="I126" t="s">
        <v>9</v>
      </c>
      <c r="J126" t="s">
        <v>10</v>
      </c>
      <c r="K126" t="s">
        <v>615</v>
      </c>
      <c r="L126">
        <v>2</v>
      </c>
      <c r="M126">
        <v>5</v>
      </c>
      <c r="N126">
        <v>2002</v>
      </c>
      <c r="O126" s="36">
        <v>37378</v>
      </c>
      <c r="P126">
        <v>23</v>
      </c>
      <c r="Q126">
        <v>6548</v>
      </c>
      <c r="R126">
        <v>654.80000000000007</v>
      </c>
      <c r="S126">
        <v>196.44</v>
      </c>
      <c r="T126">
        <v>6089.6399999999994</v>
      </c>
      <c r="U126" t="s">
        <v>1111</v>
      </c>
      <c r="V126" s="37">
        <v>0.02</v>
      </c>
    </row>
    <row r="127" spans="1:22" x14ac:dyDescent="0.2">
      <c r="A127">
        <v>1126</v>
      </c>
      <c r="B127" t="s">
        <v>311</v>
      </c>
      <c r="C127" t="s">
        <v>312</v>
      </c>
      <c r="D127" t="s">
        <v>1235</v>
      </c>
      <c r="E127" t="s">
        <v>33</v>
      </c>
      <c r="F127" t="s">
        <v>933</v>
      </c>
      <c r="G127" t="s">
        <v>7</v>
      </c>
      <c r="H127" t="s">
        <v>14</v>
      </c>
      <c r="I127" t="s">
        <v>22</v>
      </c>
      <c r="J127" t="s">
        <v>10</v>
      </c>
      <c r="K127" t="s">
        <v>616</v>
      </c>
      <c r="L127">
        <v>28</v>
      </c>
      <c r="M127">
        <v>11</v>
      </c>
      <c r="N127">
        <v>2023</v>
      </c>
      <c r="O127" s="36">
        <v>45258</v>
      </c>
      <c r="P127">
        <v>2</v>
      </c>
      <c r="Q127">
        <v>7175</v>
      </c>
      <c r="R127">
        <v>717.5</v>
      </c>
      <c r="S127">
        <v>215.25</v>
      </c>
      <c r="T127">
        <v>6672.75</v>
      </c>
      <c r="U127" t="s">
        <v>1111</v>
      </c>
      <c r="V127" s="37">
        <v>0.02</v>
      </c>
    </row>
    <row r="128" spans="1:22" x14ac:dyDescent="0.2">
      <c r="A128">
        <v>1127</v>
      </c>
      <c r="B128" t="s">
        <v>313</v>
      </c>
      <c r="C128" t="s">
        <v>314</v>
      </c>
      <c r="D128" t="s">
        <v>1236</v>
      </c>
      <c r="E128" t="s">
        <v>34</v>
      </c>
      <c r="F128" t="s">
        <v>934</v>
      </c>
      <c r="G128" t="s">
        <v>13</v>
      </c>
      <c r="H128" t="s">
        <v>11</v>
      </c>
      <c r="I128" t="s">
        <v>9</v>
      </c>
      <c r="J128" t="s">
        <v>21</v>
      </c>
      <c r="K128" t="s">
        <v>617</v>
      </c>
      <c r="L128">
        <v>8</v>
      </c>
      <c r="M128">
        <v>6</v>
      </c>
      <c r="N128">
        <v>1997</v>
      </c>
      <c r="O128" s="36">
        <v>35589</v>
      </c>
      <c r="P128">
        <v>28</v>
      </c>
      <c r="Q128">
        <v>4070</v>
      </c>
      <c r="R128">
        <v>407</v>
      </c>
      <c r="S128">
        <v>122.1</v>
      </c>
      <c r="T128">
        <v>3785.1000000000004</v>
      </c>
      <c r="U128" t="s">
        <v>1114</v>
      </c>
      <c r="V128" s="37">
        <v>0.05</v>
      </c>
    </row>
    <row r="129" spans="1:22" x14ac:dyDescent="0.2">
      <c r="A129">
        <v>1128</v>
      </c>
      <c r="B129" t="s">
        <v>32</v>
      </c>
      <c r="C129" t="s">
        <v>315</v>
      </c>
      <c r="D129" t="s">
        <v>1237</v>
      </c>
      <c r="E129" t="s">
        <v>33</v>
      </c>
      <c r="F129" t="s">
        <v>935</v>
      </c>
      <c r="G129" t="s">
        <v>795</v>
      </c>
      <c r="H129" t="s">
        <v>8</v>
      </c>
      <c r="I129" t="s">
        <v>15</v>
      </c>
      <c r="J129" t="s">
        <v>10</v>
      </c>
      <c r="K129" t="s">
        <v>618</v>
      </c>
      <c r="L129">
        <v>1</v>
      </c>
      <c r="M129">
        <v>4</v>
      </c>
      <c r="N129">
        <v>2001</v>
      </c>
      <c r="O129" s="36">
        <v>36982</v>
      </c>
      <c r="P129">
        <v>24</v>
      </c>
      <c r="Q129">
        <v>1906</v>
      </c>
      <c r="R129">
        <v>190.60000000000002</v>
      </c>
      <c r="S129">
        <v>57.18</v>
      </c>
      <c r="T129">
        <v>1772.58</v>
      </c>
      <c r="U129" t="s">
        <v>1114</v>
      </c>
      <c r="V129" s="37">
        <v>0.08</v>
      </c>
    </row>
    <row r="130" spans="1:22" x14ac:dyDescent="0.2">
      <c r="A130">
        <v>1129</v>
      </c>
      <c r="B130" t="s">
        <v>316</v>
      </c>
      <c r="C130" t="s">
        <v>317</v>
      </c>
      <c r="D130" t="s">
        <v>1238</v>
      </c>
      <c r="E130" t="s">
        <v>34</v>
      </c>
      <c r="F130" t="s">
        <v>936</v>
      </c>
      <c r="G130" t="s">
        <v>16</v>
      </c>
      <c r="H130" t="s">
        <v>11</v>
      </c>
      <c r="I130" t="s">
        <v>15</v>
      </c>
      <c r="J130" t="s">
        <v>10</v>
      </c>
      <c r="K130" t="s">
        <v>619</v>
      </c>
      <c r="L130">
        <v>25</v>
      </c>
      <c r="M130">
        <v>6</v>
      </c>
      <c r="N130">
        <v>2018</v>
      </c>
      <c r="O130" s="36">
        <v>43276</v>
      </c>
      <c r="P130">
        <v>7</v>
      </c>
      <c r="Q130">
        <v>2600</v>
      </c>
      <c r="R130">
        <v>260</v>
      </c>
      <c r="S130">
        <v>78</v>
      </c>
      <c r="T130">
        <v>2418</v>
      </c>
      <c r="U130" t="s">
        <v>1114</v>
      </c>
      <c r="V130" s="37">
        <v>0.08</v>
      </c>
    </row>
    <row r="131" spans="1:22" x14ac:dyDescent="0.2">
      <c r="A131">
        <v>1130</v>
      </c>
      <c r="B131" t="s">
        <v>36</v>
      </c>
      <c r="C131" t="s">
        <v>318</v>
      </c>
      <c r="D131" t="s">
        <v>1239</v>
      </c>
      <c r="E131" t="s">
        <v>34</v>
      </c>
      <c r="F131" t="s">
        <v>937</v>
      </c>
      <c r="G131" t="s">
        <v>13</v>
      </c>
      <c r="H131" t="s">
        <v>11</v>
      </c>
      <c r="I131" t="s">
        <v>17</v>
      </c>
      <c r="J131" t="s">
        <v>19</v>
      </c>
      <c r="K131" t="s">
        <v>620</v>
      </c>
      <c r="L131">
        <v>22</v>
      </c>
      <c r="M131">
        <v>5</v>
      </c>
      <c r="N131">
        <v>1993</v>
      </c>
      <c r="O131" s="36">
        <v>34111</v>
      </c>
      <c r="P131">
        <v>32</v>
      </c>
      <c r="Q131">
        <v>3753</v>
      </c>
      <c r="R131">
        <v>375.3</v>
      </c>
      <c r="S131">
        <v>112.58999999999999</v>
      </c>
      <c r="T131">
        <v>3490.29</v>
      </c>
      <c r="U131" t="s">
        <v>1114</v>
      </c>
      <c r="V131" s="37">
        <v>0.05</v>
      </c>
    </row>
    <row r="132" spans="1:22" x14ac:dyDescent="0.2">
      <c r="A132">
        <v>1131</v>
      </c>
      <c r="B132" t="s">
        <v>319</v>
      </c>
      <c r="C132" t="s">
        <v>320</v>
      </c>
      <c r="D132" t="s">
        <v>1240</v>
      </c>
      <c r="E132" t="s">
        <v>33</v>
      </c>
      <c r="F132" t="s">
        <v>938</v>
      </c>
      <c r="G132" t="s">
        <v>18</v>
      </c>
      <c r="H132" t="s">
        <v>8</v>
      </c>
      <c r="I132" t="s">
        <v>198</v>
      </c>
      <c r="J132" t="s">
        <v>10</v>
      </c>
      <c r="K132" t="s">
        <v>621</v>
      </c>
      <c r="L132">
        <v>15</v>
      </c>
      <c r="M132">
        <v>8</v>
      </c>
      <c r="N132">
        <v>2022</v>
      </c>
      <c r="O132" s="36">
        <v>44788</v>
      </c>
      <c r="P132">
        <v>3</v>
      </c>
      <c r="Q132">
        <v>5086</v>
      </c>
      <c r="R132">
        <v>508.6</v>
      </c>
      <c r="S132">
        <v>152.57999999999998</v>
      </c>
      <c r="T132">
        <v>4729.9799999999996</v>
      </c>
      <c r="U132" t="s">
        <v>1114</v>
      </c>
      <c r="V132" s="37">
        <v>0.05</v>
      </c>
    </row>
    <row r="133" spans="1:22" x14ac:dyDescent="0.2">
      <c r="A133">
        <v>1132</v>
      </c>
      <c r="B133" t="s">
        <v>46</v>
      </c>
      <c r="C133" t="s">
        <v>321</v>
      </c>
      <c r="D133" t="s">
        <v>1241</v>
      </c>
      <c r="E133" t="s">
        <v>34</v>
      </c>
      <c r="F133" t="s">
        <v>939</v>
      </c>
      <c r="G133" t="s">
        <v>13</v>
      </c>
      <c r="H133" t="s">
        <v>20</v>
      </c>
      <c r="I133" t="s">
        <v>9</v>
      </c>
      <c r="J133" t="s">
        <v>19</v>
      </c>
      <c r="K133" t="s">
        <v>622</v>
      </c>
      <c r="L133">
        <v>25</v>
      </c>
      <c r="M133">
        <v>10</v>
      </c>
      <c r="N133">
        <v>2021</v>
      </c>
      <c r="O133" s="36">
        <v>44494</v>
      </c>
      <c r="P133">
        <v>4</v>
      </c>
      <c r="Q133">
        <v>2431</v>
      </c>
      <c r="R133">
        <v>243.10000000000002</v>
      </c>
      <c r="S133">
        <v>72.929999999999993</v>
      </c>
      <c r="T133">
        <v>2260.83</v>
      </c>
      <c r="U133" t="s">
        <v>1114</v>
      </c>
      <c r="V133" s="37">
        <v>0.08</v>
      </c>
    </row>
    <row r="134" spans="1:22" x14ac:dyDescent="0.2">
      <c r="A134">
        <v>1133</v>
      </c>
      <c r="B134" t="s">
        <v>322</v>
      </c>
      <c r="C134" t="s">
        <v>323</v>
      </c>
      <c r="D134" t="s">
        <v>1242</v>
      </c>
      <c r="E134" t="s">
        <v>34</v>
      </c>
      <c r="F134" t="s">
        <v>940</v>
      </c>
      <c r="G134" t="s">
        <v>16</v>
      </c>
      <c r="H134" t="s">
        <v>8</v>
      </c>
      <c r="I134" t="s">
        <v>9</v>
      </c>
      <c r="J134" t="s">
        <v>10</v>
      </c>
      <c r="K134" t="s">
        <v>623</v>
      </c>
      <c r="L134">
        <v>8</v>
      </c>
      <c r="M134">
        <v>3</v>
      </c>
      <c r="N134">
        <v>2014</v>
      </c>
      <c r="O134" s="36">
        <v>41706</v>
      </c>
      <c r="P134">
        <v>11</v>
      </c>
      <c r="Q134">
        <v>2955</v>
      </c>
      <c r="R134">
        <v>295.5</v>
      </c>
      <c r="S134">
        <v>88.649999999999991</v>
      </c>
      <c r="T134">
        <v>2748.15</v>
      </c>
      <c r="U134" t="s">
        <v>1114</v>
      </c>
      <c r="V134" s="37">
        <v>0.08</v>
      </c>
    </row>
    <row r="135" spans="1:22" x14ac:dyDescent="0.2">
      <c r="A135">
        <v>1134</v>
      </c>
      <c r="B135" t="s">
        <v>324</v>
      </c>
      <c r="C135" t="s">
        <v>325</v>
      </c>
      <c r="D135" t="s">
        <v>1243</v>
      </c>
      <c r="E135" t="s">
        <v>34</v>
      </c>
      <c r="F135" t="s">
        <v>941</v>
      </c>
      <c r="G135" t="s">
        <v>16</v>
      </c>
      <c r="H135" t="s">
        <v>14</v>
      </c>
      <c r="I135" t="s">
        <v>198</v>
      </c>
      <c r="J135" t="s">
        <v>21</v>
      </c>
      <c r="K135" t="s">
        <v>624</v>
      </c>
      <c r="L135">
        <v>3</v>
      </c>
      <c r="M135">
        <v>7</v>
      </c>
      <c r="N135">
        <v>1996</v>
      </c>
      <c r="O135" s="36">
        <v>35249</v>
      </c>
      <c r="P135">
        <v>29</v>
      </c>
      <c r="Q135">
        <v>1948</v>
      </c>
      <c r="R135">
        <v>194.8</v>
      </c>
      <c r="S135">
        <v>58.44</v>
      </c>
      <c r="T135">
        <v>1811.64</v>
      </c>
      <c r="U135" t="s">
        <v>1114</v>
      </c>
      <c r="V135" s="37">
        <v>0.08</v>
      </c>
    </row>
    <row r="136" spans="1:22" x14ac:dyDescent="0.2">
      <c r="A136">
        <v>1135</v>
      </c>
      <c r="B136" t="s">
        <v>326</v>
      </c>
      <c r="C136" t="s">
        <v>327</v>
      </c>
      <c r="D136" t="s">
        <v>1244</v>
      </c>
      <c r="E136" t="s">
        <v>34</v>
      </c>
      <c r="F136" t="s">
        <v>942</v>
      </c>
      <c r="G136" t="s">
        <v>18</v>
      </c>
      <c r="H136" t="s">
        <v>8</v>
      </c>
      <c r="I136" t="s">
        <v>22</v>
      </c>
      <c r="J136" t="s">
        <v>10</v>
      </c>
      <c r="K136" t="s">
        <v>625</v>
      </c>
      <c r="L136">
        <v>24</v>
      </c>
      <c r="M136">
        <v>9</v>
      </c>
      <c r="N136">
        <v>1992</v>
      </c>
      <c r="O136" s="36">
        <v>33871</v>
      </c>
      <c r="P136">
        <v>33</v>
      </c>
      <c r="Q136">
        <v>3294</v>
      </c>
      <c r="R136">
        <v>329.40000000000003</v>
      </c>
      <c r="S136">
        <v>98.82</v>
      </c>
      <c r="T136">
        <v>3063.42</v>
      </c>
      <c r="U136" t="s">
        <v>1114</v>
      </c>
      <c r="V136" s="37">
        <v>0.05</v>
      </c>
    </row>
    <row r="137" spans="1:22" x14ac:dyDescent="0.2">
      <c r="A137">
        <v>1136</v>
      </c>
      <c r="B137" t="s">
        <v>326</v>
      </c>
      <c r="C137" t="s">
        <v>328</v>
      </c>
      <c r="D137" t="s">
        <v>1245</v>
      </c>
      <c r="E137" t="s">
        <v>34</v>
      </c>
      <c r="F137" t="s">
        <v>943</v>
      </c>
      <c r="G137" t="s">
        <v>795</v>
      </c>
      <c r="H137" t="s">
        <v>14</v>
      </c>
      <c r="I137" t="s">
        <v>198</v>
      </c>
      <c r="J137" t="s">
        <v>12</v>
      </c>
      <c r="K137" t="s">
        <v>626</v>
      </c>
      <c r="L137">
        <v>17</v>
      </c>
      <c r="M137">
        <v>6</v>
      </c>
      <c r="N137">
        <v>2014</v>
      </c>
      <c r="O137" s="36">
        <v>41807</v>
      </c>
      <c r="P137">
        <v>11</v>
      </c>
      <c r="Q137">
        <v>7123</v>
      </c>
      <c r="R137">
        <v>712.30000000000007</v>
      </c>
      <c r="S137">
        <v>213.69</v>
      </c>
      <c r="T137">
        <v>6624.3899999999994</v>
      </c>
      <c r="U137" t="s">
        <v>1111</v>
      </c>
      <c r="V137" s="37">
        <v>0.02</v>
      </c>
    </row>
    <row r="138" spans="1:22" x14ac:dyDescent="0.2">
      <c r="A138">
        <v>1137</v>
      </c>
      <c r="B138" t="s">
        <v>329</v>
      </c>
      <c r="C138" t="s">
        <v>330</v>
      </c>
      <c r="D138" t="s">
        <v>1246</v>
      </c>
      <c r="E138" t="s">
        <v>33</v>
      </c>
      <c r="F138" t="s">
        <v>944</v>
      </c>
      <c r="G138" t="s">
        <v>13</v>
      </c>
      <c r="H138" t="s">
        <v>8</v>
      </c>
      <c r="I138" t="s">
        <v>22</v>
      </c>
      <c r="J138" t="s">
        <v>19</v>
      </c>
      <c r="K138" t="s">
        <v>627</v>
      </c>
      <c r="L138">
        <v>12</v>
      </c>
      <c r="M138">
        <v>5</v>
      </c>
      <c r="N138">
        <v>1992</v>
      </c>
      <c r="O138" s="36">
        <v>33736</v>
      </c>
      <c r="P138">
        <v>33</v>
      </c>
      <c r="Q138">
        <v>7236</v>
      </c>
      <c r="R138">
        <v>723.6</v>
      </c>
      <c r="S138">
        <v>217.07999999999998</v>
      </c>
      <c r="T138">
        <v>6729.48</v>
      </c>
      <c r="U138" t="s">
        <v>1111</v>
      </c>
      <c r="V138" s="37">
        <v>0.02</v>
      </c>
    </row>
    <row r="139" spans="1:22" x14ac:dyDescent="0.2">
      <c r="A139">
        <v>1138</v>
      </c>
      <c r="B139" t="s">
        <v>331</v>
      </c>
      <c r="C139" t="s">
        <v>332</v>
      </c>
      <c r="D139" t="s">
        <v>1247</v>
      </c>
      <c r="E139" t="s">
        <v>34</v>
      </c>
      <c r="F139" t="s">
        <v>945</v>
      </c>
      <c r="G139" t="s">
        <v>795</v>
      </c>
      <c r="H139" t="s">
        <v>20</v>
      </c>
      <c r="I139" t="s">
        <v>22</v>
      </c>
      <c r="J139" t="s">
        <v>12</v>
      </c>
      <c r="K139" t="s">
        <v>628</v>
      </c>
      <c r="L139">
        <v>18</v>
      </c>
      <c r="M139">
        <v>7</v>
      </c>
      <c r="N139">
        <v>2009</v>
      </c>
      <c r="O139" s="36">
        <v>40012</v>
      </c>
      <c r="P139">
        <v>16</v>
      </c>
      <c r="Q139">
        <v>6843</v>
      </c>
      <c r="R139">
        <v>684.30000000000007</v>
      </c>
      <c r="S139">
        <v>205.29</v>
      </c>
      <c r="T139">
        <v>6363.99</v>
      </c>
      <c r="U139" t="s">
        <v>1111</v>
      </c>
      <c r="V139" s="37">
        <v>0.02</v>
      </c>
    </row>
    <row r="140" spans="1:22" x14ac:dyDescent="0.2">
      <c r="A140">
        <v>1139</v>
      </c>
      <c r="B140" t="s">
        <v>288</v>
      </c>
      <c r="C140" t="s">
        <v>333</v>
      </c>
      <c r="D140" t="s">
        <v>1248</v>
      </c>
      <c r="E140" t="s">
        <v>33</v>
      </c>
      <c r="F140" t="s">
        <v>946</v>
      </c>
      <c r="G140" t="s">
        <v>795</v>
      </c>
      <c r="H140" t="s">
        <v>11</v>
      </c>
      <c r="I140" t="s">
        <v>22</v>
      </c>
      <c r="J140" t="s">
        <v>12</v>
      </c>
      <c r="K140" t="s">
        <v>629</v>
      </c>
      <c r="L140">
        <v>9</v>
      </c>
      <c r="M140">
        <v>4</v>
      </c>
      <c r="N140">
        <v>2001</v>
      </c>
      <c r="O140" s="36">
        <v>36990</v>
      </c>
      <c r="P140">
        <v>24</v>
      </c>
      <c r="Q140">
        <v>1070</v>
      </c>
      <c r="R140">
        <v>107</v>
      </c>
      <c r="S140">
        <v>32.1</v>
      </c>
      <c r="T140">
        <v>995.09999999999991</v>
      </c>
      <c r="U140" t="s">
        <v>1114</v>
      </c>
      <c r="V140" s="37">
        <v>0.1</v>
      </c>
    </row>
    <row r="141" spans="1:22" x14ac:dyDescent="0.2">
      <c r="A141">
        <v>1140</v>
      </c>
      <c r="B141" t="s">
        <v>334</v>
      </c>
      <c r="C141" t="s">
        <v>335</v>
      </c>
      <c r="D141" t="s">
        <v>1249</v>
      </c>
      <c r="E141" t="s">
        <v>33</v>
      </c>
      <c r="F141" t="s">
        <v>947</v>
      </c>
      <c r="G141" t="s">
        <v>13</v>
      </c>
      <c r="H141" t="s">
        <v>20</v>
      </c>
      <c r="I141" t="s">
        <v>22</v>
      </c>
      <c r="J141" t="s">
        <v>21</v>
      </c>
      <c r="K141" t="s">
        <v>630</v>
      </c>
      <c r="L141">
        <v>23</v>
      </c>
      <c r="M141">
        <v>3</v>
      </c>
      <c r="N141">
        <v>2011</v>
      </c>
      <c r="O141" s="36">
        <v>40625</v>
      </c>
      <c r="P141">
        <v>14</v>
      </c>
      <c r="Q141">
        <v>1493</v>
      </c>
      <c r="R141">
        <v>149.30000000000001</v>
      </c>
      <c r="S141">
        <v>44.79</v>
      </c>
      <c r="T141">
        <v>1388.49</v>
      </c>
      <c r="U141" t="s">
        <v>1114</v>
      </c>
      <c r="V141" s="37">
        <v>0.08</v>
      </c>
    </row>
    <row r="142" spans="1:22" x14ac:dyDescent="0.2">
      <c r="A142">
        <v>1141</v>
      </c>
      <c r="B142" t="s">
        <v>336</v>
      </c>
      <c r="C142" t="s">
        <v>337</v>
      </c>
      <c r="D142" t="s">
        <v>1250</v>
      </c>
      <c r="E142" t="s">
        <v>34</v>
      </c>
      <c r="F142" t="s">
        <v>948</v>
      </c>
      <c r="G142" t="s">
        <v>18</v>
      </c>
      <c r="H142" t="s">
        <v>11</v>
      </c>
      <c r="I142" t="s">
        <v>22</v>
      </c>
      <c r="J142" t="s">
        <v>12</v>
      </c>
      <c r="K142" t="s">
        <v>631</v>
      </c>
      <c r="L142">
        <v>3</v>
      </c>
      <c r="M142">
        <v>7</v>
      </c>
      <c r="N142">
        <v>2020</v>
      </c>
      <c r="O142" s="36">
        <v>44015</v>
      </c>
      <c r="P142">
        <v>5</v>
      </c>
      <c r="Q142">
        <v>5857</v>
      </c>
      <c r="R142">
        <v>585.70000000000005</v>
      </c>
      <c r="S142">
        <v>175.70999999999998</v>
      </c>
      <c r="T142">
        <v>5447.01</v>
      </c>
      <c r="U142" t="s">
        <v>1114</v>
      </c>
      <c r="V142" s="37">
        <v>0.05</v>
      </c>
    </row>
    <row r="143" spans="1:22" x14ac:dyDescent="0.2">
      <c r="A143">
        <v>1142</v>
      </c>
      <c r="B143" t="s">
        <v>326</v>
      </c>
      <c r="C143" t="s">
        <v>338</v>
      </c>
      <c r="D143" t="s">
        <v>1251</v>
      </c>
      <c r="E143" t="s">
        <v>34</v>
      </c>
      <c r="F143" t="s">
        <v>949</v>
      </c>
      <c r="G143" t="s">
        <v>18</v>
      </c>
      <c r="H143" t="s">
        <v>8</v>
      </c>
      <c r="I143" t="s">
        <v>198</v>
      </c>
      <c r="J143" t="s">
        <v>12</v>
      </c>
      <c r="K143" t="s">
        <v>632</v>
      </c>
      <c r="L143">
        <v>4</v>
      </c>
      <c r="M143">
        <v>3</v>
      </c>
      <c r="N143">
        <v>1991</v>
      </c>
      <c r="O143" s="36">
        <v>33301</v>
      </c>
      <c r="P143">
        <v>34</v>
      </c>
      <c r="Q143">
        <v>5278</v>
      </c>
      <c r="R143">
        <v>527.80000000000007</v>
      </c>
      <c r="S143">
        <v>158.34</v>
      </c>
      <c r="T143">
        <v>4908.54</v>
      </c>
      <c r="U143" t="s">
        <v>1114</v>
      </c>
      <c r="V143" s="37">
        <v>0.05</v>
      </c>
    </row>
    <row r="144" spans="1:22" x14ac:dyDescent="0.2">
      <c r="A144">
        <v>1143</v>
      </c>
      <c r="B144" t="s">
        <v>339</v>
      </c>
      <c r="C144" t="s">
        <v>340</v>
      </c>
      <c r="D144" t="s">
        <v>1252</v>
      </c>
      <c r="E144" t="s">
        <v>33</v>
      </c>
      <c r="F144" t="s">
        <v>950</v>
      </c>
      <c r="G144" t="s">
        <v>795</v>
      </c>
      <c r="H144" t="s">
        <v>8</v>
      </c>
      <c r="I144" t="s">
        <v>23</v>
      </c>
      <c r="J144" t="s">
        <v>10</v>
      </c>
      <c r="K144" t="s">
        <v>633</v>
      </c>
      <c r="L144">
        <v>18</v>
      </c>
      <c r="M144">
        <v>9</v>
      </c>
      <c r="N144">
        <v>2015</v>
      </c>
      <c r="O144" s="36">
        <v>42265</v>
      </c>
      <c r="P144">
        <v>10</v>
      </c>
      <c r="Q144">
        <v>5710</v>
      </c>
      <c r="R144">
        <v>571</v>
      </c>
      <c r="S144">
        <v>171.29999999999998</v>
      </c>
      <c r="T144">
        <v>5310.3</v>
      </c>
      <c r="U144" t="s">
        <v>1114</v>
      </c>
      <c r="V144" s="37">
        <v>0.05</v>
      </c>
    </row>
    <row r="145" spans="1:22" x14ac:dyDescent="0.2">
      <c r="A145">
        <v>1144</v>
      </c>
      <c r="B145" t="s">
        <v>36</v>
      </c>
      <c r="C145" t="s">
        <v>341</v>
      </c>
      <c r="D145" t="s">
        <v>1253</v>
      </c>
      <c r="E145" t="s">
        <v>34</v>
      </c>
      <c r="F145" t="s">
        <v>951</v>
      </c>
      <c r="G145" t="s">
        <v>13</v>
      </c>
      <c r="H145" t="s">
        <v>8</v>
      </c>
      <c r="I145" t="s">
        <v>15</v>
      </c>
      <c r="J145" t="s">
        <v>21</v>
      </c>
      <c r="K145" t="s">
        <v>634</v>
      </c>
      <c r="L145">
        <v>8</v>
      </c>
      <c r="M145">
        <v>12</v>
      </c>
      <c r="N145">
        <v>1998</v>
      </c>
      <c r="O145" s="36">
        <v>36137</v>
      </c>
      <c r="P145">
        <v>27</v>
      </c>
      <c r="Q145">
        <v>6145</v>
      </c>
      <c r="R145">
        <v>614.5</v>
      </c>
      <c r="S145">
        <v>184.35</v>
      </c>
      <c r="T145">
        <v>5714.85</v>
      </c>
      <c r="U145" t="s">
        <v>1114</v>
      </c>
      <c r="V145" s="37">
        <v>0.05</v>
      </c>
    </row>
    <row r="146" spans="1:22" x14ac:dyDescent="0.2">
      <c r="A146">
        <v>1145</v>
      </c>
      <c r="B146" t="s">
        <v>342</v>
      </c>
      <c r="C146" t="s">
        <v>343</v>
      </c>
      <c r="D146" t="s">
        <v>1254</v>
      </c>
      <c r="E146" t="s">
        <v>33</v>
      </c>
      <c r="F146" t="s">
        <v>952</v>
      </c>
      <c r="G146" t="s">
        <v>16</v>
      </c>
      <c r="H146" t="s">
        <v>11</v>
      </c>
      <c r="I146" t="s">
        <v>23</v>
      </c>
      <c r="J146" t="s">
        <v>10</v>
      </c>
      <c r="K146" t="s">
        <v>635</v>
      </c>
      <c r="L146">
        <v>23</v>
      </c>
      <c r="M146">
        <v>11</v>
      </c>
      <c r="N146">
        <v>2018</v>
      </c>
      <c r="O146" s="36">
        <v>43427</v>
      </c>
      <c r="P146">
        <v>7</v>
      </c>
      <c r="Q146">
        <v>5278</v>
      </c>
      <c r="R146">
        <v>527.80000000000007</v>
      </c>
      <c r="S146">
        <v>158.34</v>
      </c>
      <c r="T146">
        <v>4908.54</v>
      </c>
      <c r="U146" t="s">
        <v>1114</v>
      </c>
      <c r="V146" s="37">
        <v>0.05</v>
      </c>
    </row>
    <row r="147" spans="1:22" x14ac:dyDescent="0.2">
      <c r="A147">
        <v>1146</v>
      </c>
      <c r="B147" t="s">
        <v>344</v>
      </c>
      <c r="C147" t="s">
        <v>345</v>
      </c>
      <c r="D147" t="s">
        <v>1255</v>
      </c>
      <c r="E147" t="s">
        <v>34</v>
      </c>
      <c r="F147" t="s">
        <v>953</v>
      </c>
      <c r="G147" t="s">
        <v>16</v>
      </c>
      <c r="H147" t="s">
        <v>20</v>
      </c>
      <c r="I147" t="s">
        <v>9</v>
      </c>
      <c r="J147" t="s">
        <v>12</v>
      </c>
      <c r="K147" t="s">
        <v>636</v>
      </c>
      <c r="L147">
        <v>21</v>
      </c>
      <c r="M147">
        <v>9</v>
      </c>
      <c r="N147">
        <v>2018</v>
      </c>
      <c r="O147" s="36">
        <v>43364</v>
      </c>
      <c r="P147">
        <v>7</v>
      </c>
      <c r="Q147">
        <v>6409</v>
      </c>
      <c r="R147">
        <v>640.90000000000009</v>
      </c>
      <c r="S147">
        <v>192.26999999999998</v>
      </c>
      <c r="T147">
        <v>5960.3700000000008</v>
      </c>
      <c r="U147" t="s">
        <v>1114</v>
      </c>
      <c r="V147" s="37">
        <v>0.05</v>
      </c>
    </row>
    <row r="148" spans="1:22" x14ac:dyDescent="0.2">
      <c r="A148">
        <v>1147</v>
      </c>
      <c r="B148" t="s">
        <v>74</v>
      </c>
      <c r="C148" t="s">
        <v>346</v>
      </c>
      <c r="D148" t="s">
        <v>1256</v>
      </c>
      <c r="E148" t="s">
        <v>34</v>
      </c>
      <c r="F148" t="s">
        <v>954</v>
      </c>
      <c r="G148" t="s">
        <v>13</v>
      </c>
      <c r="H148" t="s">
        <v>8</v>
      </c>
      <c r="I148" t="s">
        <v>9</v>
      </c>
      <c r="J148" t="s">
        <v>12</v>
      </c>
      <c r="K148" t="s">
        <v>637</v>
      </c>
      <c r="L148">
        <v>4</v>
      </c>
      <c r="M148">
        <v>12</v>
      </c>
      <c r="N148">
        <v>1994</v>
      </c>
      <c r="O148" s="36">
        <v>34672</v>
      </c>
      <c r="P148">
        <v>31</v>
      </c>
      <c r="Q148">
        <v>7478</v>
      </c>
      <c r="R148">
        <v>747.80000000000007</v>
      </c>
      <c r="S148">
        <v>224.34</v>
      </c>
      <c r="T148">
        <v>6954.54</v>
      </c>
      <c r="U148" t="s">
        <v>1111</v>
      </c>
      <c r="V148" s="37">
        <v>0.02</v>
      </c>
    </row>
    <row r="149" spans="1:22" x14ac:dyDescent="0.2">
      <c r="A149">
        <v>1148</v>
      </c>
      <c r="B149" t="s">
        <v>347</v>
      </c>
      <c r="C149" t="s">
        <v>348</v>
      </c>
      <c r="D149" t="s">
        <v>1257</v>
      </c>
      <c r="E149" t="s">
        <v>34</v>
      </c>
      <c r="F149" t="s">
        <v>955</v>
      </c>
      <c r="G149" t="s">
        <v>795</v>
      </c>
      <c r="H149" t="s">
        <v>8</v>
      </c>
      <c r="I149" t="s">
        <v>9</v>
      </c>
      <c r="J149" t="s">
        <v>21</v>
      </c>
      <c r="K149" t="s">
        <v>638</v>
      </c>
      <c r="L149">
        <v>2</v>
      </c>
      <c r="M149">
        <v>6</v>
      </c>
      <c r="N149">
        <v>2019</v>
      </c>
      <c r="O149" s="36">
        <v>43618</v>
      </c>
      <c r="P149">
        <v>6</v>
      </c>
      <c r="Q149">
        <v>4621</v>
      </c>
      <c r="R149">
        <v>462.1</v>
      </c>
      <c r="S149">
        <v>138.63</v>
      </c>
      <c r="T149">
        <v>4297.53</v>
      </c>
      <c r="U149" t="s">
        <v>1114</v>
      </c>
      <c r="V149" s="37">
        <v>0.05</v>
      </c>
    </row>
    <row r="150" spans="1:22" x14ac:dyDescent="0.2">
      <c r="A150">
        <v>1149</v>
      </c>
      <c r="B150" t="s">
        <v>349</v>
      </c>
      <c r="C150" t="s">
        <v>350</v>
      </c>
      <c r="D150" t="s">
        <v>1258</v>
      </c>
      <c r="E150" t="s">
        <v>33</v>
      </c>
      <c r="F150" t="s">
        <v>956</v>
      </c>
      <c r="G150" t="s">
        <v>16</v>
      </c>
      <c r="H150" t="s">
        <v>11</v>
      </c>
      <c r="I150" t="s">
        <v>24</v>
      </c>
      <c r="J150" t="s">
        <v>12</v>
      </c>
      <c r="K150" t="s">
        <v>639</v>
      </c>
      <c r="L150">
        <v>6</v>
      </c>
      <c r="M150">
        <v>8</v>
      </c>
      <c r="N150">
        <v>2019</v>
      </c>
      <c r="O150" s="36">
        <v>43683</v>
      </c>
      <c r="P150">
        <v>6</v>
      </c>
      <c r="Q150">
        <v>2093</v>
      </c>
      <c r="R150">
        <v>209.3</v>
      </c>
      <c r="S150">
        <v>62.79</v>
      </c>
      <c r="T150">
        <v>1946.49</v>
      </c>
      <c r="U150" t="s">
        <v>1114</v>
      </c>
      <c r="V150" s="37">
        <v>0.08</v>
      </c>
    </row>
    <row r="151" spans="1:22" x14ac:dyDescent="0.2">
      <c r="A151">
        <v>1150</v>
      </c>
      <c r="B151" t="s">
        <v>52</v>
      </c>
      <c r="C151" t="s">
        <v>351</v>
      </c>
      <c r="D151" t="s">
        <v>1259</v>
      </c>
      <c r="E151" t="s">
        <v>34</v>
      </c>
      <c r="F151" t="s">
        <v>957</v>
      </c>
      <c r="G151" t="s">
        <v>795</v>
      </c>
      <c r="H151" t="s">
        <v>14</v>
      </c>
      <c r="I151" t="s">
        <v>198</v>
      </c>
      <c r="J151" t="s">
        <v>12</v>
      </c>
      <c r="K151" t="s">
        <v>640</v>
      </c>
      <c r="L151">
        <v>10</v>
      </c>
      <c r="M151">
        <v>2</v>
      </c>
      <c r="N151">
        <v>1992</v>
      </c>
      <c r="O151" s="36">
        <v>33644</v>
      </c>
      <c r="P151">
        <v>33</v>
      </c>
      <c r="Q151">
        <v>7333</v>
      </c>
      <c r="R151">
        <v>733.30000000000007</v>
      </c>
      <c r="S151">
        <v>219.98999999999998</v>
      </c>
      <c r="T151">
        <v>6819.69</v>
      </c>
      <c r="U151" t="s">
        <v>1111</v>
      </c>
      <c r="V151" s="37">
        <v>0.02</v>
      </c>
    </row>
    <row r="152" spans="1:22" x14ac:dyDescent="0.2">
      <c r="A152">
        <v>1151</v>
      </c>
      <c r="B152" t="s">
        <v>326</v>
      </c>
      <c r="C152" t="s">
        <v>352</v>
      </c>
      <c r="D152" t="s">
        <v>1260</v>
      </c>
      <c r="E152" t="s">
        <v>34</v>
      </c>
      <c r="F152" t="s">
        <v>958</v>
      </c>
      <c r="G152" t="s">
        <v>16</v>
      </c>
      <c r="H152" t="s">
        <v>14</v>
      </c>
      <c r="I152" t="s">
        <v>15</v>
      </c>
      <c r="J152" t="s">
        <v>10</v>
      </c>
      <c r="K152" t="s">
        <v>641</v>
      </c>
      <c r="L152">
        <v>22</v>
      </c>
      <c r="M152">
        <v>10</v>
      </c>
      <c r="N152">
        <v>1992</v>
      </c>
      <c r="O152" s="36">
        <v>33899</v>
      </c>
      <c r="P152">
        <v>33</v>
      </c>
      <c r="Q152">
        <v>1194</v>
      </c>
      <c r="R152">
        <v>119.4</v>
      </c>
      <c r="S152">
        <v>35.82</v>
      </c>
      <c r="T152">
        <v>1110.4199999999998</v>
      </c>
      <c r="U152" t="s">
        <v>1114</v>
      </c>
      <c r="V152" s="37">
        <v>0.08</v>
      </c>
    </row>
    <row r="153" spans="1:22" x14ac:dyDescent="0.2">
      <c r="A153">
        <v>1152</v>
      </c>
      <c r="B153" t="s">
        <v>353</v>
      </c>
      <c r="C153" t="s">
        <v>354</v>
      </c>
      <c r="D153" t="s">
        <v>1261</v>
      </c>
      <c r="E153" t="s">
        <v>34</v>
      </c>
      <c r="F153" t="s">
        <v>959</v>
      </c>
      <c r="G153" t="s">
        <v>7</v>
      </c>
      <c r="H153" t="s">
        <v>11</v>
      </c>
      <c r="I153" t="s">
        <v>15</v>
      </c>
      <c r="J153" t="s">
        <v>10</v>
      </c>
      <c r="K153" t="s">
        <v>642</v>
      </c>
      <c r="L153">
        <v>8</v>
      </c>
      <c r="M153">
        <v>2</v>
      </c>
      <c r="N153">
        <v>1991</v>
      </c>
      <c r="O153" s="36">
        <v>33277</v>
      </c>
      <c r="P153">
        <v>34</v>
      </c>
      <c r="Q153">
        <v>5118</v>
      </c>
      <c r="R153">
        <v>511.8</v>
      </c>
      <c r="S153">
        <v>153.54</v>
      </c>
      <c r="T153">
        <v>4759.74</v>
      </c>
      <c r="U153" t="s">
        <v>1114</v>
      </c>
      <c r="V153" s="37">
        <v>0.05</v>
      </c>
    </row>
    <row r="154" spans="1:22" x14ac:dyDescent="0.2">
      <c r="A154">
        <v>1153</v>
      </c>
      <c r="B154" t="s">
        <v>355</v>
      </c>
      <c r="C154" t="s">
        <v>356</v>
      </c>
      <c r="D154" t="s">
        <v>1262</v>
      </c>
      <c r="E154" t="s">
        <v>33</v>
      </c>
      <c r="F154" t="s">
        <v>960</v>
      </c>
      <c r="G154" t="s">
        <v>16</v>
      </c>
      <c r="H154" t="s">
        <v>11</v>
      </c>
      <c r="I154" t="s">
        <v>25</v>
      </c>
      <c r="J154" t="s">
        <v>21</v>
      </c>
      <c r="K154" t="s">
        <v>643</v>
      </c>
      <c r="L154">
        <v>15</v>
      </c>
      <c r="M154">
        <v>3</v>
      </c>
      <c r="N154">
        <v>2023</v>
      </c>
      <c r="O154" s="36">
        <v>45000</v>
      </c>
      <c r="P154">
        <v>2</v>
      </c>
      <c r="Q154">
        <v>5373</v>
      </c>
      <c r="R154">
        <v>537.30000000000007</v>
      </c>
      <c r="S154">
        <v>161.19</v>
      </c>
      <c r="T154">
        <v>4996.8899999999994</v>
      </c>
      <c r="U154" t="s">
        <v>1114</v>
      </c>
      <c r="V154" s="37">
        <v>0.05</v>
      </c>
    </row>
    <row r="155" spans="1:22" x14ac:dyDescent="0.2">
      <c r="A155">
        <v>1154</v>
      </c>
      <c r="B155" t="s">
        <v>357</v>
      </c>
      <c r="C155" t="s">
        <v>358</v>
      </c>
      <c r="D155" t="s">
        <v>1263</v>
      </c>
      <c r="E155" t="s">
        <v>33</v>
      </c>
      <c r="F155" t="s">
        <v>961</v>
      </c>
      <c r="G155" t="s">
        <v>16</v>
      </c>
      <c r="H155" t="s">
        <v>8</v>
      </c>
      <c r="I155" t="s">
        <v>26</v>
      </c>
      <c r="J155" t="s">
        <v>12</v>
      </c>
      <c r="K155" t="s">
        <v>644</v>
      </c>
      <c r="L155">
        <v>20</v>
      </c>
      <c r="M155">
        <v>8</v>
      </c>
      <c r="N155">
        <v>2004</v>
      </c>
      <c r="O155" s="36">
        <v>38219</v>
      </c>
      <c r="P155">
        <v>21</v>
      </c>
      <c r="Q155">
        <v>1708</v>
      </c>
      <c r="R155">
        <v>170.8</v>
      </c>
      <c r="S155">
        <v>51.239999999999995</v>
      </c>
      <c r="T155">
        <v>1588.44</v>
      </c>
      <c r="U155" t="s">
        <v>1114</v>
      </c>
      <c r="V155" s="37">
        <v>0.08</v>
      </c>
    </row>
    <row r="156" spans="1:22" x14ac:dyDescent="0.2">
      <c r="A156">
        <v>1155</v>
      </c>
      <c r="B156" t="s">
        <v>359</v>
      </c>
      <c r="C156" t="s">
        <v>360</v>
      </c>
      <c r="D156" t="s">
        <v>1264</v>
      </c>
      <c r="E156" t="s">
        <v>34</v>
      </c>
      <c r="F156" t="s">
        <v>962</v>
      </c>
      <c r="G156" t="s">
        <v>18</v>
      </c>
      <c r="H156" t="s">
        <v>8</v>
      </c>
      <c r="I156" t="s">
        <v>198</v>
      </c>
      <c r="J156" t="s">
        <v>10</v>
      </c>
      <c r="K156" t="s">
        <v>645</v>
      </c>
      <c r="L156">
        <v>10</v>
      </c>
      <c r="M156">
        <v>1</v>
      </c>
      <c r="N156">
        <v>1996</v>
      </c>
      <c r="O156" s="36">
        <v>35074</v>
      </c>
      <c r="P156">
        <v>30</v>
      </c>
      <c r="Q156">
        <v>2898</v>
      </c>
      <c r="R156">
        <v>289.8</v>
      </c>
      <c r="S156">
        <v>86.94</v>
      </c>
      <c r="T156">
        <v>2695.14</v>
      </c>
      <c r="U156" t="s">
        <v>1114</v>
      </c>
      <c r="V156" s="37">
        <v>0.08</v>
      </c>
    </row>
    <row r="157" spans="1:22" x14ac:dyDescent="0.2">
      <c r="A157">
        <v>1156</v>
      </c>
      <c r="B157" t="s">
        <v>361</v>
      </c>
      <c r="C157" t="s">
        <v>362</v>
      </c>
      <c r="D157" t="s">
        <v>1265</v>
      </c>
      <c r="E157" t="s">
        <v>33</v>
      </c>
      <c r="F157" t="s">
        <v>963</v>
      </c>
      <c r="G157" t="s">
        <v>7</v>
      </c>
      <c r="H157" t="s">
        <v>8</v>
      </c>
      <c r="I157" t="s">
        <v>23</v>
      </c>
      <c r="J157" t="s">
        <v>19</v>
      </c>
      <c r="K157" t="s">
        <v>646</v>
      </c>
      <c r="L157">
        <v>17</v>
      </c>
      <c r="M157">
        <v>3</v>
      </c>
      <c r="N157">
        <v>2008</v>
      </c>
      <c r="O157" s="36">
        <v>39524</v>
      </c>
      <c r="P157">
        <v>17</v>
      </c>
      <c r="Q157">
        <v>6211</v>
      </c>
      <c r="R157">
        <v>621.1</v>
      </c>
      <c r="S157">
        <v>186.32999999999998</v>
      </c>
      <c r="T157">
        <v>5776.23</v>
      </c>
      <c r="U157" t="s">
        <v>1114</v>
      </c>
      <c r="V157" s="37">
        <v>0.05</v>
      </c>
    </row>
    <row r="158" spans="1:22" x14ac:dyDescent="0.2">
      <c r="A158">
        <v>1157</v>
      </c>
      <c r="B158" t="s">
        <v>363</v>
      </c>
      <c r="C158" t="s">
        <v>126</v>
      </c>
      <c r="D158" t="s">
        <v>1266</v>
      </c>
      <c r="E158" t="s">
        <v>33</v>
      </c>
      <c r="F158" t="s">
        <v>964</v>
      </c>
      <c r="G158" t="s">
        <v>18</v>
      </c>
      <c r="H158" t="s">
        <v>11</v>
      </c>
      <c r="I158" t="s">
        <v>9</v>
      </c>
      <c r="J158" t="s">
        <v>12</v>
      </c>
      <c r="K158" t="s">
        <v>647</v>
      </c>
      <c r="L158">
        <v>4</v>
      </c>
      <c r="M158">
        <v>9</v>
      </c>
      <c r="N158">
        <v>2020</v>
      </c>
      <c r="O158" s="36">
        <v>44078</v>
      </c>
      <c r="P158">
        <v>5</v>
      </c>
      <c r="Q158">
        <v>5976</v>
      </c>
      <c r="R158">
        <v>597.6</v>
      </c>
      <c r="S158">
        <v>179.28</v>
      </c>
      <c r="T158">
        <v>5557.6799999999994</v>
      </c>
      <c r="U158" t="s">
        <v>1114</v>
      </c>
      <c r="V158" s="37">
        <v>0.05</v>
      </c>
    </row>
    <row r="159" spans="1:22" x14ac:dyDescent="0.2">
      <c r="A159">
        <v>1158</v>
      </c>
      <c r="B159" t="s">
        <v>264</v>
      </c>
      <c r="C159" t="s">
        <v>364</v>
      </c>
      <c r="D159" t="s">
        <v>1267</v>
      </c>
      <c r="E159" t="s">
        <v>34</v>
      </c>
      <c r="F159" t="s">
        <v>965</v>
      </c>
      <c r="G159" t="s">
        <v>18</v>
      </c>
      <c r="H159" t="s">
        <v>11</v>
      </c>
      <c r="I159" t="s">
        <v>9</v>
      </c>
      <c r="J159" t="s">
        <v>10</v>
      </c>
      <c r="K159" t="s">
        <v>648</v>
      </c>
      <c r="L159">
        <v>20</v>
      </c>
      <c r="M159">
        <v>6</v>
      </c>
      <c r="N159">
        <v>2013</v>
      </c>
      <c r="O159" s="36">
        <v>41445</v>
      </c>
      <c r="P159">
        <v>12</v>
      </c>
      <c r="Q159">
        <v>742</v>
      </c>
      <c r="R159">
        <v>74.2</v>
      </c>
      <c r="S159">
        <v>22.259999999999998</v>
      </c>
      <c r="T159">
        <v>690.06</v>
      </c>
      <c r="U159" t="s">
        <v>1114</v>
      </c>
      <c r="V159" s="37">
        <v>0.1</v>
      </c>
    </row>
    <row r="160" spans="1:22" x14ac:dyDescent="0.2">
      <c r="A160">
        <v>1159</v>
      </c>
      <c r="B160" t="s">
        <v>85</v>
      </c>
      <c r="C160" t="s">
        <v>365</v>
      </c>
      <c r="D160" t="s">
        <v>1268</v>
      </c>
      <c r="E160" t="s">
        <v>33</v>
      </c>
      <c r="F160" t="s">
        <v>966</v>
      </c>
      <c r="G160" t="s">
        <v>13</v>
      </c>
      <c r="H160" t="s">
        <v>8</v>
      </c>
      <c r="I160" t="s">
        <v>24</v>
      </c>
      <c r="J160" t="s">
        <v>10</v>
      </c>
      <c r="K160" t="s">
        <v>649</v>
      </c>
      <c r="L160">
        <v>13</v>
      </c>
      <c r="M160">
        <v>1</v>
      </c>
      <c r="N160">
        <v>2021</v>
      </c>
      <c r="O160" s="36">
        <v>44209</v>
      </c>
      <c r="P160">
        <v>5</v>
      </c>
      <c r="Q160">
        <v>5918</v>
      </c>
      <c r="R160">
        <v>591.80000000000007</v>
      </c>
      <c r="S160">
        <v>177.54</v>
      </c>
      <c r="T160">
        <v>5503.74</v>
      </c>
      <c r="U160" t="s">
        <v>1114</v>
      </c>
      <c r="V160" s="37">
        <v>0.05</v>
      </c>
    </row>
    <row r="161" spans="1:22" x14ac:dyDescent="0.2">
      <c r="A161">
        <v>1160</v>
      </c>
      <c r="B161" t="s">
        <v>366</v>
      </c>
      <c r="C161" t="s">
        <v>367</v>
      </c>
      <c r="D161" t="s">
        <v>1269</v>
      </c>
      <c r="E161" t="s">
        <v>34</v>
      </c>
      <c r="F161" t="s">
        <v>967</v>
      </c>
      <c r="G161" t="s">
        <v>13</v>
      </c>
      <c r="H161" t="s">
        <v>20</v>
      </c>
      <c r="I161" t="s">
        <v>15</v>
      </c>
      <c r="J161" t="s">
        <v>21</v>
      </c>
      <c r="K161" t="s">
        <v>650</v>
      </c>
      <c r="L161">
        <v>25</v>
      </c>
      <c r="M161">
        <v>9</v>
      </c>
      <c r="N161">
        <v>2008</v>
      </c>
      <c r="O161" s="36">
        <v>39716</v>
      </c>
      <c r="P161">
        <v>17</v>
      </c>
      <c r="Q161">
        <v>3074</v>
      </c>
      <c r="R161">
        <v>307.40000000000003</v>
      </c>
      <c r="S161">
        <v>92.22</v>
      </c>
      <c r="T161">
        <v>2858.8199999999997</v>
      </c>
      <c r="U161" t="s">
        <v>1114</v>
      </c>
      <c r="V161" s="37">
        <v>0.08</v>
      </c>
    </row>
    <row r="162" spans="1:22" x14ac:dyDescent="0.2">
      <c r="A162">
        <v>1161</v>
      </c>
      <c r="B162" t="s">
        <v>368</v>
      </c>
      <c r="C162" t="s">
        <v>369</v>
      </c>
      <c r="D162" t="s">
        <v>1270</v>
      </c>
      <c r="E162" t="s">
        <v>34</v>
      </c>
      <c r="F162" t="s">
        <v>968</v>
      </c>
      <c r="G162" t="s">
        <v>18</v>
      </c>
      <c r="H162" t="s">
        <v>8</v>
      </c>
      <c r="I162" t="s">
        <v>9</v>
      </c>
      <c r="J162" t="s">
        <v>21</v>
      </c>
      <c r="K162" t="s">
        <v>651</v>
      </c>
      <c r="L162">
        <v>11</v>
      </c>
      <c r="M162">
        <v>2</v>
      </c>
      <c r="N162">
        <v>1994</v>
      </c>
      <c r="O162" s="36">
        <v>34376</v>
      </c>
      <c r="P162">
        <v>31</v>
      </c>
      <c r="Q162">
        <v>5688</v>
      </c>
      <c r="R162">
        <v>568.80000000000007</v>
      </c>
      <c r="S162">
        <v>170.64</v>
      </c>
      <c r="T162">
        <v>5289.84</v>
      </c>
      <c r="U162" t="s">
        <v>1114</v>
      </c>
      <c r="V162" s="37">
        <v>0.05</v>
      </c>
    </row>
    <row r="163" spans="1:22" x14ac:dyDescent="0.2">
      <c r="A163">
        <v>1162</v>
      </c>
      <c r="B163" t="s">
        <v>31</v>
      </c>
      <c r="C163" t="s">
        <v>370</v>
      </c>
      <c r="D163" t="s">
        <v>1271</v>
      </c>
      <c r="E163" t="s">
        <v>34</v>
      </c>
      <c r="F163" t="s">
        <v>969</v>
      </c>
      <c r="G163" t="s">
        <v>13</v>
      </c>
      <c r="H163" t="s">
        <v>11</v>
      </c>
      <c r="I163" t="s">
        <v>9</v>
      </c>
      <c r="J163" t="s">
        <v>19</v>
      </c>
      <c r="K163" t="s">
        <v>652</v>
      </c>
      <c r="L163">
        <v>22</v>
      </c>
      <c r="M163">
        <v>3</v>
      </c>
      <c r="N163">
        <v>2022</v>
      </c>
      <c r="O163" s="36">
        <v>44642</v>
      </c>
      <c r="P163">
        <v>3</v>
      </c>
      <c r="Q163">
        <v>3362</v>
      </c>
      <c r="R163">
        <v>336.20000000000005</v>
      </c>
      <c r="S163">
        <v>100.86</v>
      </c>
      <c r="T163">
        <v>3126.66</v>
      </c>
      <c r="U163" t="s">
        <v>1114</v>
      </c>
      <c r="V163" s="37">
        <v>0.05</v>
      </c>
    </row>
    <row r="164" spans="1:22" x14ac:dyDescent="0.2">
      <c r="A164">
        <v>1163</v>
      </c>
      <c r="B164" t="s">
        <v>39</v>
      </c>
      <c r="C164" t="s">
        <v>371</v>
      </c>
      <c r="D164" t="s">
        <v>1272</v>
      </c>
      <c r="E164" t="s">
        <v>33</v>
      </c>
      <c r="F164" t="s">
        <v>970</v>
      </c>
      <c r="G164" t="s">
        <v>16</v>
      </c>
      <c r="H164" t="s">
        <v>14</v>
      </c>
      <c r="I164" t="s">
        <v>9</v>
      </c>
      <c r="J164" t="s">
        <v>10</v>
      </c>
      <c r="K164" t="s">
        <v>653</v>
      </c>
      <c r="L164">
        <v>4</v>
      </c>
      <c r="M164">
        <v>9</v>
      </c>
      <c r="N164">
        <v>2016</v>
      </c>
      <c r="O164" s="36">
        <v>42617</v>
      </c>
      <c r="P164">
        <v>9</v>
      </c>
      <c r="Q164">
        <v>6043</v>
      </c>
      <c r="R164">
        <v>604.30000000000007</v>
      </c>
      <c r="S164">
        <v>181.29</v>
      </c>
      <c r="T164">
        <v>5619.99</v>
      </c>
      <c r="U164" t="s">
        <v>1114</v>
      </c>
      <c r="V164" s="37">
        <v>0.05</v>
      </c>
    </row>
    <row r="165" spans="1:22" x14ac:dyDescent="0.2">
      <c r="A165">
        <v>1164</v>
      </c>
      <c r="B165" t="s">
        <v>372</v>
      </c>
      <c r="C165" t="s">
        <v>373</v>
      </c>
      <c r="D165" t="s">
        <v>1273</v>
      </c>
      <c r="E165" t="s">
        <v>33</v>
      </c>
      <c r="F165" t="s">
        <v>971</v>
      </c>
      <c r="G165" t="s">
        <v>16</v>
      </c>
      <c r="H165" t="s">
        <v>11</v>
      </c>
      <c r="I165" t="s">
        <v>9</v>
      </c>
      <c r="J165" t="s">
        <v>12</v>
      </c>
      <c r="K165" t="s">
        <v>654</v>
      </c>
      <c r="L165">
        <v>28</v>
      </c>
      <c r="M165">
        <v>1</v>
      </c>
      <c r="N165">
        <v>1998</v>
      </c>
      <c r="O165" s="36">
        <v>35823</v>
      </c>
      <c r="P165">
        <v>27</v>
      </c>
      <c r="Q165">
        <v>6260</v>
      </c>
      <c r="R165">
        <v>626</v>
      </c>
      <c r="S165">
        <v>187.79999999999998</v>
      </c>
      <c r="T165">
        <v>5821.8</v>
      </c>
      <c r="U165" t="s">
        <v>1114</v>
      </c>
      <c r="V165" s="37">
        <v>0.05</v>
      </c>
    </row>
    <row r="166" spans="1:22" x14ac:dyDescent="0.2">
      <c r="A166">
        <v>1165</v>
      </c>
      <c r="B166" t="s">
        <v>374</v>
      </c>
      <c r="C166" t="s">
        <v>375</v>
      </c>
      <c r="D166" t="s">
        <v>1274</v>
      </c>
      <c r="E166" t="s">
        <v>33</v>
      </c>
      <c r="F166" t="s">
        <v>972</v>
      </c>
      <c r="G166" t="s">
        <v>16</v>
      </c>
      <c r="H166" t="s">
        <v>20</v>
      </c>
      <c r="I166" t="s">
        <v>9</v>
      </c>
      <c r="J166" t="s">
        <v>21</v>
      </c>
      <c r="K166" t="s">
        <v>655</v>
      </c>
      <c r="L166">
        <v>15</v>
      </c>
      <c r="M166">
        <v>1</v>
      </c>
      <c r="N166">
        <v>2023</v>
      </c>
      <c r="O166" s="36">
        <v>44941</v>
      </c>
      <c r="P166">
        <v>3</v>
      </c>
      <c r="Q166">
        <v>3754</v>
      </c>
      <c r="R166">
        <v>375.40000000000003</v>
      </c>
      <c r="S166">
        <v>112.61999999999999</v>
      </c>
      <c r="T166">
        <v>3491.22</v>
      </c>
      <c r="U166" t="s">
        <v>1114</v>
      </c>
      <c r="V166" s="37">
        <v>0.05</v>
      </c>
    </row>
    <row r="167" spans="1:22" x14ac:dyDescent="0.2">
      <c r="A167">
        <v>1166</v>
      </c>
      <c r="B167" t="s">
        <v>344</v>
      </c>
      <c r="C167" t="s">
        <v>376</v>
      </c>
      <c r="D167" t="s">
        <v>1275</v>
      </c>
      <c r="E167" t="s">
        <v>34</v>
      </c>
      <c r="F167" t="s">
        <v>973</v>
      </c>
      <c r="G167" t="s">
        <v>13</v>
      </c>
      <c r="H167" t="s">
        <v>14</v>
      </c>
      <c r="I167" t="s">
        <v>22</v>
      </c>
      <c r="J167" t="s">
        <v>19</v>
      </c>
      <c r="K167" t="s">
        <v>656</v>
      </c>
      <c r="L167">
        <v>1</v>
      </c>
      <c r="M167">
        <v>12</v>
      </c>
      <c r="N167">
        <v>2010</v>
      </c>
      <c r="O167" s="36">
        <v>40513</v>
      </c>
      <c r="P167">
        <v>15</v>
      </c>
      <c r="Q167">
        <v>6579</v>
      </c>
      <c r="R167">
        <v>657.90000000000009</v>
      </c>
      <c r="S167">
        <v>197.37</v>
      </c>
      <c r="T167">
        <v>6118.4699999999993</v>
      </c>
      <c r="U167" t="s">
        <v>1111</v>
      </c>
      <c r="V167" s="37">
        <v>0.02</v>
      </c>
    </row>
    <row r="168" spans="1:22" x14ac:dyDescent="0.2">
      <c r="A168">
        <v>1167</v>
      </c>
      <c r="B168" t="s">
        <v>101</v>
      </c>
      <c r="C168" t="s">
        <v>377</v>
      </c>
      <c r="D168" t="s">
        <v>1276</v>
      </c>
      <c r="E168" t="s">
        <v>34</v>
      </c>
      <c r="F168" t="s">
        <v>974</v>
      </c>
      <c r="G168" t="s">
        <v>16</v>
      </c>
      <c r="H168" t="s">
        <v>8</v>
      </c>
      <c r="I168" t="s">
        <v>17</v>
      </c>
      <c r="J168" t="s">
        <v>12</v>
      </c>
      <c r="K168" t="s">
        <v>657</v>
      </c>
      <c r="L168">
        <v>25</v>
      </c>
      <c r="M168">
        <v>2</v>
      </c>
      <c r="N168">
        <v>2004</v>
      </c>
      <c r="O168" s="36">
        <v>38042</v>
      </c>
      <c r="P168">
        <v>21</v>
      </c>
      <c r="Q168">
        <v>5373</v>
      </c>
      <c r="R168">
        <v>537.30000000000007</v>
      </c>
      <c r="S168">
        <v>161.19</v>
      </c>
      <c r="T168">
        <v>4996.8899999999994</v>
      </c>
      <c r="U168" t="s">
        <v>1114</v>
      </c>
      <c r="V168" s="37">
        <v>0.05</v>
      </c>
    </row>
    <row r="169" spans="1:22" x14ac:dyDescent="0.2">
      <c r="A169">
        <v>1168</v>
      </c>
      <c r="B169" t="s">
        <v>378</v>
      </c>
      <c r="C169" t="s">
        <v>379</v>
      </c>
      <c r="D169" t="s">
        <v>1277</v>
      </c>
      <c r="E169" t="s">
        <v>33</v>
      </c>
      <c r="F169" t="s">
        <v>975</v>
      </c>
      <c r="G169" t="s">
        <v>13</v>
      </c>
      <c r="H169" t="s">
        <v>8</v>
      </c>
      <c r="I169" t="s">
        <v>15</v>
      </c>
      <c r="J169" t="s">
        <v>12</v>
      </c>
      <c r="K169" t="s">
        <v>658</v>
      </c>
      <c r="L169">
        <v>6</v>
      </c>
      <c r="M169">
        <v>10</v>
      </c>
      <c r="N169">
        <v>1990</v>
      </c>
      <c r="O169" s="36">
        <v>33152</v>
      </c>
      <c r="P169">
        <v>35</v>
      </c>
      <c r="Q169">
        <v>1391</v>
      </c>
      <c r="R169">
        <v>139.1</v>
      </c>
      <c r="S169">
        <v>41.73</v>
      </c>
      <c r="T169">
        <v>1293.6300000000001</v>
      </c>
      <c r="U169" t="s">
        <v>1114</v>
      </c>
      <c r="V169" s="37">
        <v>0.08</v>
      </c>
    </row>
    <row r="170" spans="1:22" x14ac:dyDescent="0.2">
      <c r="A170">
        <v>1169</v>
      </c>
      <c r="B170" t="s">
        <v>380</v>
      </c>
      <c r="C170" t="s">
        <v>381</v>
      </c>
      <c r="D170" t="s">
        <v>1278</v>
      </c>
      <c r="E170" t="s">
        <v>33</v>
      </c>
      <c r="F170" t="s">
        <v>976</v>
      </c>
      <c r="G170" t="s">
        <v>16</v>
      </c>
      <c r="H170" t="s">
        <v>11</v>
      </c>
      <c r="I170" t="s">
        <v>198</v>
      </c>
      <c r="J170" t="s">
        <v>12</v>
      </c>
      <c r="K170" t="s">
        <v>659</v>
      </c>
      <c r="L170">
        <v>23</v>
      </c>
      <c r="M170">
        <v>10</v>
      </c>
      <c r="N170">
        <v>1992</v>
      </c>
      <c r="O170" s="36">
        <v>33900</v>
      </c>
      <c r="P170">
        <v>33</v>
      </c>
      <c r="Q170">
        <v>2528</v>
      </c>
      <c r="R170">
        <v>252.8</v>
      </c>
      <c r="S170">
        <v>75.84</v>
      </c>
      <c r="T170">
        <v>2351.04</v>
      </c>
      <c r="U170" t="s">
        <v>1114</v>
      </c>
      <c r="V170" s="37">
        <v>0.08</v>
      </c>
    </row>
    <row r="171" spans="1:22" x14ac:dyDescent="0.2">
      <c r="A171">
        <v>1170</v>
      </c>
      <c r="B171" t="s">
        <v>36</v>
      </c>
      <c r="C171" t="s">
        <v>382</v>
      </c>
      <c r="D171" t="s">
        <v>1279</v>
      </c>
      <c r="E171" t="s">
        <v>34</v>
      </c>
      <c r="F171" t="s">
        <v>977</v>
      </c>
      <c r="G171" t="s">
        <v>16</v>
      </c>
      <c r="H171" t="s">
        <v>11</v>
      </c>
      <c r="I171" t="s">
        <v>26</v>
      </c>
      <c r="J171" t="s">
        <v>10</v>
      </c>
      <c r="K171" t="s">
        <v>660</v>
      </c>
      <c r="L171">
        <v>9</v>
      </c>
      <c r="M171">
        <v>11</v>
      </c>
      <c r="N171">
        <v>2020</v>
      </c>
      <c r="O171" s="36">
        <v>44144</v>
      </c>
      <c r="P171">
        <v>5</v>
      </c>
      <c r="Q171">
        <v>6040</v>
      </c>
      <c r="R171">
        <v>604</v>
      </c>
      <c r="S171">
        <v>181.2</v>
      </c>
      <c r="T171">
        <v>5617.2</v>
      </c>
      <c r="U171" t="s">
        <v>1114</v>
      </c>
      <c r="V171" s="37">
        <v>0.05</v>
      </c>
    </row>
    <row r="172" spans="1:22" x14ac:dyDescent="0.2">
      <c r="A172">
        <v>1171</v>
      </c>
      <c r="B172" t="s">
        <v>383</v>
      </c>
      <c r="C172" t="s">
        <v>57</v>
      </c>
      <c r="D172" t="s">
        <v>1280</v>
      </c>
      <c r="E172" t="s">
        <v>34</v>
      </c>
      <c r="F172" t="s">
        <v>978</v>
      </c>
      <c r="G172" t="s">
        <v>795</v>
      </c>
      <c r="H172" t="s">
        <v>20</v>
      </c>
      <c r="I172" t="s">
        <v>17</v>
      </c>
      <c r="J172" t="s">
        <v>21</v>
      </c>
      <c r="K172" t="s">
        <v>156</v>
      </c>
      <c r="L172">
        <v>15</v>
      </c>
      <c r="M172">
        <v>12</v>
      </c>
      <c r="N172">
        <v>2009</v>
      </c>
      <c r="O172" s="36">
        <v>40162</v>
      </c>
      <c r="P172">
        <v>16</v>
      </c>
      <c r="Q172">
        <v>3842</v>
      </c>
      <c r="R172">
        <v>384.20000000000005</v>
      </c>
      <c r="S172">
        <v>115.25999999999999</v>
      </c>
      <c r="T172">
        <v>3573.0600000000004</v>
      </c>
      <c r="U172" t="s">
        <v>1114</v>
      </c>
      <c r="V172" s="37">
        <v>0.05</v>
      </c>
    </row>
    <row r="173" spans="1:22" x14ac:dyDescent="0.2">
      <c r="A173">
        <v>1172</v>
      </c>
      <c r="B173" t="s">
        <v>52</v>
      </c>
      <c r="C173" t="s">
        <v>384</v>
      </c>
      <c r="D173" t="s">
        <v>1281</v>
      </c>
      <c r="E173" t="s">
        <v>33</v>
      </c>
      <c r="F173" t="s">
        <v>979</v>
      </c>
      <c r="G173" t="s">
        <v>16</v>
      </c>
      <c r="H173" t="s">
        <v>8</v>
      </c>
      <c r="I173" t="s">
        <v>198</v>
      </c>
      <c r="J173" t="s">
        <v>12</v>
      </c>
      <c r="K173" t="s">
        <v>661</v>
      </c>
      <c r="L173">
        <v>6</v>
      </c>
      <c r="M173">
        <v>12</v>
      </c>
      <c r="N173">
        <v>1992</v>
      </c>
      <c r="O173" s="36">
        <v>33944</v>
      </c>
      <c r="P173">
        <v>33</v>
      </c>
      <c r="Q173">
        <v>1542</v>
      </c>
      <c r="R173">
        <v>154.20000000000002</v>
      </c>
      <c r="S173">
        <v>46.26</v>
      </c>
      <c r="T173">
        <v>1434.06</v>
      </c>
      <c r="U173" t="s">
        <v>1114</v>
      </c>
      <c r="V173" s="37">
        <v>0.08</v>
      </c>
    </row>
    <row r="174" spans="1:22" x14ac:dyDescent="0.2">
      <c r="A174">
        <v>1173</v>
      </c>
      <c r="B174" t="s">
        <v>385</v>
      </c>
      <c r="C174" t="s">
        <v>386</v>
      </c>
      <c r="D174" t="s">
        <v>1282</v>
      </c>
      <c r="E174" t="s">
        <v>34</v>
      </c>
      <c r="F174" t="s">
        <v>980</v>
      </c>
      <c r="G174" t="s">
        <v>16</v>
      </c>
      <c r="H174" t="s">
        <v>14</v>
      </c>
      <c r="I174" t="s">
        <v>9</v>
      </c>
      <c r="J174" t="s">
        <v>10</v>
      </c>
      <c r="K174" t="s">
        <v>662</v>
      </c>
      <c r="L174">
        <v>8</v>
      </c>
      <c r="M174">
        <v>10</v>
      </c>
      <c r="N174">
        <v>2011</v>
      </c>
      <c r="O174" s="36">
        <v>40824</v>
      </c>
      <c r="P174">
        <v>14</v>
      </c>
      <c r="Q174">
        <v>3134</v>
      </c>
      <c r="R174">
        <v>313.40000000000003</v>
      </c>
      <c r="S174">
        <v>94.02</v>
      </c>
      <c r="T174">
        <v>2914.62</v>
      </c>
      <c r="U174" t="s">
        <v>1114</v>
      </c>
      <c r="V174" s="37">
        <v>0.08</v>
      </c>
    </row>
    <row r="175" spans="1:22" x14ac:dyDescent="0.2">
      <c r="A175">
        <v>1174</v>
      </c>
      <c r="B175" t="s">
        <v>387</v>
      </c>
      <c r="C175" t="s">
        <v>388</v>
      </c>
      <c r="D175" t="s">
        <v>1283</v>
      </c>
      <c r="E175" t="s">
        <v>34</v>
      </c>
      <c r="F175" t="s">
        <v>981</v>
      </c>
      <c r="G175" t="s">
        <v>16</v>
      </c>
      <c r="H175" t="s">
        <v>11</v>
      </c>
      <c r="I175" t="s">
        <v>22</v>
      </c>
      <c r="J175" t="s">
        <v>12</v>
      </c>
      <c r="K175" t="s">
        <v>663</v>
      </c>
      <c r="L175">
        <v>24</v>
      </c>
      <c r="M175">
        <v>4</v>
      </c>
      <c r="N175">
        <v>1993</v>
      </c>
      <c r="O175" s="36">
        <v>34083</v>
      </c>
      <c r="P175">
        <v>32</v>
      </c>
      <c r="Q175">
        <v>4921</v>
      </c>
      <c r="R175">
        <v>492.1</v>
      </c>
      <c r="S175">
        <v>147.63</v>
      </c>
      <c r="T175">
        <v>4576.53</v>
      </c>
      <c r="U175" t="s">
        <v>1114</v>
      </c>
      <c r="V175" s="37">
        <v>0.05</v>
      </c>
    </row>
    <row r="176" spans="1:22" x14ac:dyDescent="0.2">
      <c r="A176">
        <v>1175</v>
      </c>
      <c r="B176" t="s">
        <v>389</v>
      </c>
      <c r="C176" t="s">
        <v>390</v>
      </c>
      <c r="D176" t="s">
        <v>1284</v>
      </c>
      <c r="E176" t="s">
        <v>33</v>
      </c>
      <c r="F176" t="s">
        <v>982</v>
      </c>
      <c r="G176" t="s">
        <v>16</v>
      </c>
      <c r="H176" t="s">
        <v>11</v>
      </c>
      <c r="I176" t="s">
        <v>198</v>
      </c>
      <c r="J176" t="s">
        <v>10</v>
      </c>
      <c r="K176" t="s">
        <v>664</v>
      </c>
      <c r="L176">
        <v>21</v>
      </c>
      <c r="M176">
        <v>5</v>
      </c>
      <c r="N176">
        <v>2008</v>
      </c>
      <c r="O176" s="36">
        <v>39589</v>
      </c>
      <c r="P176">
        <v>17</v>
      </c>
      <c r="Q176">
        <v>1948</v>
      </c>
      <c r="R176">
        <v>194.8</v>
      </c>
      <c r="S176">
        <v>58.44</v>
      </c>
      <c r="T176">
        <v>1811.64</v>
      </c>
      <c r="U176" t="s">
        <v>1114</v>
      </c>
      <c r="V176" s="37">
        <v>0.08</v>
      </c>
    </row>
    <row r="177" spans="1:22" x14ac:dyDescent="0.2">
      <c r="A177">
        <v>1176</v>
      </c>
      <c r="B177" t="s">
        <v>60</v>
      </c>
      <c r="C177" t="s">
        <v>391</v>
      </c>
      <c r="D177" t="s">
        <v>1285</v>
      </c>
      <c r="E177" t="s">
        <v>34</v>
      </c>
      <c r="F177" t="s">
        <v>983</v>
      </c>
      <c r="G177" t="s">
        <v>18</v>
      </c>
      <c r="H177" t="s">
        <v>11</v>
      </c>
      <c r="I177" t="s">
        <v>22</v>
      </c>
      <c r="J177" t="s">
        <v>19</v>
      </c>
      <c r="K177" t="s">
        <v>665</v>
      </c>
      <c r="L177">
        <v>23</v>
      </c>
      <c r="M177">
        <v>6</v>
      </c>
      <c r="N177">
        <v>2004</v>
      </c>
      <c r="O177" s="36">
        <v>38161</v>
      </c>
      <c r="P177">
        <v>21</v>
      </c>
      <c r="Q177">
        <v>3294</v>
      </c>
      <c r="R177">
        <v>329.40000000000003</v>
      </c>
      <c r="S177">
        <v>98.82</v>
      </c>
      <c r="T177">
        <v>3063.42</v>
      </c>
      <c r="U177" t="s">
        <v>1114</v>
      </c>
      <c r="V177" s="37">
        <v>0.05</v>
      </c>
    </row>
    <row r="178" spans="1:22" x14ac:dyDescent="0.2">
      <c r="A178">
        <v>1177</v>
      </c>
      <c r="B178" t="s">
        <v>392</v>
      </c>
      <c r="C178" t="s">
        <v>393</v>
      </c>
      <c r="D178" t="s">
        <v>1286</v>
      </c>
      <c r="E178" t="s">
        <v>34</v>
      </c>
      <c r="F178" t="s">
        <v>984</v>
      </c>
      <c r="G178" t="s">
        <v>795</v>
      </c>
      <c r="H178" t="s">
        <v>20</v>
      </c>
      <c r="I178" t="s">
        <v>198</v>
      </c>
      <c r="J178" t="s">
        <v>10</v>
      </c>
      <c r="K178" t="s">
        <v>666</v>
      </c>
      <c r="L178">
        <v>26</v>
      </c>
      <c r="M178">
        <v>7</v>
      </c>
      <c r="N178">
        <v>2010</v>
      </c>
      <c r="O178" s="36">
        <v>40385</v>
      </c>
      <c r="P178">
        <v>15</v>
      </c>
      <c r="Q178">
        <v>7123</v>
      </c>
      <c r="R178">
        <v>712.30000000000007</v>
      </c>
      <c r="S178">
        <v>213.69</v>
      </c>
      <c r="T178">
        <v>6624.3899999999994</v>
      </c>
      <c r="U178" t="s">
        <v>1111</v>
      </c>
      <c r="V178" s="37">
        <v>0.02</v>
      </c>
    </row>
    <row r="179" spans="1:22" x14ac:dyDescent="0.2">
      <c r="A179">
        <v>1178</v>
      </c>
      <c r="B179" t="s">
        <v>57</v>
      </c>
      <c r="C179" t="s">
        <v>394</v>
      </c>
      <c r="D179" t="s">
        <v>1287</v>
      </c>
      <c r="E179" t="s">
        <v>34</v>
      </c>
      <c r="F179" t="s">
        <v>985</v>
      </c>
      <c r="G179" t="s">
        <v>13</v>
      </c>
      <c r="H179" t="s">
        <v>14</v>
      </c>
      <c r="I179" t="s">
        <v>22</v>
      </c>
      <c r="J179" t="s">
        <v>21</v>
      </c>
      <c r="K179" t="s">
        <v>667</v>
      </c>
      <c r="L179">
        <v>24</v>
      </c>
      <c r="M179">
        <v>6</v>
      </c>
      <c r="N179">
        <v>2015</v>
      </c>
      <c r="O179" s="36">
        <v>42179</v>
      </c>
      <c r="P179">
        <v>10</v>
      </c>
      <c r="Q179">
        <v>7236</v>
      </c>
      <c r="R179">
        <v>723.6</v>
      </c>
      <c r="S179">
        <v>217.07999999999998</v>
      </c>
      <c r="T179">
        <v>6729.48</v>
      </c>
      <c r="U179" t="s">
        <v>1111</v>
      </c>
      <c r="V179" s="37">
        <v>0.02</v>
      </c>
    </row>
    <row r="180" spans="1:22" x14ac:dyDescent="0.2">
      <c r="A180">
        <v>1179</v>
      </c>
      <c r="B180" t="s">
        <v>264</v>
      </c>
      <c r="C180" t="s">
        <v>395</v>
      </c>
      <c r="D180" t="s">
        <v>1288</v>
      </c>
      <c r="E180" t="s">
        <v>34</v>
      </c>
      <c r="F180" t="s">
        <v>986</v>
      </c>
      <c r="G180" t="s">
        <v>795</v>
      </c>
      <c r="H180" t="s">
        <v>11</v>
      </c>
      <c r="I180" t="s">
        <v>22</v>
      </c>
      <c r="J180" t="s">
        <v>12</v>
      </c>
      <c r="K180" t="s">
        <v>668</v>
      </c>
      <c r="L180">
        <v>4</v>
      </c>
      <c r="M180">
        <v>8</v>
      </c>
      <c r="N180">
        <v>2004</v>
      </c>
      <c r="O180" s="36">
        <v>38203</v>
      </c>
      <c r="P180">
        <v>21</v>
      </c>
      <c r="Q180">
        <v>6843</v>
      </c>
      <c r="R180">
        <v>684.30000000000007</v>
      </c>
      <c r="S180">
        <v>205.29</v>
      </c>
      <c r="T180">
        <v>6363.99</v>
      </c>
      <c r="U180" t="s">
        <v>1111</v>
      </c>
      <c r="V180" s="37">
        <v>0.02</v>
      </c>
    </row>
    <row r="181" spans="1:22" x14ac:dyDescent="0.2">
      <c r="A181">
        <v>1180</v>
      </c>
      <c r="B181" t="s">
        <v>396</v>
      </c>
      <c r="C181" t="s">
        <v>397</v>
      </c>
      <c r="D181" t="s">
        <v>1289</v>
      </c>
      <c r="E181" t="s">
        <v>33</v>
      </c>
      <c r="F181" t="s">
        <v>987</v>
      </c>
      <c r="G181" t="s">
        <v>795</v>
      </c>
      <c r="H181" t="s">
        <v>11</v>
      </c>
      <c r="I181" t="s">
        <v>22</v>
      </c>
      <c r="J181" t="s">
        <v>10</v>
      </c>
      <c r="K181" t="s">
        <v>669</v>
      </c>
      <c r="L181">
        <v>26</v>
      </c>
      <c r="M181">
        <v>3</v>
      </c>
      <c r="N181">
        <v>2014</v>
      </c>
      <c r="O181" s="36">
        <v>41724</v>
      </c>
      <c r="P181">
        <v>11</v>
      </c>
      <c r="Q181">
        <v>1070</v>
      </c>
      <c r="R181">
        <v>107</v>
      </c>
      <c r="S181">
        <v>32.1</v>
      </c>
      <c r="T181">
        <v>995.09999999999991</v>
      </c>
      <c r="U181" t="s">
        <v>1114</v>
      </c>
      <c r="V181" s="37">
        <v>0.1</v>
      </c>
    </row>
    <row r="182" spans="1:22" x14ac:dyDescent="0.2">
      <c r="A182">
        <v>1181</v>
      </c>
      <c r="B182" t="s">
        <v>398</v>
      </c>
      <c r="C182" t="s">
        <v>399</v>
      </c>
      <c r="D182" t="s">
        <v>1290</v>
      </c>
      <c r="E182" t="s">
        <v>33</v>
      </c>
      <c r="F182" t="s">
        <v>988</v>
      </c>
      <c r="G182" t="s">
        <v>13</v>
      </c>
      <c r="H182" t="s">
        <v>8</v>
      </c>
      <c r="I182" t="s">
        <v>22</v>
      </c>
      <c r="J182" t="s">
        <v>19</v>
      </c>
      <c r="K182" t="s">
        <v>670</v>
      </c>
      <c r="L182">
        <v>27</v>
      </c>
      <c r="M182">
        <v>5</v>
      </c>
      <c r="N182">
        <v>2013</v>
      </c>
      <c r="O182" s="36">
        <v>41421</v>
      </c>
      <c r="P182">
        <v>12</v>
      </c>
      <c r="Q182">
        <v>1493</v>
      </c>
      <c r="R182">
        <v>149.30000000000001</v>
      </c>
      <c r="S182">
        <v>44.79</v>
      </c>
      <c r="T182">
        <v>1388.49</v>
      </c>
      <c r="U182" t="s">
        <v>1114</v>
      </c>
      <c r="V182" s="37">
        <v>0.08</v>
      </c>
    </row>
    <row r="183" spans="1:22" x14ac:dyDescent="0.2">
      <c r="A183">
        <v>1182</v>
      </c>
      <c r="B183" t="s">
        <v>400</v>
      </c>
      <c r="C183" t="s">
        <v>126</v>
      </c>
      <c r="D183" t="s">
        <v>1291</v>
      </c>
      <c r="E183" t="s">
        <v>33</v>
      </c>
      <c r="F183" t="s">
        <v>989</v>
      </c>
      <c r="G183" t="s">
        <v>18</v>
      </c>
      <c r="H183" t="s">
        <v>11</v>
      </c>
      <c r="I183" t="s">
        <v>22</v>
      </c>
      <c r="J183" t="s">
        <v>12</v>
      </c>
      <c r="K183" t="s">
        <v>671</v>
      </c>
      <c r="L183">
        <v>25</v>
      </c>
      <c r="M183">
        <v>3</v>
      </c>
      <c r="N183">
        <v>2012</v>
      </c>
      <c r="O183" s="36">
        <v>40993</v>
      </c>
      <c r="P183">
        <v>13</v>
      </c>
      <c r="Q183">
        <v>5857</v>
      </c>
      <c r="R183">
        <v>585.70000000000005</v>
      </c>
      <c r="S183">
        <v>175.70999999999998</v>
      </c>
      <c r="T183">
        <v>5447.01</v>
      </c>
      <c r="U183" t="s">
        <v>1114</v>
      </c>
      <c r="V183" s="37">
        <v>0.05</v>
      </c>
    </row>
    <row r="184" spans="1:22" x14ac:dyDescent="0.2">
      <c r="A184">
        <v>1183</v>
      </c>
      <c r="B184" t="s">
        <v>380</v>
      </c>
      <c r="C184" t="s">
        <v>401</v>
      </c>
      <c r="D184" t="s">
        <v>1292</v>
      </c>
      <c r="E184" t="s">
        <v>33</v>
      </c>
      <c r="F184" t="s">
        <v>990</v>
      </c>
      <c r="G184" t="s">
        <v>18</v>
      </c>
      <c r="H184" t="s">
        <v>8</v>
      </c>
      <c r="I184" t="s">
        <v>198</v>
      </c>
      <c r="J184" t="s">
        <v>10</v>
      </c>
      <c r="K184" t="s">
        <v>672</v>
      </c>
      <c r="L184">
        <v>22</v>
      </c>
      <c r="M184">
        <v>9</v>
      </c>
      <c r="N184">
        <v>2004</v>
      </c>
      <c r="O184" s="36">
        <v>38252</v>
      </c>
      <c r="P184">
        <v>21</v>
      </c>
      <c r="Q184">
        <v>5278</v>
      </c>
      <c r="R184">
        <v>527.80000000000007</v>
      </c>
      <c r="S184">
        <v>158.34</v>
      </c>
      <c r="T184">
        <v>4908.54</v>
      </c>
      <c r="U184" t="s">
        <v>1114</v>
      </c>
      <c r="V184" s="37">
        <v>0.05</v>
      </c>
    </row>
    <row r="185" spans="1:22" x14ac:dyDescent="0.2">
      <c r="A185">
        <v>1184</v>
      </c>
      <c r="B185" t="s">
        <v>322</v>
      </c>
      <c r="C185" t="s">
        <v>402</v>
      </c>
      <c r="D185" t="s">
        <v>1293</v>
      </c>
      <c r="E185" t="s">
        <v>34</v>
      </c>
      <c r="F185" t="s">
        <v>991</v>
      </c>
      <c r="G185" t="s">
        <v>795</v>
      </c>
      <c r="H185" t="s">
        <v>11</v>
      </c>
      <c r="I185" t="s">
        <v>23</v>
      </c>
      <c r="J185" t="s">
        <v>12</v>
      </c>
      <c r="K185" t="s">
        <v>673</v>
      </c>
      <c r="L185">
        <v>21</v>
      </c>
      <c r="M185">
        <v>11</v>
      </c>
      <c r="N185">
        <v>2018</v>
      </c>
      <c r="O185" s="36">
        <v>43425</v>
      </c>
      <c r="P185">
        <v>7</v>
      </c>
      <c r="Q185">
        <v>5710</v>
      </c>
      <c r="R185">
        <v>571</v>
      </c>
      <c r="S185">
        <v>171.29999999999998</v>
      </c>
      <c r="T185">
        <v>5310.3</v>
      </c>
      <c r="U185" t="s">
        <v>1114</v>
      </c>
      <c r="V185" s="37">
        <v>0.05</v>
      </c>
    </row>
    <row r="186" spans="1:22" x14ac:dyDescent="0.2">
      <c r="A186">
        <v>1185</v>
      </c>
      <c r="B186" t="s">
        <v>62</v>
      </c>
      <c r="C186" t="s">
        <v>403</v>
      </c>
      <c r="D186" t="s">
        <v>1294</v>
      </c>
      <c r="E186" t="s">
        <v>34</v>
      </c>
      <c r="F186" t="s">
        <v>992</v>
      </c>
      <c r="G186" t="s">
        <v>13</v>
      </c>
      <c r="H186" t="s">
        <v>11</v>
      </c>
      <c r="I186" t="s">
        <v>15</v>
      </c>
      <c r="J186" t="s">
        <v>12</v>
      </c>
      <c r="K186" t="s">
        <v>674</v>
      </c>
      <c r="L186">
        <v>12</v>
      </c>
      <c r="M186">
        <v>2</v>
      </c>
      <c r="N186">
        <v>2018</v>
      </c>
      <c r="O186" s="36">
        <v>43143</v>
      </c>
      <c r="P186">
        <v>7</v>
      </c>
      <c r="Q186">
        <v>6145</v>
      </c>
      <c r="R186">
        <v>614.5</v>
      </c>
      <c r="S186">
        <v>184.35</v>
      </c>
      <c r="T186">
        <v>5714.85</v>
      </c>
      <c r="U186" t="s">
        <v>1114</v>
      </c>
      <c r="V186" s="37">
        <v>0.05</v>
      </c>
    </row>
    <row r="187" spans="1:22" x14ac:dyDescent="0.2">
      <c r="A187">
        <v>1186</v>
      </c>
      <c r="B187" t="s">
        <v>404</v>
      </c>
      <c r="C187" t="s">
        <v>405</v>
      </c>
      <c r="D187" t="s">
        <v>1295</v>
      </c>
      <c r="E187" t="s">
        <v>34</v>
      </c>
      <c r="F187" t="s">
        <v>993</v>
      </c>
      <c r="G187" t="s">
        <v>16</v>
      </c>
      <c r="H187" t="s">
        <v>14</v>
      </c>
      <c r="I187" t="s">
        <v>23</v>
      </c>
      <c r="J187" t="s">
        <v>10</v>
      </c>
      <c r="K187" t="s">
        <v>675</v>
      </c>
      <c r="L187">
        <v>16</v>
      </c>
      <c r="M187">
        <v>8</v>
      </c>
      <c r="N187">
        <v>1991</v>
      </c>
      <c r="O187" s="36">
        <v>33466</v>
      </c>
      <c r="P187">
        <v>34</v>
      </c>
      <c r="Q187">
        <v>5278</v>
      </c>
      <c r="R187">
        <v>527.80000000000007</v>
      </c>
      <c r="S187">
        <v>158.34</v>
      </c>
      <c r="T187">
        <v>4908.54</v>
      </c>
      <c r="U187" t="s">
        <v>1114</v>
      </c>
      <c r="V187" s="37">
        <v>0.05</v>
      </c>
    </row>
    <row r="188" spans="1:22" x14ac:dyDescent="0.2">
      <c r="A188">
        <v>1187</v>
      </c>
      <c r="B188" t="s">
        <v>406</v>
      </c>
      <c r="C188" t="s">
        <v>407</v>
      </c>
      <c r="D188" t="s">
        <v>1296</v>
      </c>
      <c r="E188" t="s">
        <v>34</v>
      </c>
      <c r="F188" t="s">
        <v>994</v>
      </c>
      <c r="G188" t="s">
        <v>795</v>
      </c>
      <c r="H188" t="s">
        <v>8</v>
      </c>
      <c r="I188" t="s">
        <v>9</v>
      </c>
      <c r="J188" t="s">
        <v>10</v>
      </c>
      <c r="K188" t="s">
        <v>676</v>
      </c>
      <c r="L188">
        <v>17</v>
      </c>
      <c r="M188">
        <v>1</v>
      </c>
      <c r="N188">
        <v>1992</v>
      </c>
      <c r="O188" s="36">
        <v>33620</v>
      </c>
      <c r="P188">
        <v>34</v>
      </c>
      <c r="Q188">
        <v>6548</v>
      </c>
      <c r="R188">
        <v>654.80000000000007</v>
      </c>
      <c r="S188">
        <v>196.44</v>
      </c>
      <c r="T188">
        <v>6089.6399999999994</v>
      </c>
      <c r="U188" t="s">
        <v>1111</v>
      </c>
      <c r="V188" s="37">
        <v>0.02</v>
      </c>
    </row>
    <row r="189" spans="1:22" x14ac:dyDescent="0.2">
      <c r="A189">
        <v>1188</v>
      </c>
      <c r="B189" t="s">
        <v>36</v>
      </c>
      <c r="C189" t="s">
        <v>367</v>
      </c>
      <c r="D189" t="s">
        <v>1297</v>
      </c>
      <c r="E189" t="s">
        <v>34</v>
      </c>
      <c r="F189" t="s">
        <v>995</v>
      </c>
      <c r="G189" t="s">
        <v>7</v>
      </c>
      <c r="H189" t="s">
        <v>11</v>
      </c>
      <c r="I189" t="s">
        <v>22</v>
      </c>
      <c r="J189" t="s">
        <v>10</v>
      </c>
      <c r="K189" t="s">
        <v>677</v>
      </c>
      <c r="L189">
        <v>3</v>
      </c>
      <c r="M189">
        <v>10</v>
      </c>
      <c r="N189">
        <v>1998</v>
      </c>
      <c r="O189" s="36">
        <v>36071</v>
      </c>
      <c r="P189">
        <v>27</v>
      </c>
      <c r="Q189">
        <v>7175</v>
      </c>
      <c r="R189">
        <v>717.5</v>
      </c>
      <c r="S189">
        <v>215.25</v>
      </c>
      <c r="T189">
        <v>6672.75</v>
      </c>
      <c r="U189" t="s">
        <v>1111</v>
      </c>
      <c r="V189" s="37">
        <v>0.02</v>
      </c>
    </row>
    <row r="190" spans="1:22" x14ac:dyDescent="0.2">
      <c r="A190">
        <v>1189</v>
      </c>
      <c r="B190" t="s">
        <v>408</v>
      </c>
      <c r="C190" t="s">
        <v>409</v>
      </c>
      <c r="D190" t="s">
        <v>1298</v>
      </c>
      <c r="E190" t="s">
        <v>34</v>
      </c>
      <c r="F190" t="s">
        <v>996</v>
      </c>
      <c r="G190" t="s">
        <v>13</v>
      </c>
      <c r="H190" t="s">
        <v>8</v>
      </c>
      <c r="I190" t="s">
        <v>9</v>
      </c>
      <c r="J190" t="s">
        <v>19</v>
      </c>
      <c r="K190" t="s">
        <v>678</v>
      </c>
      <c r="L190">
        <v>26</v>
      </c>
      <c r="M190">
        <v>9</v>
      </c>
      <c r="N190">
        <v>2017</v>
      </c>
      <c r="O190" s="36">
        <v>43004</v>
      </c>
      <c r="P190">
        <v>8</v>
      </c>
      <c r="Q190">
        <v>4070</v>
      </c>
      <c r="R190">
        <v>407</v>
      </c>
      <c r="S190">
        <v>122.1</v>
      </c>
      <c r="T190">
        <v>3785.1000000000004</v>
      </c>
      <c r="U190" t="s">
        <v>1114</v>
      </c>
      <c r="V190" s="37">
        <v>0.05</v>
      </c>
    </row>
    <row r="191" spans="1:22" x14ac:dyDescent="0.2">
      <c r="A191">
        <v>1190</v>
      </c>
      <c r="B191" t="s">
        <v>58</v>
      </c>
      <c r="C191" t="s">
        <v>410</v>
      </c>
      <c r="D191" t="s">
        <v>1299</v>
      </c>
      <c r="E191" t="s">
        <v>34</v>
      </c>
      <c r="F191" t="s">
        <v>997</v>
      </c>
      <c r="G191" t="s">
        <v>795</v>
      </c>
      <c r="H191" t="s">
        <v>8</v>
      </c>
      <c r="I191" t="s">
        <v>15</v>
      </c>
      <c r="J191" t="s">
        <v>19</v>
      </c>
      <c r="K191" t="s">
        <v>679</v>
      </c>
      <c r="L191">
        <v>22</v>
      </c>
      <c r="M191">
        <v>10</v>
      </c>
      <c r="N191">
        <v>1997</v>
      </c>
      <c r="O191" s="36">
        <v>35725</v>
      </c>
      <c r="P191">
        <v>28</v>
      </c>
      <c r="Q191">
        <v>1906</v>
      </c>
      <c r="R191">
        <v>190.60000000000002</v>
      </c>
      <c r="S191">
        <v>57.18</v>
      </c>
      <c r="T191">
        <v>1772.58</v>
      </c>
      <c r="U191" t="s">
        <v>1114</v>
      </c>
      <c r="V191" s="37">
        <v>0.08</v>
      </c>
    </row>
    <row r="192" spans="1:22" x14ac:dyDescent="0.2">
      <c r="A192">
        <v>1191</v>
      </c>
      <c r="B192" t="s">
        <v>247</v>
      </c>
      <c r="C192" t="s">
        <v>126</v>
      </c>
      <c r="D192" t="s">
        <v>1300</v>
      </c>
      <c r="E192" t="s">
        <v>33</v>
      </c>
      <c r="F192" t="s">
        <v>998</v>
      </c>
      <c r="G192" t="s">
        <v>16</v>
      </c>
      <c r="H192" t="s">
        <v>8</v>
      </c>
      <c r="I192" t="s">
        <v>15</v>
      </c>
      <c r="J192" t="s">
        <v>12</v>
      </c>
      <c r="K192" t="s">
        <v>680</v>
      </c>
      <c r="L192">
        <v>2</v>
      </c>
      <c r="M192">
        <v>4</v>
      </c>
      <c r="N192">
        <v>2000</v>
      </c>
      <c r="O192" s="36">
        <v>36618</v>
      </c>
      <c r="P192">
        <v>25</v>
      </c>
      <c r="Q192">
        <v>2600</v>
      </c>
      <c r="R192">
        <v>260</v>
      </c>
      <c r="S192">
        <v>78</v>
      </c>
      <c r="T192">
        <v>2418</v>
      </c>
      <c r="U192" t="s">
        <v>1114</v>
      </c>
      <c r="V192" s="37">
        <v>0.08</v>
      </c>
    </row>
    <row r="193" spans="1:22" x14ac:dyDescent="0.2">
      <c r="A193">
        <v>1192</v>
      </c>
      <c r="B193" t="s">
        <v>411</v>
      </c>
      <c r="C193" t="s">
        <v>412</v>
      </c>
      <c r="D193" t="s">
        <v>1301</v>
      </c>
      <c r="E193" t="s">
        <v>34</v>
      </c>
      <c r="F193" t="s">
        <v>999</v>
      </c>
      <c r="G193" t="s">
        <v>13</v>
      </c>
      <c r="H193" t="s">
        <v>20</v>
      </c>
      <c r="I193" t="s">
        <v>17</v>
      </c>
      <c r="J193" t="s">
        <v>21</v>
      </c>
      <c r="K193" t="s">
        <v>681</v>
      </c>
      <c r="L193">
        <v>25</v>
      </c>
      <c r="M193">
        <v>10</v>
      </c>
      <c r="N193">
        <v>1997</v>
      </c>
      <c r="O193" s="36">
        <v>35728</v>
      </c>
      <c r="P193">
        <v>28</v>
      </c>
      <c r="Q193">
        <v>3753</v>
      </c>
      <c r="R193">
        <v>375.3</v>
      </c>
      <c r="S193">
        <v>112.58999999999999</v>
      </c>
      <c r="T193">
        <v>3490.29</v>
      </c>
      <c r="U193" t="s">
        <v>1114</v>
      </c>
      <c r="V193" s="37">
        <v>0.05</v>
      </c>
    </row>
    <row r="194" spans="1:22" x14ac:dyDescent="0.2">
      <c r="A194">
        <v>1193</v>
      </c>
      <c r="B194" t="s">
        <v>406</v>
      </c>
      <c r="C194" t="s">
        <v>68</v>
      </c>
      <c r="D194" t="s">
        <v>1302</v>
      </c>
      <c r="E194" t="s">
        <v>33</v>
      </c>
      <c r="F194" t="s">
        <v>1000</v>
      </c>
      <c r="G194" t="s">
        <v>18</v>
      </c>
      <c r="H194" t="s">
        <v>11</v>
      </c>
      <c r="I194" t="s">
        <v>198</v>
      </c>
      <c r="J194" t="s">
        <v>10</v>
      </c>
      <c r="K194" t="s">
        <v>682</v>
      </c>
      <c r="L194">
        <v>4</v>
      </c>
      <c r="M194">
        <v>7</v>
      </c>
      <c r="N194">
        <v>2013</v>
      </c>
      <c r="O194" s="36">
        <v>41459</v>
      </c>
      <c r="P194">
        <v>12</v>
      </c>
      <c r="Q194">
        <v>5086</v>
      </c>
      <c r="R194">
        <v>508.6</v>
      </c>
      <c r="S194">
        <v>152.57999999999998</v>
      </c>
      <c r="T194">
        <v>4729.9799999999996</v>
      </c>
      <c r="U194" t="s">
        <v>1114</v>
      </c>
      <c r="V194" s="37">
        <v>0.05</v>
      </c>
    </row>
    <row r="195" spans="1:22" x14ac:dyDescent="0.2">
      <c r="A195">
        <v>1194</v>
      </c>
      <c r="B195" t="s">
        <v>413</v>
      </c>
      <c r="C195" t="s">
        <v>414</v>
      </c>
      <c r="D195" t="s">
        <v>1303</v>
      </c>
      <c r="E195" t="s">
        <v>33</v>
      </c>
      <c r="F195" t="s">
        <v>1001</v>
      </c>
      <c r="G195" t="s">
        <v>13</v>
      </c>
      <c r="H195" t="s">
        <v>11</v>
      </c>
      <c r="I195" t="s">
        <v>9</v>
      </c>
      <c r="J195" t="s">
        <v>19</v>
      </c>
      <c r="K195" t="s">
        <v>683</v>
      </c>
      <c r="L195">
        <v>9</v>
      </c>
      <c r="M195">
        <v>10</v>
      </c>
      <c r="N195">
        <v>2023</v>
      </c>
      <c r="O195" s="36">
        <v>45208</v>
      </c>
      <c r="P195">
        <v>2</v>
      </c>
      <c r="Q195">
        <v>2431</v>
      </c>
      <c r="R195">
        <v>243.10000000000002</v>
      </c>
      <c r="S195">
        <v>72.929999999999993</v>
      </c>
      <c r="T195">
        <v>2260.83</v>
      </c>
      <c r="U195" t="s">
        <v>1114</v>
      </c>
      <c r="V195" s="37">
        <v>0.08</v>
      </c>
    </row>
    <row r="196" spans="1:22" x14ac:dyDescent="0.2">
      <c r="A196">
        <v>1195</v>
      </c>
      <c r="B196" t="s">
        <v>393</v>
      </c>
      <c r="C196" t="s">
        <v>249</v>
      </c>
      <c r="D196" t="s">
        <v>1304</v>
      </c>
      <c r="E196" t="s">
        <v>34</v>
      </c>
      <c r="F196" t="s">
        <v>1002</v>
      </c>
      <c r="G196" t="s">
        <v>16</v>
      </c>
      <c r="H196" t="s">
        <v>8</v>
      </c>
      <c r="I196" t="s">
        <v>9</v>
      </c>
      <c r="J196" t="s">
        <v>12</v>
      </c>
      <c r="K196" t="s">
        <v>576</v>
      </c>
      <c r="L196">
        <v>8</v>
      </c>
      <c r="M196">
        <v>3</v>
      </c>
      <c r="N196">
        <v>2014</v>
      </c>
      <c r="O196" s="36">
        <v>41706</v>
      </c>
      <c r="P196">
        <v>11</v>
      </c>
      <c r="Q196">
        <v>2955</v>
      </c>
      <c r="R196">
        <v>295.5</v>
      </c>
      <c r="S196">
        <v>88.649999999999991</v>
      </c>
      <c r="T196">
        <v>2748.15</v>
      </c>
      <c r="U196" t="s">
        <v>1114</v>
      </c>
      <c r="V196" s="37">
        <v>0.08</v>
      </c>
    </row>
    <row r="197" spans="1:22" x14ac:dyDescent="0.2">
      <c r="A197">
        <v>1196</v>
      </c>
      <c r="B197" t="s">
        <v>413</v>
      </c>
      <c r="C197" t="s">
        <v>415</v>
      </c>
      <c r="D197" t="s">
        <v>1305</v>
      </c>
      <c r="E197" t="s">
        <v>33</v>
      </c>
      <c r="F197" t="s">
        <v>1003</v>
      </c>
      <c r="G197" t="s">
        <v>16</v>
      </c>
      <c r="H197" t="s">
        <v>8</v>
      </c>
      <c r="I197" t="s">
        <v>198</v>
      </c>
      <c r="J197" t="s">
        <v>19</v>
      </c>
      <c r="K197" t="s">
        <v>684</v>
      </c>
      <c r="L197">
        <v>20</v>
      </c>
      <c r="M197">
        <v>4</v>
      </c>
      <c r="N197">
        <v>2001</v>
      </c>
      <c r="O197" s="36">
        <v>37001</v>
      </c>
      <c r="P197">
        <v>24</v>
      </c>
      <c r="Q197">
        <v>1948</v>
      </c>
      <c r="R197">
        <v>194.8</v>
      </c>
      <c r="S197">
        <v>58.44</v>
      </c>
      <c r="T197">
        <v>1811.64</v>
      </c>
      <c r="U197" t="s">
        <v>1114</v>
      </c>
      <c r="V197" s="37">
        <v>0.08</v>
      </c>
    </row>
    <row r="198" spans="1:22" x14ac:dyDescent="0.2">
      <c r="A198">
        <v>1197</v>
      </c>
      <c r="B198" t="s">
        <v>416</v>
      </c>
      <c r="C198" t="s">
        <v>417</v>
      </c>
      <c r="D198" t="s">
        <v>1306</v>
      </c>
      <c r="E198" t="s">
        <v>34</v>
      </c>
      <c r="F198" t="s">
        <v>1004</v>
      </c>
      <c r="G198" t="s">
        <v>18</v>
      </c>
      <c r="H198" t="s">
        <v>11</v>
      </c>
      <c r="I198" t="s">
        <v>22</v>
      </c>
      <c r="J198" t="s">
        <v>10</v>
      </c>
      <c r="K198" t="s">
        <v>685</v>
      </c>
      <c r="L198">
        <v>26</v>
      </c>
      <c r="M198">
        <v>1</v>
      </c>
      <c r="N198">
        <v>1998</v>
      </c>
      <c r="O198" s="36">
        <v>35821</v>
      </c>
      <c r="P198">
        <v>27</v>
      </c>
      <c r="Q198">
        <v>3294</v>
      </c>
      <c r="R198">
        <v>329.40000000000003</v>
      </c>
      <c r="S198">
        <v>98.82</v>
      </c>
      <c r="T198">
        <v>3063.42</v>
      </c>
      <c r="U198" t="s">
        <v>1114</v>
      </c>
      <c r="V198" s="37">
        <v>0.05</v>
      </c>
    </row>
    <row r="199" spans="1:22" x14ac:dyDescent="0.2">
      <c r="A199">
        <v>1198</v>
      </c>
      <c r="B199" t="s">
        <v>301</v>
      </c>
      <c r="C199" t="s">
        <v>418</v>
      </c>
      <c r="D199" t="s">
        <v>1307</v>
      </c>
      <c r="E199" t="s">
        <v>34</v>
      </c>
      <c r="F199" t="s">
        <v>1005</v>
      </c>
      <c r="G199" t="s">
        <v>795</v>
      </c>
      <c r="H199" t="s">
        <v>11</v>
      </c>
      <c r="I199" t="s">
        <v>198</v>
      </c>
      <c r="J199" t="s">
        <v>10</v>
      </c>
      <c r="K199" t="s">
        <v>686</v>
      </c>
      <c r="L199">
        <v>26</v>
      </c>
      <c r="M199">
        <v>7</v>
      </c>
      <c r="N199">
        <v>2017</v>
      </c>
      <c r="O199" s="36">
        <v>42942</v>
      </c>
      <c r="P199">
        <v>8</v>
      </c>
      <c r="Q199">
        <v>7123</v>
      </c>
      <c r="R199">
        <v>712.30000000000007</v>
      </c>
      <c r="S199">
        <v>213.69</v>
      </c>
      <c r="T199">
        <v>6624.3899999999994</v>
      </c>
      <c r="U199" t="s">
        <v>1111</v>
      </c>
      <c r="V199" s="37">
        <v>0.02</v>
      </c>
    </row>
    <row r="200" spans="1:22" x14ac:dyDescent="0.2">
      <c r="A200">
        <v>1199</v>
      </c>
      <c r="B200" t="s">
        <v>419</v>
      </c>
      <c r="C200" t="s">
        <v>420</v>
      </c>
      <c r="D200" t="s">
        <v>1308</v>
      </c>
      <c r="E200" t="s">
        <v>34</v>
      </c>
      <c r="F200" t="s">
        <v>1006</v>
      </c>
      <c r="G200" t="s">
        <v>13</v>
      </c>
      <c r="H200" t="s">
        <v>20</v>
      </c>
      <c r="I200" t="s">
        <v>22</v>
      </c>
      <c r="J200" t="s">
        <v>12</v>
      </c>
      <c r="K200" t="s">
        <v>687</v>
      </c>
      <c r="L200">
        <v>6</v>
      </c>
      <c r="M200">
        <v>6</v>
      </c>
      <c r="N200">
        <v>2016</v>
      </c>
      <c r="O200" s="36">
        <v>42527</v>
      </c>
      <c r="P200">
        <v>9</v>
      </c>
      <c r="Q200">
        <v>7236</v>
      </c>
      <c r="R200">
        <v>723.6</v>
      </c>
      <c r="S200">
        <v>217.07999999999998</v>
      </c>
      <c r="T200">
        <v>6729.48</v>
      </c>
      <c r="U200" t="s">
        <v>1111</v>
      </c>
      <c r="V200" s="37">
        <v>0.02</v>
      </c>
    </row>
    <row r="201" spans="1:22" x14ac:dyDescent="0.2">
      <c r="A201">
        <v>1200</v>
      </c>
      <c r="B201" t="s">
        <v>421</v>
      </c>
      <c r="C201" t="s">
        <v>422</v>
      </c>
      <c r="D201" t="s">
        <v>1309</v>
      </c>
      <c r="E201" t="s">
        <v>34</v>
      </c>
      <c r="F201" t="s">
        <v>1007</v>
      </c>
      <c r="G201" t="s">
        <v>795</v>
      </c>
      <c r="H201" t="s">
        <v>8</v>
      </c>
      <c r="I201" t="s">
        <v>22</v>
      </c>
      <c r="J201" t="s">
        <v>10</v>
      </c>
      <c r="K201" t="s">
        <v>688</v>
      </c>
      <c r="L201">
        <v>20</v>
      </c>
      <c r="M201">
        <v>5</v>
      </c>
      <c r="N201">
        <v>1999</v>
      </c>
      <c r="O201" s="36">
        <v>36300</v>
      </c>
      <c r="P201">
        <v>26</v>
      </c>
      <c r="Q201">
        <v>6843</v>
      </c>
      <c r="R201">
        <v>684.30000000000007</v>
      </c>
      <c r="S201">
        <v>205.29</v>
      </c>
      <c r="T201">
        <v>6363.99</v>
      </c>
      <c r="U201" t="s">
        <v>1111</v>
      </c>
      <c r="V201" s="37">
        <v>0.02</v>
      </c>
    </row>
    <row r="202" spans="1:22" x14ac:dyDescent="0.2">
      <c r="A202">
        <v>1201</v>
      </c>
      <c r="B202" t="s">
        <v>423</v>
      </c>
      <c r="C202" t="s">
        <v>37</v>
      </c>
      <c r="D202" t="s">
        <v>1310</v>
      </c>
      <c r="E202" t="s">
        <v>33</v>
      </c>
      <c r="F202" t="s">
        <v>1008</v>
      </c>
      <c r="G202" t="s">
        <v>795</v>
      </c>
      <c r="H202" t="s">
        <v>8</v>
      </c>
      <c r="I202" t="s">
        <v>22</v>
      </c>
      <c r="J202" t="s">
        <v>10</v>
      </c>
      <c r="K202" t="s">
        <v>689</v>
      </c>
      <c r="L202">
        <v>25</v>
      </c>
      <c r="M202">
        <v>2</v>
      </c>
      <c r="N202">
        <v>2023</v>
      </c>
      <c r="O202" s="36">
        <v>44982</v>
      </c>
      <c r="P202">
        <v>2</v>
      </c>
      <c r="Q202">
        <v>1070</v>
      </c>
      <c r="R202">
        <v>107</v>
      </c>
      <c r="S202">
        <v>32.1</v>
      </c>
      <c r="T202">
        <v>995.09999999999991</v>
      </c>
      <c r="U202" t="s">
        <v>1114</v>
      </c>
      <c r="V202" s="37">
        <v>0.1</v>
      </c>
    </row>
    <row r="203" spans="1:22" x14ac:dyDescent="0.2">
      <c r="A203">
        <v>1202</v>
      </c>
      <c r="B203" t="s">
        <v>311</v>
      </c>
      <c r="C203" t="s">
        <v>424</v>
      </c>
      <c r="D203" t="s">
        <v>1311</v>
      </c>
      <c r="E203" t="s">
        <v>33</v>
      </c>
      <c r="F203" t="s">
        <v>1009</v>
      </c>
      <c r="G203" t="s">
        <v>13</v>
      </c>
      <c r="H203" t="s">
        <v>8</v>
      </c>
      <c r="I203" t="s">
        <v>22</v>
      </c>
      <c r="J203" t="s">
        <v>12</v>
      </c>
      <c r="K203" t="s">
        <v>690</v>
      </c>
      <c r="L203">
        <v>7</v>
      </c>
      <c r="M203">
        <v>9</v>
      </c>
      <c r="N203">
        <v>2011</v>
      </c>
      <c r="O203" s="36">
        <v>40793</v>
      </c>
      <c r="P203">
        <v>14</v>
      </c>
      <c r="Q203">
        <v>1493</v>
      </c>
      <c r="R203">
        <v>149.30000000000001</v>
      </c>
      <c r="S203">
        <v>44.79</v>
      </c>
      <c r="T203">
        <v>1388.49</v>
      </c>
      <c r="U203" t="s">
        <v>1114</v>
      </c>
      <c r="V203" s="37">
        <v>0.08</v>
      </c>
    </row>
    <row r="204" spans="1:22" x14ac:dyDescent="0.2">
      <c r="A204">
        <v>1203</v>
      </c>
      <c r="B204" t="s">
        <v>425</v>
      </c>
      <c r="C204" t="s">
        <v>426</v>
      </c>
      <c r="D204" t="s">
        <v>1312</v>
      </c>
      <c r="E204" t="s">
        <v>34</v>
      </c>
      <c r="F204" t="s">
        <v>1010</v>
      </c>
      <c r="G204" t="s">
        <v>18</v>
      </c>
      <c r="H204" t="s">
        <v>11</v>
      </c>
      <c r="I204" t="s">
        <v>22</v>
      </c>
      <c r="J204" t="s">
        <v>12</v>
      </c>
      <c r="K204" t="s">
        <v>691</v>
      </c>
      <c r="L204">
        <v>24</v>
      </c>
      <c r="M204">
        <v>12</v>
      </c>
      <c r="N204">
        <v>2001</v>
      </c>
      <c r="O204" s="36">
        <v>37249</v>
      </c>
      <c r="P204">
        <v>24</v>
      </c>
      <c r="Q204">
        <v>5857</v>
      </c>
      <c r="R204">
        <v>585.70000000000005</v>
      </c>
      <c r="S204">
        <v>175.70999999999998</v>
      </c>
      <c r="T204">
        <v>5447.01</v>
      </c>
      <c r="U204" t="s">
        <v>1114</v>
      </c>
      <c r="V204" s="37">
        <v>0.05</v>
      </c>
    </row>
    <row r="205" spans="1:22" x14ac:dyDescent="0.2">
      <c r="A205">
        <v>1204</v>
      </c>
      <c r="B205" t="s">
        <v>36</v>
      </c>
      <c r="C205" t="s">
        <v>427</v>
      </c>
      <c r="D205" t="s">
        <v>1313</v>
      </c>
      <c r="E205" t="s">
        <v>34</v>
      </c>
      <c r="F205" t="s">
        <v>1011</v>
      </c>
      <c r="G205" t="s">
        <v>18</v>
      </c>
      <c r="H205" t="s">
        <v>8</v>
      </c>
      <c r="I205" t="s">
        <v>198</v>
      </c>
      <c r="J205" t="s">
        <v>12</v>
      </c>
      <c r="K205" t="s">
        <v>692</v>
      </c>
      <c r="L205">
        <v>28</v>
      </c>
      <c r="M205">
        <v>5</v>
      </c>
      <c r="N205">
        <v>2003</v>
      </c>
      <c r="O205" s="36">
        <v>37769</v>
      </c>
      <c r="P205">
        <v>22</v>
      </c>
      <c r="Q205">
        <v>5278</v>
      </c>
      <c r="R205">
        <v>527.80000000000007</v>
      </c>
      <c r="S205">
        <v>158.34</v>
      </c>
      <c r="T205">
        <v>4908.54</v>
      </c>
      <c r="U205" t="s">
        <v>1114</v>
      </c>
      <c r="V205" s="37">
        <v>0.05</v>
      </c>
    </row>
    <row r="206" spans="1:22" x14ac:dyDescent="0.2">
      <c r="A206">
        <v>1205</v>
      </c>
      <c r="B206" t="s">
        <v>27</v>
      </c>
      <c r="C206" t="s">
        <v>428</v>
      </c>
      <c r="D206" t="s">
        <v>1314</v>
      </c>
      <c r="E206" t="s">
        <v>34</v>
      </c>
      <c r="F206" t="s">
        <v>1012</v>
      </c>
      <c r="G206" t="s">
        <v>795</v>
      </c>
      <c r="H206" t="s">
        <v>11</v>
      </c>
      <c r="I206" t="s">
        <v>23</v>
      </c>
      <c r="J206" t="s">
        <v>19</v>
      </c>
      <c r="K206" t="s">
        <v>693</v>
      </c>
      <c r="L206">
        <v>10</v>
      </c>
      <c r="M206">
        <v>9</v>
      </c>
      <c r="N206">
        <v>1995</v>
      </c>
      <c r="O206" s="36">
        <v>34952</v>
      </c>
      <c r="P206">
        <v>30</v>
      </c>
      <c r="Q206">
        <v>5710</v>
      </c>
      <c r="R206">
        <v>571</v>
      </c>
      <c r="S206">
        <v>171.29999999999998</v>
      </c>
      <c r="T206">
        <v>5310.3</v>
      </c>
      <c r="U206" t="s">
        <v>1114</v>
      </c>
      <c r="V206" s="37">
        <v>0.05</v>
      </c>
    </row>
    <row r="207" spans="1:22" x14ac:dyDescent="0.2">
      <c r="A207">
        <v>1206</v>
      </c>
      <c r="B207" t="s">
        <v>223</v>
      </c>
      <c r="C207" t="s">
        <v>210</v>
      </c>
      <c r="D207" t="s">
        <v>1315</v>
      </c>
      <c r="E207" t="s">
        <v>33</v>
      </c>
      <c r="F207" t="s">
        <v>1013</v>
      </c>
      <c r="G207" t="s">
        <v>13</v>
      </c>
      <c r="H207" t="s">
        <v>8</v>
      </c>
      <c r="I207" t="s">
        <v>15</v>
      </c>
      <c r="J207" t="s">
        <v>10</v>
      </c>
      <c r="K207" t="s">
        <v>559</v>
      </c>
      <c r="L207">
        <v>12</v>
      </c>
      <c r="M207">
        <v>1</v>
      </c>
      <c r="N207">
        <v>2011</v>
      </c>
      <c r="O207" s="36">
        <v>40555</v>
      </c>
      <c r="P207">
        <v>15</v>
      </c>
      <c r="Q207">
        <v>6145</v>
      </c>
      <c r="R207">
        <v>614.5</v>
      </c>
      <c r="S207">
        <v>184.35</v>
      </c>
      <c r="T207">
        <v>5714.85</v>
      </c>
      <c r="U207" t="s">
        <v>1114</v>
      </c>
      <c r="V207" s="37">
        <v>0.05</v>
      </c>
    </row>
    <row r="208" spans="1:22" x14ac:dyDescent="0.2">
      <c r="A208">
        <v>1207</v>
      </c>
      <c r="B208" t="s">
        <v>101</v>
      </c>
      <c r="C208" t="s">
        <v>429</v>
      </c>
      <c r="D208" t="s">
        <v>1316</v>
      </c>
      <c r="E208" t="s">
        <v>34</v>
      </c>
      <c r="F208" t="s">
        <v>1014</v>
      </c>
      <c r="G208" t="s">
        <v>16</v>
      </c>
      <c r="H208" t="s">
        <v>14</v>
      </c>
      <c r="I208" t="s">
        <v>23</v>
      </c>
      <c r="J208" t="s">
        <v>10</v>
      </c>
      <c r="K208" t="s">
        <v>694</v>
      </c>
      <c r="L208">
        <v>18</v>
      </c>
      <c r="M208">
        <v>5</v>
      </c>
      <c r="N208">
        <v>1990</v>
      </c>
      <c r="O208" s="36">
        <v>33011</v>
      </c>
      <c r="P208">
        <v>35</v>
      </c>
      <c r="Q208">
        <v>5278</v>
      </c>
      <c r="R208">
        <v>527.80000000000007</v>
      </c>
      <c r="S208">
        <v>158.34</v>
      </c>
      <c r="T208">
        <v>4908.54</v>
      </c>
      <c r="U208" t="s">
        <v>1114</v>
      </c>
      <c r="V208" s="37">
        <v>0.05</v>
      </c>
    </row>
    <row r="209" spans="1:22" x14ac:dyDescent="0.2">
      <c r="A209">
        <v>1208</v>
      </c>
      <c r="B209" t="s">
        <v>108</v>
      </c>
      <c r="C209" t="s">
        <v>430</v>
      </c>
      <c r="D209" t="s">
        <v>1317</v>
      </c>
      <c r="E209" t="s">
        <v>34</v>
      </c>
      <c r="F209" t="s">
        <v>1015</v>
      </c>
      <c r="G209" t="s">
        <v>16</v>
      </c>
      <c r="H209" t="s">
        <v>20</v>
      </c>
      <c r="I209" t="s">
        <v>9</v>
      </c>
      <c r="J209" t="s">
        <v>10</v>
      </c>
      <c r="K209" t="s">
        <v>695</v>
      </c>
      <c r="L209">
        <v>16</v>
      </c>
      <c r="M209">
        <v>10</v>
      </c>
      <c r="N209">
        <v>2021</v>
      </c>
      <c r="O209" s="36">
        <v>44485</v>
      </c>
      <c r="P209">
        <v>4</v>
      </c>
      <c r="Q209">
        <v>6409</v>
      </c>
      <c r="R209">
        <v>640.90000000000009</v>
      </c>
      <c r="S209">
        <v>192.26999999999998</v>
      </c>
      <c r="T209">
        <v>5960.3700000000008</v>
      </c>
      <c r="U209" t="s">
        <v>1114</v>
      </c>
      <c r="V209" s="37">
        <v>0.05</v>
      </c>
    </row>
    <row r="210" spans="1:22" x14ac:dyDescent="0.2">
      <c r="A210">
        <v>1209</v>
      </c>
      <c r="B210" t="s">
        <v>359</v>
      </c>
      <c r="C210" t="s">
        <v>431</v>
      </c>
      <c r="D210" t="s">
        <v>1318</v>
      </c>
      <c r="E210" t="s">
        <v>34</v>
      </c>
      <c r="F210" t="s">
        <v>1016</v>
      </c>
      <c r="G210" t="s">
        <v>13</v>
      </c>
      <c r="H210" t="s">
        <v>8</v>
      </c>
      <c r="I210" t="s">
        <v>9</v>
      </c>
      <c r="J210" t="s">
        <v>19</v>
      </c>
      <c r="K210" t="s">
        <v>696</v>
      </c>
      <c r="L210">
        <v>18</v>
      </c>
      <c r="M210">
        <v>11</v>
      </c>
      <c r="N210">
        <v>1996</v>
      </c>
      <c r="O210" s="36">
        <v>35387</v>
      </c>
      <c r="P210">
        <v>29</v>
      </c>
      <c r="Q210">
        <v>7478</v>
      </c>
      <c r="R210">
        <v>747.80000000000007</v>
      </c>
      <c r="S210">
        <v>224.34</v>
      </c>
      <c r="T210">
        <v>6954.54</v>
      </c>
      <c r="U210" t="s">
        <v>1111</v>
      </c>
      <c r="V210" s="37">
        <v>0.02</v>
      </c>
    </row>
    <row r="211" spans="1:22" x14ac:dyDescent="0.2">
      <c r="A211">
        <v>1210</v>
      </c>
      <c r="B211" t="s">
        <v>30</v>
      </c>
      <c r="C211" t="s">
        <v>266</v>
      </c>
      <c r="D211" t="s">
        <v>1319</v>
      </c>
      <c r="E211" t="s">
        <v>33</v>
      </c>
      <c r="F211" t="s">
        <v>1017</v>
      </c>
      <c r="G211" t="s">
        <v>795</v>
      </c>
      <c r="H211" t="s">
        <v>8</v>
      </c>
      <c r="I211" t="s">
        <v>9</v>
      </c>
      <c r="J211" t="s">
        <v>10</v>
      </c>
      <c r="K211" t="s">
        <v>697</v>
      </c>
      <c r="L211">
        <v>5</v>
      </c>
      <c r="M211">
        <v>4</v>
      </c>
      <c r="N211">
        <v>1991</v>
      </c>
      <c r="O211" s="36">
        <v>33333</v>
      </c>
      <c r="P211">
        <v>34</v>
      </c>
      <c r="Q211">
        <v>4621</v>
      </c>
      <c r="R211">
        <v>462.1</v>
      </c>
      <c r="S211">
        <v>138.63</v>
      </c>
      <c r="T211">
        <v>4297.53</v>
      </c>
      <c r="U211" t="s">
        <v>1114</v>
      </c>
      <c r="V211" s="37">
        <v>0.05</v>
      </c>
    </row>
    <row r="212" spans="1:22" x14ac:dyDescent="0.2">
      <c r="A212">
        <v>1211</v>
      </c>
      <c r="B212" t="s">
        <v>55</v>
      </c>
      <c r="C212" t="s">
        <v>432</v>
      </c>
      <c r="D212" t="s">
        <v>1320</v>
      </c>
      <c r="E212" t="s">
        <v>34</v>
      </c>
      <c r="F212" t="s">
        <v>1018</v>
      </c>
      <c r="G212" t="s">
        <v>16</v>
      </c>
      <c r="H212" t="s">
        <v>11</v>
      </c>
      <c r="I212" t="s">
        <v>24</v>
      </c>
      <c r="J212" t="s">
        <v>12</v>
      </c>
      <c r="K212" t="s">
        <v>698</v>
      </c>
      <c r="L212">
        <v>1</v>
      </c>
      <c r="M212">
        <v>2</v>
      </c>
      <c r="N212">
        <v>2019</v>
      </c>
      <c r="O212" s="36">
        <v>43497</v>
      </c>
      <c r="P212">
        <v>6</v>
      </c>
      <c r="Q212">
        <v>2093</v>
      </c>
      <c r="R212">
        <v>209.3</v>
      </c>
      <c r="S212">
        <v>62.79</v>
      </c>
      <c r="T212">
        <v>1946.49</v>
      </c>
      <c r="U212" t="s">
        <v>1114</v>
      </c>
      <c r="V212" s="37">
        <v>0.08</v>
      </c>
    </row>
    <row r="213" spans="1:22" x14ac:dyDescent="0.2">
      <c r="A213">
        <v>1212</v>
      </c>
      <c r="B213" t="s">
        <v>433</v>
      </c>
      <c r="C213" t="s">
        <v>434</v>
      </c>
      <c r="D213" t="s">
        <v>1321</v>
      </c>
      <c r="E213" t="s">
        <v>33</v>
      </c>
      <c r="F213" t="s">
        <v>1019</v>
      </c>
      <c r="G213" t="s">
        <v>795</v>
      </c>
      <c r="H213" t="s">
        <v>11</v>
      </c>
      <c r="I213" t="s">
        <v>198</v>
      </c>
      <c r="J213" t="s">
        <v>10</v>
      </c>
      <c r="K213" t="s">
        <v>699</v>
      </c>
      <c r="L213">
        <v>24</v>
      </c>
      <c r="M213">
        <v>8</v>
      </c>
      <c r="N213">
        <v>1995</v>
      </c>
      <c r="O213" s="36">
        <v>34935</v>
      </c>
      <c r="P213">
        <v>30</v>
      </c>
      <c r="Q213">
        <v>7333</v>
      </c>
      <c r="R213">
        <v>733.30000000000007</v>
      </c>
      <c r="S213">
        <v>219.98999999999998</v>
      </c>
      <c r="T213">
        <v>6819.69</v>
      </c>
      <c r="U213" t="s">
        <v>1111</v>
      </c>
      <c r="V213" s="37">
        <v>0.02</v>
      </c>
    </row>
    <row r="214" spans="1:22" x14ac:dyDescent="0.2">
      <c r="A214">
        <v>1213</v>
      </c>
      <c r="B214" t="s">
        <v>435</v>
      </c>
      <c r="C214" t="s">
        <v>436</v>
      </c>
      <c r="D214" t="s">
        <v>1322</v>
      </c>
      <c r="E214" t="s">
        <v>34</v>
      </c>
      <c r="F214" t="s">
        <v>1020</v>
      </c>
      <c r="G214" t="s">
        <v>16</v>
      </c>
      <c r="H214" t="s">
        <v>8</v>
      </c>
      <c r="I214" t="s">
        <v>15</v>
      </c>
      <c r="J214" t="s">
        <v>12</v>
      </c>
      <c r="K214" t="s">
        <v>700</v>
      </c>
      <c r="L214">
        <v>17</v>
      </c>
      <c r="M214">
        <v>4</v>
      </c>
      <c r="N214">
        <v>1996</v>
      </c>
      <c r="O214" s="36">
        <v>35172</v>
      </c>
      <c r="P214">
        <v>29</v>
      </c>
      <c r="Q214">
        <v>1194</v>
      </c>
      <c r="R214">
        <v>119.4</v>
      </c>
      <c r="S214">
        <v>35.82</v>
      </c>
      <c r="T214">
        <v>1110.4199999999998</v>
      </c>
      <c r="U214" t="s">
        <v>1114</v>
      </c>
      <c r="V214" s="37">
        <v>0.08</v>
      </c>
    </row>
    <row r="215" spans="1:22" x14ac:dyDescent="0.2">
      <c r="A215">
        <v>1214</v>
      </c>
      <c r="B215" t="s">
        <v>235</v>
      </c>
      <c r="C215" t="s">
        <v>437</v>
      </c>
      <c r="D215" t="s">
        <v>1323</v>
      </c>
      <c r="E215" t="s">
        <v>34</v>
      </c>
      <c r="F215" t="s">
        <v>1021</v>
      </c>
      <c r="G215" t="s">
        <v>7</v>
      </c>
      <c r="H215" t="s">
        <v>8</v>
      </c>
      <c r="I215" t="s">
        <v>15</v>
      </c>
      <c r="J215" t="s">
        <v>21</v>
      </c>
      <c r="K215" t="s">
        <v>701</v>
      </c>
      <c r="L215">
        <v>9</v>
      </c>
      <c r="M215">
        <v>2</v>
      </c>
      <c r="N215">
        <v>2002</v>
      </c>
      <c r="O215" s="36">
        <v>37296</v>
      </c>
      <c r="P215">
        <v>23</v>
      </c>
      <c r="Q215">
        <v>5118</v>
      </c>
      <c r="R215">
        <v>511.8</v>
      </c>
      <c r="S215">
        <v>153.54</v>
      </c>
      <c r="T215">
        <v>4759.74</v>
      </c>
      <c r="U215" t="s">
        <v>1114</v>
      </c>
      <c r="V215" s="37">
        <v>0.05</v>
      </c>
    </row>
    <row r="216" spans="1:22" x14ac:dyDescent="0.2">
      <c r="A216">
        <v>1215</v>
      </c>
      <c r="B216" t="s">
        <v>49</v>
      </c>
      <c r="C216" t="s">
        <v>50</v>
      </c>
      <c r="D216" t="s">
        <v>1324</v>
      </c>
      <c r="E216" t="s">
        <v>33</v>
      </c>
      <c r="F216" t="s">
        <v>1022</v>
      </c>
      <c r="G216" t="s">
        <v>16</v>
      </c>
      <c r="H216" t="s">
        <v>20</v>
      </c>
      <c r="I216" t="s">
        <v>25</v>
      </c>
      <c r="J216" t="s">
        <v>12</v>
      </c>
      <c r="K216" t="s">
        <v>152</v>
      </c>
      <c r="L216">
        <v>13</v>
      </c>
      <c r="M216">
        <v>1</v>
      </c>
      <c r="N216">
        <v>1996</v>
      </c>
      <c r="O216" s="36">
        <v>35077</v>
      </c>
      <c r="P216">
        <v>30</v>
      </c>
      <c r="Q216">
        <v>5373</v>
      </c>
      <c r="R216">
        <v>537.30000000000007</v>
      </c>
      <c r="S216">
        <v>161.19</v>
      </c>
      <c r="T216">
        <v>4996.8899999999994</v>
      </c>
      <c r="U216" t="s">
        <v>1114</v>
      </c>
      <c r="V216" s="37">
        <v>0.05</v>
      </c>
    </row>
    <row r="217" spans="1:22" x14ac:dyDescent="0.2">
      <c r="A217">
        <v>1216</v>
      </c>
      <c r="B217" t="s">
        <v>101</v>
      </c>
      <c r="C217" t="s">
        <v>438</v>
      </c>
      <c r="D217" t="s">
        <v>1325</v>
      </c>
      <c r="E217" t="s">
        <v>34</v>
      </c>
      <c r="F217" t="s">
        <v>1023</v>
      </c>
      <c r="G217" t="s">
        <v>16</v>
      </c>
      <c r="H217" t="s">
        <v>8</v>
      </c>
      <c r="I217" t="s">
        <v>26</v>
      </c>
      <c r="J217" t="s">
        <v>12</v>
      </c>
      <c r="K217" t="s">
        <v>702</v>
      </c>
      <c r="L217">
        <v>23</v>
      </c>
      <c r="M217">
        <v>3</v>
      </c>
      <c r="N217">
        <v>2005</v>
      </c>
      <c r="O217" s="36">
        <v>38434</v>
      </c>
      <c r="P217">
        <v>20</v>
      </c>
      <c r="Q217">
        <v>1708</v>
      </c>
      <c r="R217">
        <v>170.8</v>
      </c>
      <c r="S217">
        <v>51.239999999999995</v>
      </c>
      <c r="T217">
        <v>1588.44</v>
      </c>
      <c r="U217" t="s">
        <v>1114</v>
      </c>
      <c r="V217" s="37">
        <v>0.08</v>
      </c>
    </row>
    <row r="218" spans="1:22" x14ac:dyDescent="0.2">
      <c r="A218">
        <v>1217</v>
      </c>
      <c r="B218" t="s">
        <v>439</v>
      </c>
      <c r="C218" t="s">
        <v>440</v>
      </c>
      <c r="D218" t="s">
        <v>1326</v>
      </c>
      <c r="E218" t="s">
        <v>34</v>
      </c>
      <c r="F218" t="s">
        <v>1024</v>
      </c>
      <c r="G218" t="s">
        <v>18</v>
      </c>
      <c r="H218" t="s">
        <v>14</v>
      </c>
      <c r="I218" t="s">
        <v>198</v>
      </c>
      <c r="J218" t="s">
        <v>10</v>
      </c>
      <c r="K218" t="s">
        <v>703</v>
      </c>
      <c r="L218">
        <v>5</v>
      </c>
      <c r="M218">
        <v>1</v>
      </c>
      <c r="N218">
        <v>2016</v>
      </c>
      <c r="O218" s="36">
        <v>42374</v>
      </c>
      <c r="P218">
        <v>10</v>
      </c>
      <c r="Q218">
        <v>2898</v>
      </c>
      <c r="R218">
        <v>289.8</v>
      </c>
      <c r="S218">
        <v>86.94</v>
      </c>
      <c r="T218">
        <v>2695.14</v>
      </c>
      <c r="U218" t="s">
        <v>1114</v>
      </c>
      <c r="V218" s="37">
        <v>0.08</v>
      </c>
    </row>
    <row r="219" spans="1:22" x14ac:dyDescent="0.2">
      <c r="A219">
        <v>1218</v>
      </c>
      <c r="B219" t="s">
        <v>344</v>
      </c>
      <c r="C219" t="s">
        <v>286</v>
      </c>
      <c r="D219" t="s">
        <v>1327</v>
      </c>
      <c r="E219" t="s">
        <v>34</v>
      </c>
      <c r="F219" t="s">
        <v>1025</v>
      </c>
      <c r="G219" t="s">
        <v>7</v>
      </c>
      <c r="H219" t="s">
        <v>8</v>
      </c>
      <c r="I219" t="s">
        <v>23</v>
      </c>
      <c r="J219" t="s">
        <v>12</v>
      </c>
      <c r="K219" t="s">
        <v>704</v>
      </c>
      <c r="L219">
        <v>6</v>
      </c>
      <c r="M219">
        <v>11</v>
      </c>
      <c r="N219">
        <v>2010</v>
      </c>
      <c r="O219" s="36">
        <v>40488</v>
      </c>
      <c r="P219">
        <v>15</v>
      </c>
      <c r="Q219">
        <v>6211</v>
      </c>
      <c r="R219">
        <v>621.1</v>
      </c>
      <c r="S219">
        <v>186.32999999999998</v>
      </c>
      <c r="T219">
        <v>5776.23</v>
      </c>
      <c r="U219" t="s">
        <v>1114</v>
      </c>
      <c r="V219" s="37">
        <v>0.05</v>
      </c>
    </row>
    <row r="220" spans="1:22" x14ac:dyDescent="0.2">
      <c r="A220">
        <v>1219</v>
      </c>
      <c r="B220" t="s">
        <v>441</v>
      </c>
      <c r="C220" t="s">
        <v>442</v>
      </c>
      <c r="D220" t="s">
        <v>1328</v>
      </c>
      <c r="E220" t="s">
        <v>33</v>
      </c>
      <c r="F220" t="s">
        <v>1026</v>
      </c>
      <c r="G220" t="s">
        <v>18</v>
      </c>
      <c r="H220" t="s">
        <v>11</v>
      </c>
      <c r="I220" t="s">
        <v>9</v>
      </c>
      <c r="J220" t="s">
        <v>21</v>
      </c>
      <c r="K220" t="s">
        <v>705</v>
      </c>
      <c r="L220">
        <v>17</v>
      </c>
      <c r="M220">
        <v>9</v>
      </c>
      <c r="N220">
        <v>2018</v>
      </c>
      <c r="O220" s="36">
        <v>43360</v>
      </c>
      <c r="P220">
        <v>7</v>
      </c>
      <c r="Q220">
        <v>5976</v>
      </c>
      <c r="R220">
        <v>597.6</v>
      </c>
      <c r="S220">
        <v>179.28</v>
      </c>
      <c r="T220">
        <v>5557.6799999999994</v>
      </c>
      <c r="U220" t="s">
        <v>1114</v>
      </c>
      <c r="V220" s="37">
        <v>0.05</v>
      </c>
    </row>
    <row r="221" spans="1:22" x14ac:dyDescent="0.2">
      <c r="A221">
        <v>1220</v>
      </c>
      <c r="B221" t="s">
        <v>52</v>
      </c>
      <c r="C221" t="s">
        <v>443</v>
      </c>
      <c r="D221" t="s">
        <v>1329</v>
      </c>
      <c r="E221" t="s">
        <v>33</v>
      </c>
      <c r="F221" t="s">
        <v>1027</v>
      </c>
      <c r="G221" t="s">
        <v>18</v>
      </c>
      <c r="H221" t="s">
        <v>11</v>
      </c>
      <c r="I221" t="s">
        <v>9</v>
      </c>
      <c r="J221" t="s">
        <v>19</v>
      </c>
      <c r="K221" t="s">
        <v>706</v>
      </c>
      <c r="L221">
        <v>19</v>
      </c>
      <c r="M221">
        <v>7</v>
      </c>
      <c r="N221">
        <v>1992</v>
      </c>
      <c r="O221" s="36">
        <v>33804</v>
      </c>
      <c r="P221">
        <v>33</v>
      </c>
      <c r="Q221">
        <v>742</v>
      </c>
      <c r="R221">
        <v>74.2</v>
      </c>
      <c r="S221">
        <v>22.259999999999998</v>
      </c>
      <c r="T221">
        <v>690.06</v>
      </c>
      <c r="U221" t="s">
        <v>1114</v>
      </c>
      <c r="V221" s="37">
        <v>0.1</v>
      </c>
    </row>
    <row r="222" spans="1:22" x14ac:dyDescent="0.2">
      <c r="A222">
        <v>1221</v>
      </c>
      <c r="B222" t="s">
        <v>344</v>
      </c>
      <c r="C222" t="s">
        <v>57</v>
      </c>
      <c r="D222" t="s">
        <v>1330</v>
      </c>
      <c r="E222" t="s">
        <v>34</v>
      </c>
      <c r="F222" t="s">
        <v>1028</v>
      </c>
      <c r="G222" t="s">
        <v>13</v>
      </c>
      <c r="H222" t="s">
        <v>8</v>
      </c>
      <c r="I222" t="s">
        <v>24</v>
      </c>
      <c r="J222" t="s">
        <v>21</v>
      </c>
      <c r="K222" t="s">
        <v>707</v>
      </c>
      <c r="L222">
        <v>9</v>
      </c>
      <c r="M222">
        <v>9</v>
      </c>
      <c r="N222">
        <v>2014</v>
      </c>
      <c r="O222" s="36">
        <v>41891</v>
      </c>
      <c r="P222">
        <v>11</v>
      </c>
      <c r="Q222">
        <v>5918</v>
      </c>
      <c r="R222">
        <v>591.80000000000007</v>
      </c>
      <c r="S222">
        <v>177.54</v>
      </c>
      <c r="T222">
        <v>5503.74</v>
      </c>
      <c r="U222" t="s">
        <v>1114</v>
      </c>
      <c r="V222" s="37">
        <v>0.05</v>
      </c>
    </row>
    <row r="223" spans="1:22" x14ac:dyDescent="0.2">
      <c r="A223">
        <v>1222</v>
      </c>
      <c r="B223" t="s">
        <v>105</v>
      </c>
      <c r="C223" t="s">
        <v>444</v>
      </c>
      <c r="D223" t="s">
        <v>1331</v>
      </c>
      <c r="E223" t="s">
        <v>33</v>
      </c>
      <c r="F223" t="s">
        <v>1029</v>
      </c>
      <c r="G223" t="s">
        <v>13</v>
      </c>
      <c r="H223" t="s">
        <v>11</v>
      </c>
      <c r="I223" t="s">
        <v>15</v>
      </c>
      <c r="J223" t="s">
        <v>12</v>
      </c>
      <c r="K223" t="s">
        <v>708</v>
      </c>
      <c r="L223">
        <v>15</v>
      </c>
      <c r="M223">
        <v>6</v>
      </c>
      <c r="N223">
        <v>1996</v>
      </c>
      <c r="O223" s="36">
        <v>35231</v>
      </c>
      <c r="P223">
        <v>29</v>
      </c>
      <c r="Q223">
        <v>3074</v>
      </c>
      <c r="R223">
        <v>307.40000000000003</v>
      </c>
      <c r="S223">
        <v>92.22</v>
      </c>
      <c r="T223">
        <v>2858.8199999999997</v>
      </c>
      <c r="U223" t="s">
        <v>1114</v>
      </c>
      <c r="V223" s="37">
        <v>0.08</v>
      </c>
    </row>
    <row r="224" spans="1:22" x14ac:dyDescent="0.2">
      <c r="A224">
        <v>1223</v>
      </c>
      <c r="B224" t="s">
        <v>445</v>
      </c>
      <c r="C224" t="s">
        <v>36</v>
      </c>
      <c r="D224" t="s">
        <v>1332</v>
      </c>
      <c r="E224" t="s">
        <v>34</v>
      </c>
      <c r="F224" t="s">
        <v>1030</v>
      </c>
      <c r="G224" t="s">
        <v>18</v>
      </c>
      <c r="H224" t="s">
        <v>8</v>
      </c>
      <c r="I224" t="s">
        <v>9</v>
      </c>
      <c r="J224" t="s">
        <v>21</v>
      </c>
      <c r="K224" t="s">
        <v>161</v>
      </c>
      <c r="L224">
        <v>7</v>
      </c>
      <c r="M224">
        <v>8</v>
      </c>
      <c r="N224">
        <v>2007</v>
      </c>
      <c r="O224" s="36">
        <v>39301</v>
      </c>
      <c r="P224">
        <v>18</v>
      </c>
      <c r="Q224">
        <v>5688</v>
      </c>
      <c r="R224">
        <v>568.80000000000007</v>
      </c>
      <c r="S224">
        <v>170.64</v>
      </c>
      <c r="T224">
        <v>5289.84</v>
      </c>
      <c r="U224" t="s">
        <v>1114</v>
      </c>
      <c r="V224" s="37">
        <v>0.05</v>
      </c>
    </row>
    <row r="225" spans="1:22" x14ac:dyDescent="0.2">
      <c r="A225">
        <v>1224</v>
      </c>
      <c r="B225" t="s">
        <v>446</v>
      </c>
      <c r="C225" t="s">
        <v>447</v>
      </c>
      <c r="D225" t="s">
        <v>1333</v>
      </c>
      <c r="E225" t="s">
        <v>34</v>
      </c>
      <c r="F225" t="s">
        <v>1031</v>
      </c>
      <c r="G225" t="s">
        <v>13</v>
      </c>
      <c r="H225" t="s">
        <v>14</v>
      </c>
      <c r="I225" t="s">
        <v>9</v>
      </c>
      <c r="J225" t="s">
        <v>10</v>
      </c>
      <c r="K225" t="s">
        <v>709</v>
      </c>
      <c r="L225">
        <v>2</v>
      </c>
      <c r="M225">
        <v>9</v>
      </c>
      <c r="N225">
        <v>2001</v>
      </c>
      <c r="O225" s="36">
        <v>37136</v>
      </c>
      <c r="P225">
        <v>24</v>
      </c>
      <c r="Q225">
        <v>3362</v>
      </c>
      <c r="R225">
        <v>336.20000000000005</v>
      </c>
      <c r="S225">
        <v>100.86</v>
      </c>
      <c r="T225">
        <v>3126.66</v>
      </c>
      <c r="U225" t="s">
        <v>1114</v>
      </c>
      <c r="V225" s="37">
        <v>0.05</v>
      </c>
    </row>
    <row r="226" spans="1:22" x14ac:dyDescent="0.2">
      <c r="A226">
        <v>1225</v>
      </c>
      <c r="B226" t="s">
        <v>311</v>
      </c>
      <c r="C226" t="s">
        <v>448</v>
      </c>
      <c r="D226" t="s">
        <v>1334</v>
      </c>
      <c r="E226" t="s">
        <v>33</v>
      </c>
      <c r="F226" t="s">
        <v>1032</v>
      </c>
      <c r="G226" t="s">
        <v>16</v>
      </c>
      <c r="H226" t="s">
        <v>11</v>
      </c>
      <c r="I226" t="s">
        <v>9</v>
      </c>
      <c r="J226" t="s">
        <v>12</v>
      </c>
      <c r="K226" t="s">
        <v>710</v>
      </c>
      <c r="L226">
        <v>11</v>
      </c>
      <c r="M226">
        <v>2</v>
      </c>
      <c r="N226">
        <v>2017</v>
      </c>
      <c r="O226" s="36">
        <v>42777</v>
      </c>
      <c r="P226">
        <v>8</v>
      </c>
      <c r="Q226">
        <v>6043</v>
      </c>
      <c r="R226">
        <v>604.30000000000007</v>
      </c>
      <c r="S226">
        <v>181.29</v>
      </c>
      <c r="T226">
        <v>5619.99</v>
      </c>
      <c r="U226" t="s">
        <v>1114</v>
      </c>
      <c r="V226" s="37">
        <v>0.05</v>
      </c>
    </row>
    <row r="227" spans="1:22" x14ac:dyDescent="0.2">
      <c r="A227">
        <v>1226</v>
      </c>
      <c r="B227" t="s">
        <v>36</v>
      </c>
      <c r="C227" t="s">
        <v>265</v>
      </c>
      <c r="D227" t="s">
        <v>1335</v>
      </c>
      <c r="E227" t="s">
        <v>34</v>
      </c>
      <c r="F227" t="s">
        <v>1033</v>
      </c>
      <c r="G227" t="s">
        <v>16</v>
      </c>
      <c r="H227" t="s">
        <v>8</v>
      </c>
      <c r="I227" t="s">
        <v>9</v>
      </c>
      <c r="J227" t="s">
        <v>12</v>
      </c>
      <c r="K227" t="s">
        <v>585</v>
      </c>
      <c r="L227">
        <v>20</v>
      </c>
      <c r="M227">
        <v>1</v>
      </c>
      <c r="N227">
        <v>1992</v>
      </c>
      <c r="O227" s="36">
        <v>33623</v>
      </c>
      <c r="P227">
        <v>33</v>
      </c>
      <c r="Q227">
        <v>6260</v>
      </c>
      <c r="R227">
        <v>626</v>
      </c>
      <c r="S227">
        <v>187.79999999999998</v>
      </c>
      <c r="T227">
        <v>5821.8</v>
      </c>
      <c r="U227" t="s">
        <v>1114</v>
      </c>
      <c r="V227" s="37">
        <v>0.05</v>
      </c>
    </row>
    <row r="228" spans="1:22" x14ac:dyDescent="0.2">
      <c r="A228">
        <v>1227</v>
      </c>
      <c r="B228" t="s">
        <v>449</v>
      </c>
      <c r="C228" t="s">
        <v>450</v>
      </c>
      <c r="D228" t="s">
        <v>1336</v>
      </c>
      <c r="E228" t="s">
        <v>34</v>
      </c>
      <c r="F228" t="s">
        <v>1034</v>
      </c>
      <c r="G228" t="s">
        <v>16</v>
      </c>
      <c r="H228" t="s">
        <v>8</v>
      </c>
      <c r="I228" t="s">
        <v>9</v>
      </c>
      <c r="J228" t="s">
        <v>21</v>
      </c>
      <c r="K228" t="s">
        <v>711</v>
      </c>
      <c r="L228">
        <v>17</v>
      </c>
      <c r="M228">
        <v>7</v>
      </c>
      <c r="N228">
        <v>2017</v>
      </c>
      <c r="O228" s="36">
        <v>42933</v>
      </c>
      <c r="P228">
        <v>8</v>
      </c>
      <c r="Q228">
        <v>3754</v>
      </c>
      <c r="R228">
        <v>375.40000000000003</v>
      </c>
      <c r="S228">
        <v>112.61999999999999</v>
      </c>
      <c r="T228">
        <v>3491.22</v>
      </c>
      <c r="U228" t="s">
        <v>1114</v>
      </c>
      <c r="V228" s="37">
        <v>0.05</v>
      </c>
    </row>
    <row r="229" spans="1:22" x14ac:dyDescent="0.2">
      <c r="A229">
        <v>1228</v>
      </c>
      <c r="B229" t="s">
        <v>451</v>
      </c>
      <c r="C229" t="s">
        <v>452</v>
      </c>
      <c r="D229" t="s">
        <v>1337</v>
      </c>
      <c r="E229" t="s">
        <v>33</v>
      </c>
      <c r="F229" t="s">
        <v>1035</v>
      </c>
      <c r="G229" t="s">
        <v>13</v>
      </c>
      <c r="H229" t="s">
        <v>14</v>
      </c>
      <c r="I229" t="s">
        <v>22</v>
      </c>
      <c r="J229" t="s">
        <v>12</v>
      </c>
      <c r="K229" t="s">
        <v>712</v>
      </c>
      <c r="L229">
        <v>21</v>
      </c>
      <c r="M229">
        <v>11</v>
      </c>
      <c r="N229">
        <v>2013</v>
      </c>
      <c r="O229" s="36">
        <v>41599</v>
      </c>
      <c r="P229">
        <v>12</v>
      </c>
      <c r="Q229">
        <v>6579</v>
      </c>
      <c r="R229">
        <v>657.90000000000009</v>
      </c>
      <c r="S229">
        <v>197.37</v>
      </c>
      <c r="T229">
        <v>6118.4699999999993</v>
      </c>
      <c r="U229" t="s">
        <v>1111</v>
      </c>
      <c r="V229" s="37">
        <v>0.02</v>
      </c>
    </row>
    <row r="230" spans="1:22" x14ac:dyDescent="0.2">
      <c r="A230">
        <v>1229</v>
      </c>
      <c r="B230" t="s">
        <v>326</v>
      </c>
      <c r="C230" t="s">
        <v>453</v>
      </c>
      <c r="D230" t="s">
        <v>1338</v>
      </c>
      <c r="E230" t="s">
        <v>34</v>
      </c>
      <c r="F230" t="s">
        <v>1036</v>
      </c>
      <c r="G230" t="s">
        <v>16</v>
      </c>
      <c r="H230" t="s">
        <v>14</v>
      </c>
      <c r="I230" t="s">
        <v>17</v>
      </c>
      <c r="J230" t="s">
        <v>12</v>
      </c>
      <c r="K230" t="s">
        <v>713</v>
      </c>
      <c r="L230">
        <v>23</v>
      </c>
      <c r="M230">
        <v>10</v>
      </c>
      <c r="N230">
        <v>2012</v>
      </c>
      <c r="O230" s="36">
        <v>41205</v>
      </c>
      <c r="P230">
        <v>13</v>
      </c>
      <c r="Q230">
        <v>5373</v>
      </c>
      <c r="R230">
        <v>537.30000000000007</v>
      </c>
      <c r="S230">
        <v>161.19</v>
      </c>
      <c r="T230">
        <v>4996.8899999999994</v>
      </c>
      <c r="U230" t="s">
        <v>1114</v>
      </c>
      <c r="V230" s="37">
        <v>0.05</v>
      </c>
    </row>
    <row r="231" spans="1:22" x14ac:dyDescent="0.2">
      <c r="A231">
        <v>1230</v>
      </c>
      <c r="B231" t="s">
        <v>454</v>
      </c>
      <c r="C231" t="s">
        <v>455</v>
      </c>
      <c r="D231" t="s">
        <v>1339</v>
      </c>
      <c r="E231" t="s">
        <v>33</v>
      </c>
      <c r="F231" t="s">
        <v>1037</v>
      </c>
      <c r="G231" t="s">
        <v>13</v>
      </c>
      <c r="H231" t="s">
        <v>11</v>
      </c>
      <c r="I231" t="s">
        <v>15</v>
      </c>
      <c r="J231" t="s">
        <v>10</v>
      </c>
      <c r="K231" t="s">
        <v>714</v>
      </c>
      <c r="L231">
        <v>7</v>
      </c>
      <c r="M231">
        <v>9</v>
      </c>
      <c r="N231">
        <v>1995</v>
      </c>
      <c r="O231" s="36">
        <v>34949</v>
      </c>
      <c r="P231">
        <v>30</v>
      </c>
      <c r="Q231">
        <v>1391</v>
      </c>
      <c r="R231">
        <v>139.1</v>
      </c>
      <c r="S231">
        <v>41.73</v>
      </c>
      <c r="T231">
        <v>1293.6300000000001</v>
      </c>
      <c r="U231" t="s">
        <v>1114</v>
      </c>
      <c r="V231" s="37">
        <v>0.08</v>
      </c>
    </row>
    <row r="232" spans="1:22" x14ac:dyDescent="0.2">
      <c r="A232">
        <v>1231</v>
      </c>
      <c r="B232" t="s">
        <v>36</v>
      </c>
      <c r="C232" t="s">
        <v>456</v>
      </c>
      <c r="D232" t="s">
        <v>1340</v>
      </c>
      <c r="E232" t="s">
        <v>34</v>
      </c>
      <c r="F232" t="s">
        <v>1038</v>
      </c>
      <c r="G232" t="s">
        <v>16</v>
      </c>
      <c r="H232" t="s">
        <v>11</v>
      </c>
      <c r="I232" t="s">
        <v>198</v>
      </c>
      <c r="J232" t="s">
        <v>10</v>
      </c>
      <c r="K232" t="s">
        <v>715</v>
      </c>
      <c r="L232">
        <v>1</v>
      </c>
      <c r="M232">
        <v>7</v>
      </c>
      <c r="N232">
        <v>2019</v>
      </c>
      <c r="O232" s="36">
        <v>43647</v>
      </c>
      <c r="P232">
        <v>6</v>
      </c>
      <c r="Q232">
        <v>2528</v>
      </c>
      <c r="R232">
        <v>252.8</v>
      </c>
      <c r="S232">
        <v>75.84</v>
      </c>
      <c r="T232">
        <v>2351.04</v>
      </c>
      <c r="U232" t="s">
        <v>1114</v>
      </c>
      <c r="V232" s="37">
        <v>0.08</v>
      </c>
    </row>
    <row r="233" spans="1:22" x14ac:dyDescent="0.2">
      <c r="A233">
        <v>1232</v>
      </c>
      <c r="B233" t="s">
        <v>457</v>
      </c>
      <c r="C233" t="s">
        <v>458</v>
      </c>
      <c r="D233" t="s">
        <v>1341</v>
      </c>
      <c r="E233" t="s">
        <v>34</v>
      </c>
      <c r="F233" t="s">
        <v>1039</v>
      </c>
      <c r="G233" t="s">
        <v>16</v>
      </c>
      <c r="H233" t="s">
        <v>8</v>
      </c>
      <c r="I233" t="s">
        <v>26</v>
      </c>
      <c r="J233" t="s">
        <v>21</v>
      </c>
      <c r="K233" t="s">
        <v>716</v>
      </c>
      <c r="L233">
        <v>3</v>
      </c>
      <c r="M233">
        <v>9</v>
      </c>
      <c r="N233">
        <v>1997</v>
      </c>
      <c r="O233" s="36">
        <v>35676</v>
      </c>
      <c r="P233">
        <v>28</v>
      </c>
      <c r="Q233">
        <v>6040</v>
      </c>
      <c r="R233">
        <v>604</v>
      </c>
      <c r="S233">
        <v>181.2</v>
      </c>
      <c r="T233">
        <v>5617.2</v>
      </c>
      <c r="U233" t="s">
        <v>1114</v>
      </c>
      <c r="V233" s="37">
        <v>0.05</v>
      </c>
    </row>
    <row r="234" spans="1:22" x14ac:dyDescent="0.2">
      <c r="A234">
        <v>1233</v>
      </c>
      <c r="B234" t="s">
        <v>459</v>
      </c>
      <c r="C234" t="s">
        <v>460</v>
      </c>
      <c r="D234" t="s">
        <v>1342</v>
      </c>
      <c r="E234" t="s">
        <v>33</v>
      </c>
      <c r="F234" t="s">
        <v>1040</v>
      </c>
      <c r="G234" t="s">
        <v>795</v>
      </c>
      <c r="H234" t="s">
        <v>11</v>
      </c>
      <c r="I234" t="s">
        <v>17</v>
      </c>
      <c r="J234" t="s">
        <v>12</v>
      </c>
      <c r="K234" t="s">
        <v>717</v>
      </c>
      <c r="L234">
        <v>10</v>
      </c>
      <c r="M234">
        <v>10</v>
      </c>
      <c r="N234">
        <v>1990</v>
      </c>
      <c r="O234" s="36">
        <v>33156</v>
      </c>
      <c r="P234">
        <v>35</v>
      </c>
      <c r="Q234">
        <v>3842</v>
      </c>
      <c r="R234">
        <v>384.20000000000005</v>
      </c>
      <c r="S234">
        <v>115.25999999999999</v>
      </c>
      <c r="T234">
        <v>3573.0600000000004</v>
      </c>
      <c r="U234" t="s">
        <v>1114</v>
      </c>
      <c r="V234" s="37">
        <v>0.05</v>
      </c>
    </row>
    <row r="235" spans="1:22" x14ac:dyDescent="0.2">
      <c r="A235">
        <v>1234</v>
      </c>
      <c r="B235" t="s">
        <v>36</v>
      </c>
      <c r="C235" t="s">
        <v>461</v>
      </c>
      <c r="D235" t="s">
        <v>1343</v>
      </c>
      <c r="E235" t="s">
        <v>34</v>
      </c>
      <c r="F235" t="s">
        <v>1041</v>
      </c>
      <c r="G235" t="s">
        <v>16</v>
      </c>
      <c r="H235" t="s">
        <v>8</v>
      </c>
      <c r="I235" t="s">
        <v>198</v>
      </c>
      <c r="J235" t="s">
        <v>10</v>
      </c>
      <c r="K235" t="s">
        <v>718</v>
      </c>
      <c r="L235">
        <v>9</v>
      </c>
      <c r="M235">
        <v>1</v>
      </c>
      <c r="N235">
        <v>2010</v>
      </c>
      <c r="O235" s="36">
        <v>40187</v>
      </c>
      <c r="P235">
        <v>16</v>
      </c>
      <c r="Q235">
        <v>1542</v>
      </c>
      <c r="R235">
        <v>154.20000000000002</v>
      </c>
      <c r="S235">
        <v>46.26</v>
      </c>
      <c r="T235">
        <v>1434.06</v>
      </c>
      <c r="U235" t="s">
        <v>1114</v>
      </c>
      <c r="V235" s="37">
        <v>0.08</v>
      </c>
    </row>
    <row r="236" spans="1:22" x14ac:dyDescent="0.2">
      <c r="A236">
        <v>1235</v>
      </c>
      <c r="B236" t="s">
        <v>462</v>
      </c>
      <c r="C236" t="s">
        <v>463</v>
      </c>
      <c r="D236" t="s">
        <v>1344</v>
      </c>
      <c r="E236" t="s">
        <v>33</v>
      </c>
      <c r="F236" t="s">
        <v>1042</v>
      </c>
      <c r="G236" t="s">
        <v>16</v>
      </c>
      <c r="H236" t="s">
        <v>8</v>
      </c>
      <c r="I236" t="s">
        <v>9</v>
      </c>
      <c r="J236" t="s">
        <v>19</v>
      </c>
      <c r="K236" t="s">
        <v>719</v>
      </c>
      <c r="L236">
        <v>15</v>
      </c>
      <c r="M236">
        <v>2</v>
      </c>
      <c r="N236">
        <v>2012</v>
      </c>
      <c r="O236" s="36">
        <v>40954</v>
      </c>
      <c r="P236">
        <v>13</v>
      </c>
      <c r="Q236">
        <v>3134</v>
      </c>
      <c r="R236">
        <v>313.40000000000003</v>
      </c>
      <c r="S236">
        <v>94.02</v>
      </c>
      <c r="T236">
        <v>2914.62</v>
      </c>
      <c r="U236" t="s">
        <v>1114</v>
      </c>
      <c r="V236" s="37">
        <v>0.08</v>
      </c>
    </row>
    <row r="237" spans="1:22" x14ac:dyDescent="0.2">
      <c r="A237">
        <v>1236</v>
      </c>
      <c r="B237" t="s">
        <v>357</v>
      </c>
      <c r="C237" t="s">
        <v>464</v>
      </c>
      <c r="D237" t="s">
        <v>1345</v>
      </c>
      <c r="E237" t="s">
        <v>33</v>
      </c>
      <c r="F237" t="s">
        <v>1043</v>
      </c>
      <c r="G237" t="s">
        <v>16</v>
      </c>
      <c r="H237" t="s">
        <v>8</v>
      </c>
      <c r="I237" t="s">
        <v>22</v>
      </c>
      <c r="J237" t="s">
        <v>12</v>
      </c>
      <c r="K237" t="s">
        <v>720</v>
      </c>
      <c r="L237">
        <v>11</v>
      </c>
      <c r="M237">
        <v>6</v>
      </c>
      <c r="N237">
        <v>2012</v>
      </c>
      <c r="O237" s="36">
        <v>41071</v>
      </c>
      <c r="P237">
        <v>13</v>
      </c>
      <c r="Q237">
        <v>4921</v>
      </c>
      <c r="R237">
        <v>492.1</v>
      </c>
      <c r="S237">
        <v>147.63</v>
      </c>
      <c r="T237">
        <v>4576.53</v>
      </c>
      <c r="U237" t="s">
        <v>1114</v>
      </c>
      <c r="V237" s="37">
        <v>0.05</v>
      </c>
    </row>
    <row r="238" spans="1:22" x14ac:dyDescent="0.2">
      <c r="A238">
        <v>1237</v>
      </c>
      <c r="B238" t="s">
        <v>465</v>
      </c>
      <c r="C238" t="s">
        <v>466</v>
      </c>
      <c r="D238" t="s">
        <v>1346</v>
      </c>
      <c r="E238" t="s">
        <v>34</v>
      </c>
      <c r="F238" t="s">
        <v>1044</v>
      </c>
      <c r="G238" t="s">
        <v>16</v>
      </c>
      <c r="H238" t="s">
        <v>8</v>
      </c>
      <c r="I238" t="s">
        <v>198</v>
      </c>
      <c r="J238" t="s">
        <v>10</v>
      </c>
      <c r="K238" t="s">
        <v>721</v>
      </c>
      <c r="L238">
        <v>22</v>
      </c>
      <c r="M238">
        <v>4</v>
      </c>
      <c r="N238">
        <v>2017</v>
      </c>
      <c r="O238" s="36">
        <v>42847</v>
      </c>
      <c r="P238">
        <v>8</v>
      </c>
      <c r="Q238">
        <v>1948</v>
      </c>
      <c r="R238">
        <v>194.8</v>
      </c>
      <c r="S238">
        <v>58.44</v>
      </c>
      <c r="T238">
        <v>1811.64</v>
      </c>
      <c r="U238" t="s">
        <v>1114</v>
      </c>
      <c r="V238" s="37">
        <v>0.08</v>
      </c>
    </row>
    <row r="239" spans="1:22" x14ac:dyDescent="0.2">
      <c r="A239">
        <v>1238</v>
      </c>
      <c r="B239" t="s">
        <v>467</v>
      </c>
      <c r="C239" t="s">
        <v>468</v>
      </c>
      <c r="D239" t="s">
        <v>1347</v>
      </c>
      <c r="E239" t="s">
        <v>33</v>
      </c>
      <c r="F239" t="s">
        <v>1045</v>
      </c>
      <c r="G239" t="s">
        <v>18</v>
      </c>
      <c r="H239" t="s">
        <v>11</v>
      </c>
      <c r="I239" t="s">
        <v>22</v>
      </c>
      <c r="J239" t="s">
        <v>10</v>
      </c>
      <c r="K239" t="s">
        <v>722</v>
      </c>
      <c r="L239">
        <v>28</v>
      </c>
      <c r="M239">
        <v>2</v>
      </c>
      <c r="N239">
        <v>1990</v>
      </c>
      <c r="O239" s="36">
        <v>32932</v>
      </c>
      <c r="P239">
        <v>35</v>
      </c>
      <c r="Q239">
        <v>3294</v>
      </c>
      <c r="R239">
        <v>329.40000000000003</v>
      </c>
      <c r="S239">
        <v>98.82</v>
      </c>
      <c r="T239">
        <v>3063.42</v>
      </c>
      <c r="U239" t="s">
        <v>1114</v>
      </c>
      <c r="V239" s="37">
        <v>0.05</v>
      </c>
    </row>
    <row r="240" spans="1:22" x14ac:dyDescent="0.2">
      <c r="A240">
        <v>1239</v>
      </c>
      <c r="B240" t="s">
        <v>469</v>
      </c>
      <c r="C240" t="s">
        <v>470</v>
      </c>
      <c r="D240" t="s">
        <v>1348</v>
      </c>
      <c r="E240" t="s">
        <v>33</v>
      </c>
      <c r="F240" t="s">
        <v>1046</v>
      </c>
      <c r="G240" t="s">
        <v>795</v>
      </c>
      <c r="H240" t="s">
        <v>8</v>
      </c>
      <c r="I240" t="s">
        <v>198</v>
      </c>
      <c r="J240" t="s">
        <v>21</v>
      </c>
      <c r="K240" t="s">
        <v>723</v>
      </c>
      <c r="L240">
        <v>11</v>
      </c>
      <c r="M240">
        <v>6</v>
      </c>
      <c r="N240">
        <v>2002</v>
      </c>
      <c r="O240" s="36">
        <v>37418</v>
      </c>
      <c r="P240">
        <v>23</v>
      </c>
      <c r="Q240">
        <v>7123</v>
      </c>
      <c r="R240">
        <v>712.30000000000007</v>
      </c>
      <c r="S240">
        <v>213.69</v>
      </c>
      <c r="T240">
        <v>6624.3899999999994</v>
      </c>
      <c r="U240" t="s">
        <v>1111</v>
      </c>
      <c r="V240" s="37">
        <v>0.02</v>
      </c>
    </row>
    <row r="241" spans="1:22" x14ac:dyDescent="0.2">
      <c r="A241">
        <v>1240</v>
      </c>
      <c r="B241" t="s">
        <v>36</v>
      </c>
      <c r="C241" t="s">
        <v>471</v>
      </c>
      <c r="D241" t="s">
        <v>1349</v>
      </c>
      <c r="E241" t="s">
        <v>34</v>
      </c>
      <c r="F241" t="s">
        <v>1047</v>
      </c>
      <c r="G241" t="s">
        <v>13</v>
      </c>
      <c r="H241" t="s">
        <v>11</v>
      </c>
      <c r="I241" t="s">
        <v>22</v>
      </c>
      <c r="J241" t="s">
        <v>21</v>
      </c>
      <c r="K241" t="s">
        <v>724</v>
      </c>
      <c r="L241">
        <v>22</v>
      </c>
      <c r="M241">
        <v>5</v>
      </c>
      <c r="N241">
        <v>2014</v>
      </c>
      <c r="O241" s="36">
        <v>41781</v>
      </c>
      <c r="P241">
        <v>11</v>
      </c>
      <c r="Q241">
        <v>7236</v>
      </c>
      <c r="R241">
        <v>723.6</v>
      </c>
      <c r="S241">
        <v>217.07999999999998</v>
      </c>
      <c r="T241">
        <v>6729.48</v>
      </c>
      <c r="U241" t="s">
        <v>1111</v>
      </c>
      <c r="V241" s="37">
        <v>0.02</v>
      </c>
    </row>
    <row r="242" spans="1:22" x14ac:dyDescent="0.2">
      <c r="A242">
        <v>1241</v>
      </c>
      <c r="B242" t="s">
        <v>472</v>
      </c>
      <c r="C242" t="s">
        <v>473</v>
      </c>
      <c r="D242" t="s">
        <v>1350</v>
      </c>
      <c r="E242" t="s">
        <v>34</v>
      </c>
      <c r="F242" t="s">
        <v>1048</v>
      </c>
      <c r="G242" t="s">
        <v>795</v>
      </c>
      <c r="H242" t="s">
        <v>11</v>
      </c>
      <c r="I242" t="s">
        <v>22</v>
      </c>
      <c r="J242" t="s">
        <v>19</v>
      </c>
      <c r="K242" t="s">
        <v>725</v>
      </c>
      <c r="L242">
        <v>10</v>
      </c>
      <c r="M242">
        <v>12</v>
      </c>
      <c r="N242">
        <v>1991</v>
      </c>
      <c r="O242" s="36">
        <v>33582</v>
      </c>
      <c r="P242">
        <v>34</v>
      </c>
      <c r="Q242">
        <v>6843</v>
      </c>
      <c r="R242">
        <v>684.30000000000007</v>
      </c>
      <c r="S242">
        <v>205.29</v>
      </c>
      <c r="T242">
        <v>6363.99</v>
      </c>
      <c r="U242" t="s">
        <v>1111</v>
      </c>
      <c r="V242" s="37">
        <v>0.02</v>
      </c>
    </row>
    <row r="243" spans="1:22" x14ac:dyDescent="0.2">
      <c r="A243">
        <v>1242</v>
      </c>
      <c r="B243" t="s">
        <v>60</v>
      </c>
      <c r="C243" t="s">
        <v>474</v>
      </c>
      <c r="D243" t="s">
        <v>1351</v>
      </c>
      <c r="E243" t="s">
        <v>34</v>
      </c>
      <c r="F243" t="s">
        <v>1049</v>
      </c>
      <c r="G243" t="s">
        <v>795</v>
      </c>
      <c r="H243" t="s">
        <v>8</v>
      </c>
      <c r="I243" t="s">
        <v>22</v>
      </c>
      <c r="J243" t="s">
        <v>10</v>
      </c>
      <c r="K243" t="s">
        <v>726</v>
      </c>
      <c r="L243">
        <v>15</v>
      </c>
      <c r="M243">
        <v>9</v>
      </c>
      <c r="N243">
        <v>2022</v>
      </c>
      <c r="O243" s="36">
        <v>44819</v>
      </c>
      <c r="P243">
        <v>3</v>
      </c>
      <c r="Q243">
        <v>1070</v>
      </c>
      <c r="R243">
        <v>107</v>
      </c>
      <c r="S243">
        <v>32.1</v>
      </c>
      <c r="T243">
        <v>995.09999999999991</v>
      </c>
      <c r="U243" t="s">
        <v>1114</v>
      </c>
      <c r="V243" s="37">
        <v>0.1</v>
      </c>
    </row>
    <row r="244" spans="1:22" x14ac:dyDescent="0.2">
      <c r="A244">
        <v>1243</v>
      </c>
      <c r="B244" t="s">
        <v>113</v>
      </c>
      <c r="C244" t="s">
        <v>422</v>
      </c>
      <c r="D244" t="s">
        <v>1352</v>
      </c>
      <c r="E244" t="s">
        <v>34</v>
      </c>
      <c r="F244" t="s">
        <v>1050</v>
      </c>
      <c r="G244" t="s">
        <v>13</v>
      </c>
      <c r="H244" t="s">
        <v>8</v>
      </c>
      <c r="I244" t="s">
        <v>22</v>
      </c>
      <c r="J244" t="s">
        <v>12</v>
      </c>
      <c r="K244" t="s">
        <v>688</v>
      </c>
      <c r="L244">
        <v>18</v>
      </c>
      <c r="M244">
        <v>12</v>
      </c>
      <c r="N244">
        <v>2017</v>
      </c>
      <c r="O244" s="36">
        <v>43087</v>
      </c>
      <c r="P244">
        <v>8</v>
      </c>
      <c r="Q244">
        <v>1493</v>
      </c>
      <c r="R244">
        <v>149.30000000000001</v>
      </c>
      <c r="S244">
        <v>44.79</v>
      </c>
      <c r="T244">
        <v>1388.49</v>
      </c>
      <c r="U244" t="s">
        <v>1114</v>
      </c>
      <c r="V244" s="37">
        <v>0.08</v>
      </c>
    </row>
    <row r="245" spans="1:22" x14ac:dyDescent="0.2">
      <c r="A245">
        <v>1244</v>
      </c>
      <c r="B245" t="s">
        <v>475</v>
      </c>
      <c r="C245" t="s">
        <v>476</v>
      </c>
      <c r="D245" t="s">
        <v>1353</v>
      </c>
      <c r="E245" t="s">
        <v>34</v>
      </c>
      <c r="F245" t="s">
        <v>1051</v>
      </c>
      <c r="G245" t="s">
        <v>18</v>
      </c>
      <c r="H245" t="s">
        <v>11</v>
      </c>
      <c r="I245" t="s">
        <v>22</v>
      </c>
      <c r="J245" t="s">
        <v>21</v>
      </c>
      <c r="K245" t="s">
        <v>727</v>
      </c>
      <c r="L245">
        <v>21</v>
      </c>
      <c r="M245">
        <v>7</v>
      </c>
      <c r="N245">
        <v>2000</v>
      </c>
      <c r="O245" s="36">
        <v>36728</v>
      </c>
      <c r="P245">
        <v>25</v>
      </c>
      <c r="Q245">
        <v>5857</v>
      </c>
      <c r="R245">
        <v>585.70000000000005</v>
      </c>
      <c r="S245">
        <v>175.70999999999998</v>
      </c>
      <c r="T245">
        <v>5447.01</v>
      </c>
      <c r="U245" t="s">
        <v>1114</v>
      </c>
      <c r="V245" s="37">
        <v>0.05</v>
      </c>
    </row>
    <row r="246" spans="1:22" x14ac:dyDescent="0.2">
      <c r="A246">
        <v>1245</v>
      </c>
      <c r="B246" t="s">
        <v>408</v>
      </c>
      <c r="C246" t="s">
        <v>477</v>
      </c>
      <c r="D246" t="s">
        <v>1354</v>
      </c>
      <c r="E246" t="s">
        <v>34</v>
      </c>
      <c r="F246" t="s">
        <v>1052</v>
      </c>
      <c r="G246" t="s">
        <v>18</v>
      </c>
      <c r="H246" t="s">
        <v>8</v>
      </c>
      <c r="I246" t="s">
        <v>198</v>
      </c>
      <c r="J246" t="s">
        <v>19</v>
      </c>
      <c r="K246" t="s">
        <v>728</v>
      </c>
      <c r="L246">
        <v>3</v>
      </c>
      <c r="M246">
        <v>12</v>
      </c>
      <c r="N246">
        <v>2002</v>
      </c>
      <c r="O246" s="36">
        <v>37593</v>
      </c>
      <c r="P246">
        <v>23</v>
      </c>
      <c r="Q246">
        <v>5278</v>
      </c>
      <c r="R246">
        <v>527.80000000000007</v>
      </c>
      <c r="S246">
        <v>158.34</v>
      </c>
      <c r="T246">
        <v>4908.54</v>
      </c>
      <c r="U246" t="s">
        <v>1114</v>
      </c>
      <c r="V246" s="37">
        <v>0.05</v>
      </c>
    </row>
    <row r="247" spans="1:22" x14ac:dyDescent="0.2">
      <c r="A247">
        <v>1246</v>
      </c>
      <c r="B247" t="s">
        <v>478</v>
      </c>
      <c r="C247" t="s">
        <v>479</v>
      </c>
      <c r="D247" t="s">
        <v>1355</v>
      </c>
      <c r="E247" t="s">
        <v>34</v>
      </c>
      <c r="F247" t="s">
        <v>1053</v>
      </c>
      <c r="G247" t="s">
        <v>795</v>
      </c>
      <c r="H247" t="s">
        <v>11</v>
      </c>
      <c r="I247" t="s">
        <v>23</v>
      </c>
      <c r="J247" t="s">
        <v>12</v>
      </c>
      <c r="K247" t="s">
        <v>729</v>
      </c>
      <c r="L247">
        <v>14</v>
      </c>
      <c r="M247">
        <v>6</v>
      </c>
      <c r="N247">
        <v>1994</v>
      </c>
      <c r="O247" s="36">
        <v>34499</v>
      </c>
      <c r="P247">
        <v>31</v>
      </c>
      <c r="Q247">
        <v>5710</v>
      </c>
      <c r="R247">
        <v>571</v>
      </c>
      <c r="S247">
        <v>171.29999999999998</v>
      </c>
      <c r="T247">
        <v>5310.3</v>
      </c>
      <c r="U247" t="s">
        <v>1114</v>
      </c>
      <c r="V247" s="37">
        <v>0.05</v>
      </c>
    </row>
    <row r="248" spans="1:22" x14ac:dyDescent="0.2">
      <c r="A248">
        <v>1247</v>
      </c>
      <c r="B248" t="s">
        <v>480</v>
      </c>
      <c r="C248" t="s">
        <v>481</v>
      </c>
      <c r="D248" t="s">
        <v>1356</v>
      </c>
      <c r="E248" t="s">
        <v>33</v>
      </c>
      <c r="F248" t="s">
        <v>1054</v>
      </c>
      <c r="G248" t="s">
        <v>13</v>
      </c>
      <c r="H248" t="s">
        <v>8</v>
      </c>
      <c r="I248" t="s">
        <v>15</v>
      </c>
      <c r="J248" t="s">
        <v>12</v>
      </c>
      <c r="K248" t="s">
        <v>730</v>
      </c>
      <c r="L248">
        <v>25</v>
      </c>
      <c r="M248">
        <v>7</v>
      </c>
      <c r="N248">
        <v>2022</v>
      </c>
      <c r="O248" s="36">
        <v>44767</v>
      </c>
      <c r="P248">
        <v>3</v>
      </c>
      <c r="Q248">
        <v>6145</v>
      </c>
      <c r="R248">
        <v>614.5</v>
      </c>
      <c r="S248">
        <v>184.35</v>
      </c>
      <c r="T248">
        <v>5714.85</v>
      </c>
      <c r="U248" t="s">
        <v>1114</v>
      </c>
      <c r="V248" s="37">
        <v>0.05</v>
      </c>
    </row>
    <row r="249" spans="1:22" x14ac:dyDescent="0.2">
      <c r="A249">
        <v>1248</v>
      </c>
      <c r="B249" t="s">
        <v>482</v>
      </c>
      <c r="C249" t="s">
        <v>483</v>
      </c>
      <c r="D249" t="s">
        <v>1357</v>
      </c>
      <c r="E249" t="s">
        <v>33</v>
      </c>
      <c r="F249" t="s">
        <v>1055</v>
      </c>
      <c r="G249" t="s">
        <v>16</v>
      </c>
      <c r="H249" t="s">
        <v>14</v>
      </c>
      <c r="I249" t="s">
        <v>23</v>
      </c>
      <c r="J249" t="s">
        <v>12</v>
      </c>
      <c r="K249" t="s">
        <v>731</v>
      </c>
      <c r="L249">
        <v>4</v>
      </c>
      <c r="M249">
        <v>6</v>
      </c>
      <c r="N249">
        <v>2003</v>
      </c>
      <c r="O249" s="36">
        <v>37776</v>
      </c>
      <c r="P249">
        <v>22</v>
      </c>
      <c r="Q249">
        <v>5278</v>
      </c>
      <c r="R249">
        <v>527.80000000000007</v>
      </c>
      <c r="S249">
        <v>158.34</v>
      </c>
      <c r="T249">
        <v>4908.54</v>
      </c>
      <c r="U249" t="s">
        <v>1114</v>
      </c>
      <c r="V249" s="37">
        <v>0.05</v>
      </c>
    </row>
    <row r="250" spans="1:22" x14ac:dyDescent="0.2">
      <c r="A250">
        <v>1249</v>
      </c>
      <c r="B250" t="s">
        <v>39</v>
      </c>
      <c r="C250" t="s">
        <v>484</v>
      </c>
      <c r="D250" t="s">
        <v>1358</v>
      </c>
      <c r="E250" t="s">
        <v>33</v>
      </c>
      <c r="F250" t="s">
        <v>1056</v>
      </c>
      <c r="G250" t="s">
        <v>795</v>
      </c>
      <c r="H250" t="s">
        <v>11</v>
      </c>
      <c r="I250" t="s">
        <v>9</v>
      </c>
      <c r="J250" t="s">
        <v>10</v>
      </c>
      <c r="K250" t="s">
        <v>732</v>
      </c>
      <c r="L250">
        <v>15</v>
      </c>
      <c r="M250">
        <v>7</v>
      </c>
      <c r="N250">
        <v>2002</v>
      </c>
      <c r="O250" s="36">
        <v>37452</v>
      </c>
      <c r="P250">
        <v>23</v>
      </c>
      <c r="Q250">
        <v>6548</v>
      </c>
      <c r="R250">
        <v>654.80000000000007</v>
      </c>
      <c r="S250">
        <v>196.44</v>
      </c>
      <c r="T250">
        <v>6089.6399999999994</v>
      </c>
      <c r="U250" t="s">
        <v>1111</v>
      </c>
      <c r="V250" s="37">
        <v>0.02</v>
      </c>
    </row>
    <row r="251" spans="1:22" x14ac:dyDescent="0.2">
      <c r="A251">
        <v>1250</v>
      </c>
      <c r="B251" t="s">
        <v>39</v>
      </c>
      <c r="C251" t="s">
        <v>485</v>
      </c>
      <c r="D251" t="s">
        <v>1359</v>
      </c>
      <c r="E251" t="s">
        <v>33</v>
      </c>
      <c r="F251" t="s">
        <v>1057</v>
      </c>
      <c r="G251" t="s">
        <v>7</v>
      </c>
      <c r="H251" t="s">
        <v>8</v>
      </c>
      <c r="I251" t="s">
        <v>22</v>
      </c>
      <c r="J251" t="s">
        <v>21</v>
      </c>
      <c r="K251" t="s">
        <v>733</v>
      </c>
      <c r="L251">
        <v>26</v>
      </c>
      <c r="M251">
        <v>10</v>
      </c>
      <c r="N251">
        <v>2012</v>
      </c>
      <c r="O251" s="36">
        <v>41208</v>
      </c>
      <c r="P251">
        <v>13</v>
      </c>
      <c r="Q251">
        <v>7175</v>
      </c>
      <c r="R251">
        <v>717.5</v>
      </c>
      <c r="S251">
        <v>215.25</v>
      </c>
      <c r="T251">
        <v>6672.75</v>
      </c>
      <c r="U251" t="s">
        <v>1111</v>
      </c>
      <c r="V251" s="37">
        <v>0.02</v>
      </c>
    </row>
    <row r="252" spans="1:22" x14ac:dyDescent="0.2">
      <c r="A252">
        <v>1251</v>
      </c>
      <c r="B252" t="s">
        <v>486</v>
      </c>
      <c r="C252" t="s">
        <v>487</v>
      </c>
      <c r="D252" t="s">
        <v>1360</v>
      </c>
      <c r="E252" t="s">
        <v>34</v>
      </c>
      <c r="F252" t="s">
        <v>1058</v>
      </c>
      <c r="G252" t="s">
        <v>13</v>
      </c>
      <c r="H252" t="s">
        <v>11</v>
      </c>
      <c r="I252" t="s">
        <v>9</v>
      </c>
      <c r="J252" t="s">
        <v>12</v>
      </c>
      <c r="K252" t="s">
        <v>734</v>
      </c>
      <c r="L252">
        <v>2</v>
      </c>
      <c r="M252">
        <v>1</v>
      </c>
      <c r="N252">
        <v>2008</v>
      </c>
      <c r="O252" s="36">
        <v>39449</v>
      </c>
      <c r="P252">
        <v>18</v>
      </c>
      <c r="Q252">
        <v>4070</v>
      </c>
      <c r="R252">
        <v>407</v>
      </c>
      <c r="S252">
        <v>122.1</v>
      </c>
      <c r="T252">
        <v>3785.1000000000004</v>
      </c>
      <c r="U252" t="s">
        <v>1114</v>
      </c>
      <c r="V252" s="37">
        <v>0.05</v>
      </c>
    </row>
    <row r="253" spans="1:22" x14ac:dyDescent="0.2">
      <c r="A253">
        <v>1252</v>
      </c>
      <c r="B253" t="s">
        <v>488</v>
      </c>
      <c r="C253" t="s">
        <v>489</v>
      </c>
      <c r="D253" t="s">
        <v>1361</v>
      </c>
      <c r="E253" t="s">
        <v>33</v>
      </c>
      <c r="F253" t="s">
        <v>1059</v>
      </c>
      <c r="G253" t="s">
        <v>795</v>
      </c>
      <c r="H253" t="s">
        <v>14</v>
      </c>
      <c r="I253" t="s">
        <v>15</v>
      </c>
      <c r="J253" t="s">
        <v>10</v>
      </c>
      <c r="K253" t="s">
        <v>735</v>
      </c>
      <c r="L253">
        <v>16</v>
      </c>
      <c r="M253">
        <v>1</v>
      </c>
      <c r="N253">
        <v>2008</v>
      </c>
      <c r="O253" s="36">
        <v>39463</v>
      </c>
      <c r="P253">
        <v>18</v>
      </c>
      <c r="Q253">
        <v>1906</v>
      </c>
      <c r="R253">
        <v>190.60000000000002</v>
      </c>
      <c r="S253">
        <v>57.18</v>
      </c>
      <c r="T253">
        <v>1772.58</v>
      </c>
      <c r="U253" t="s">
        <v>1114</v>
      </c>
      <c r="V253" s="37">
        <v>0.08</v>
      </c>
    </row>
    <row r="254" spans="1:22" x14ac:dyDescent="0.2">
      <c r="A254">
        <v>1253</v>
      </c>
      <c r="B254" t="s">
        <v>490</v>
      </c>
      <c r="C254" t="s">
        <v>491</v>
      </c>
      <c r="D254" t="s">
        <v>1362</v>
      </c>
      <c r="E254" t="s">
        <v>34</v>
      </c>
      <c r="F254" t="s">
        <v>1060</v>
      </c>
      <c r="G254" t="s">
        <v>16</v>
      </c>
      <c r="H254" t="s">
        <v>20</v>
      </c>
      <c r="I254" t="s">
        <v>15</v>
      </c>
      <c r="J254" t="s">
        <v>12</v>
      </c>
      <c r="K254" t="s">
        <v>736</v>
      </c>
      <c r="L254">
        <v>12</v>
      </c>
      <c r="M254">
        <v>3</v>
      </c>
      <c r="N254">
        <v>1991</v>
      </c>
      <c r="O254" s="36">
        <v>33309</v>
      </c>
      <c r="P254">
        <v>34</v>
      </c>
      <c r="Q254">
        <v>2600</v>
      </c>
      <c r="R254">
        <v>260</v>
      </c>
      <c r="S254">
        <v>78</v>
      </c>
      <c r="T254">
        <v>2418</v>
      </c>
      <c r="U254" t="s">
        <v>1114</v>
      </c>
      <c r="V254" s="37">
        <v>0.08</v>
      </c>
    </row>
    <row r="255" spans="1:22" x14ac:dyDescent="0.2">
      <c r="A255">
        <v>1254</v>
      </c>
      <c r="B255" t="s">
        <v>72</v>
      </c>
      <c r="C255" t="s">
        <v>492</v>
      </c>
      <c r="D255" t="s">
        <v>1363</v>
      </c>
      <c r="E255" t="s">
        <v>33</v>
      </c>
      <c r="F255" t="s">
        <v>1061</v>
      </c>
      <c r="G255" t="s">
        <v>13</v>
      </c>
      <c r="H255" t="s">
        <v>11</v>
      </c>
      <c r="I255" t="s">
        <v>17</v>
      </c>
      <c r="J255" t="s">
        <v>10</v>
      </c>
      <c r="K255" t="s">
        <v>737</v>
      </c>
      <c r="L255">
        <v>9</v>
      </c>
      <c r="M255">
        <v>6</v>
      </c>
      <c r="N255">
        <v>2015</v>
      </c>
      <c r="O255" s="36">
        <v>42164</v>
      </c>
      <c r="P255">
        <v>10</v>
      </c>
      <c r="Q255">
        <v>3753</v>
      </c>
      <c r="R255">
        <v>375.3</v>
      </c>
      <c r="S255">
        <v>112.58999999999999</v>
      </c>
      <c r="T255">
        <v>3490.29</v>
      </c>
      <c r="U255" t="s">
        <v>1114</v>
      </c>
      <c r="V255" s="37">
        <v>0.05</v>
      </c>
    </row>
    <row r="256" spans="1:22" x14ac:dyDescent="0.2">
      <c r="A256">
        <v>1255</v>
      </c>
      <c r="B256" t="s">
        <v>30</v>
      </c>
      <c r="C256" t="s">
        <v>493</v>
      </c>
      <c r="D256" t="s">
        <v>1364</v>
      </c>
      <c r="E256" t="s">
        <v>33</v>
      </c>
      <c r="F256" t="s">
        <v>1062</v>
      </c>
      <c r="G256" t="s">
        <v>18</v>
      </c>
      <c r="H256" t="s">
        <v>8</v>
      </c>
      <c r="I256" t="s">
        <v>198</v>
      </c>
      <c r="J256" t="s">
        <v>19</v>
      </c>
      <c r="K256" t="s">
        <v>738</v>
      </c>
      <c r="L256">
        <v>24</v>
      </c>
      <c r="M256">
        <v>4</v>
      </c>
      <c r="N256">
        <v>1991</v>
      </c>
      <c r="O256" s="36">
        <v>33352</v>
      </c>
      <c r="P256">
        <v>34</v>
      </c>
      <c r="Q256">
        <v>5086</v>
      </c>
      <c r="R256">
        <v>508.6</v>
      </c>
      <c r="S256">
        <v>152.57999999999998</v>
      </c>
      <c r="T256">
        <v>4729.9799999999996</v>
      </c>
      <c r="U256" t="s">
        <v>1114</v>
      </c>
      <c r="V256" s="37">
        <v>0.05</v>
      </c>
    </row>
    <row r="257" spans="1:22" x14ac:dyDescent="0.2">
      <c r="A257">
        <v>1256</v>
      </c>
      <c r="B257" t="s">
        <v>494</v>
      </c>
      <c r="C257" t="s">
        <v>495</v>
      </c>
      <c r="D257" t="s">
        <v>1365</v>
      </c>
      <c r="E257" t="s">
        <v>34</v>
      </c>
      <c r="F257" t="s">
        <v>1063</v>
      </c>
      <c r="G257" t="s">
        <v>13</v>
      </c>
      <c r="H257" t="s">
        <v>8</v>
      </c>
      <c r="I257" t="s">
        <v>9</v>
      </c>
      <c r="J257" t="s">
        <v>10</v>
      </c>
      <c r="K257" t="s">
        <v>739</v>
      </c>
      <c r="L257">
        <v>22</v>
      </c>
      <c r="M257">
        <v>5</v>
      </c>
      <c r="N257">
        <v>2006</v>
      </c>
      <c r="O257" s="36">
        <v>38859</v>
      </c>
      <c r="P257">
        <v>19</v>
      </c>
      <c r="Q257">
        <v>2431</v>
      </c>
      <c r="R257">
        <v>243.10000000000002</v>
      </c>
      <c r="S257">
        <v>72.929999999999993</v>
      </c>
      <c r="T257">
        <v>2260.83</v>
      </c>
      <c r="U257" t="s">
        <v>1114</v>
      </c>
      <c r="V257" s="37">
        <v>0.08</v>
      </c>
    </row>
    <row r="258" spans="1:22" x14ac:dyDescent="0.2">
      <c r="A258">
        <v>1257</v>
      </c>
      <c r="B258" t="s">
        <v>496</v>
      </c>
      <c r="C258" t="s">
        <v>497</v>
      </c>
      <c r="D258" t="s">
        <v>1366</v>
      </c>
      <c r="E258" t="s">
        <v>33</v>
      </c>
      <c r="F258" t="s">
        <v>1064</v>
      </c>
      <c r="G258" t="s">
        <v>16</v>
      </c>
      <c r="H258" t="s">
        <v>20</v>
      </c>
      <c r="I258" t="s">
        <v>9</v>
      </c>
      <c r="J258" t="s">
        <v>21</v>
      </c>
      <c r="K258" t="s">
        <v>740</v>
      </c>
      <c r="L258">
        <v>9</v>
      </c>
      <c r="M258">
        <v>10</v>
      </c>
      <c r="N258">
        <v>1992</v>
      </c>
      <c r="O258" s="36">
        <v>33886</v>
      </c>
      <c r="P258">
        <v>33</v>
      </c>
      <c r="Q258">
        <v>2955</v>
      </c>
      <c r="R258">
        <v>295.5</v>
      </c>
      <c r="S258">
        <v>88.649999999999991</v>
      </c>
      <c r="T258">
        <v>2748.15</v>
      </c>
      <c r="U258" t="s">
        <v>1114</v>
      </c>
      <c r="V258" s="37">
        <v>0.08</v>
      </c>
    </row>
    <row r="259" spans="1:22" x14ac:dyDescent="0.2">
      <c r="A259">
        <v>1258</v>
      </c>
      <c r="B259" t="s">
        <v>465</v>
      </c>
      <c r="C259" t="s">
        <v>498</v>
      </c>
      <c r="D259" t="s">
        <v>1367</v>
      </c>
      <c r="E259" t="s">
        <v>34</v>
      </c>
      <c r="F259" t="s">
        <v>1065</v>
      </c>
      <c r="G259" t="s">
        <v>16</v>
      </c>
      <c r="H259" t="s">
        <v>8</v>
      </c>
      <c r="I259" t="s">
        <v>198</v>
      </c>
      <c r="J259" t="s">
        <v>12</v>
      </c>
      <c r="K259" t="s">
        <v>741</v>
      </c>
      <c r="L259">
        <v>25</v>
      </c>
      <c r="M259">
        <v>11</v>
      </c>
      <c r="N259">
        <v>2020</v>
      </c>
      <c r="O259" s="36">
        <v>44160</v>
      </c>
      <c r="P259">
        <v>5</v>
      </c>
      <c r="Q259">
        <v>1948</v>
      </c>
      <c r="R259">
        <v>194.8</v>
      </c>
      <c r="S259">
        <v>58.44</v>
      </c>
      <c r="T259">
        <v>1811.64</v>
      </c>
      <c r="U259" t="s">
        <v>1114</v>
      </c>
      <c r="V259" s="37">
        <v>0.08</v>
      </c>
    </row>
    <row r="260" spans="1:22" x14ac:dyDescent="0.2">
      <c r="A260">
        <v>1259</v>
      </c>
      <c r="B260" t="s">
        <v>499</v>
      </c>
      <c r="C260" t="s">
        <v>500</v>
      </c>
      <c r="D260" t="s">
        <v>1368</v>
      </c>
      <c r="E260" t="s">
        <v>34</v>
      </c>
      <c r="F260" t="s">
        <v>1066</v>
      </c>
      <c r="G260" t="s">
        <v>18</v>
      </c>
      <c r="H260" t="s">
        <v>20</v>
      </c>
      <c r="I260" t="s">
        <v>22</v>
      </c>
      <c r="J260" t="s">
        <v>10</v>
      </c>
      <c r="K260" t="s">
        <v>742</v>
      </c>
      <c r="L260">
        <v>10</v>
      </c>
      <c r="M260">
        <v>7</v>
      </c>
      <c r="N260">
        <v>2011</v>
      </c>
      <c r="O260" s="36">
        <v>40734</v>
      </c>
      <c r="P260">
        <v>14</v>
      </c>
      <c r="Q260">
        <v>3294</v>
      </c>
      <c r="R260">
        <v>329.40000000000003</v>
      </c>
      <c r="S260">
        <v>98.82</v>
      </c>
      <c r="T260">
        <v>3063.42</v>
      </c>
      <c r="U260" t="s">
        <v>1114</v>
      </c>
      <c r="V260" s="37">
        <v>0.05</v>
      </c>
    </row>
    <row r="261" spans="1:22" x14ac:dyDescent="0.2">
      <c r="A261">
        <v>1260</v>
      </c>
      <c r="B261" t="s">
        <v>501</v>
      </c>
      <c r="C261" t="s">
        <v>502</v>
      </c>
      <c r="D261" t="s">
        <v>1369</v>
      </c>
      <c r="E261" t="s">
        <v>33</v>
      </c>
      <c r="F261" t="s">
        <v>1067</v>
      </c>
      <c r="G261" t="s">
        <v>795</v>
      </c>
      <c r="H261" t="s">
        <v>11</v>
      </c>
      <c r="I261" t="s">
        <v>198</v>
      </c>
      <c r="J261" t="s">
        <v>19</v>
      </c>
      <c r="K261" t="s">
        <v>743</v>
      </c>
      <c r="L261">
        <v>12</v>
      </c>
      <c r="M261">
        <v>5</v>
      </c>
      <c r="N261">
        <v>2013</v>
      </c>
      <c r="O261" s="36">
        <v>41406</v>
      </c>
      <c r="P261">
        <v>12</v>
      </c>
      <c r="Q261">
        <v>7123</v>
      </c>
      <c r="R261">
        <v>712.30000000000007</v>
      </c>
      <c r="S261">
        <v>213.69</v>
      </c>
      <c r="T261">
        <v>6624.3899999999994</v>
      </c>
      <c r="U261" t="s">
        <v>1111</v>
      </c>
      <c r="V261" s="37">
        <v>0.02</v>
      </c>
    </row>
    <row r="262" spans="1:22" x14ac:dyDescent="0.2">
      <c r="A262">
        <v>1261</v>
      </c>
      <c r="B262" t="s">
        <v>503</v>
      </c>
      <c r="C262" t="s">
        <v>504</v>
      </c>
      <c r="D262" t="s">
        <v>1370</v>
      </c>
      <c r="E262" t="s">
        <v>34</v>
      </c>
      <c r="F262" t="s">
        <v>1068</v>
      </c>
      <c r="G262" t="s">
        <v>13</v>
      </c>
      <c r="H262" t="s">
        <v>11</v>
      </c>
      <c r="I262" t="s">
        <v>22</v>
      </c>
      <c r="J262" t="s">
        <v>12</v>
      </c>
      <c r="K262" t="s">
        <v>744</v>
      </c>
      <c r="L262">
        <v>5</v>
      </c>
      <c r="M262">
        <v>9</v>
      </c>
      <c r="N262">
        <v>2003</v>
      </c>
      <c r="O262" s="36">
        <v>37869</v>
      </c>
      <c r="P262">
        <v>22</v>
      </c>
      <c r="Q262">
        <v>7236</v>
      </c>
      <c r="R262">
        <v>723.6</v>
      </c>
      <c r="S262">
        <v>217.07999999999998</v>
      </c>
      <c r="T262">
        <v>6729.48</v>
      </c>
      <c r="U262" t="s">
        <v>1111</v>
      </c>
      <c r="V262" s="37">
        <v>0.02</v>
      </c>
    </row>
    <row r="263" spans="1:22" x14ac:dyDescent="0.2">
      <c r="A263">
        <v>1262</v>
      </c>
      <c r="B263" t="s">
        <v>52</v>
      </c>
      <c r="C263" t="s">
        <v>408</v>
      </c>
      <c r="D263" t="s">
        <v>1371</v>
      </c>
      <c r="E263" t="s">
        <v>33</v>
      </c>
      <c r="F263" t="s">
        <v>1069</v>
      </c>
      <c r="G263" t="s">
        <v>795</v>
      </c>
      <c r="H263" t="s">
        <v>20</v>
      </c>
      <c r="I263" t="s">
        <v>22</v>
      </c>
      <c r="J263" t="s">
        <v>10</v>
      </c>
      <c r="K263" t="s">
        <v>745</v>
      </c>
      <c r="L263">
        <v>4</v>
      </c>
      <c r="M263">
        <v>9</v>
      </c>
      <c r="N263">
        <v>2009</v>
      </c>
      <c r="O263" s="36">
        <v>40060</v>
      </c>
      <c r="P263">
        <v>16</v>
      </c>
      <c r="Q263">
        <v>6843</v>
      </c>
      <c r="R263">
        <v>684.30000000000007</v>
      </c>
      <c r="S263">
        <v>205.29</v>
      </c>
      <c r="T263">
        <v>6363.99</v>
      </c>
      <c r="U263" t="s">
        <v>1111</v>
      </c>
      <c r="V263" s="37">
        <v>0.02</v>
      </c>
    </row>
    <row r="264" spans="1:22" x14ac:dyDescent="0.2">
      <c r="A264">
        <v>1263</v>
      </c>
      <c r="B264" t="s">
        <v>505</v>
      </c>
      <c r="C264" t="s">
        <v>265</v>
      </c>
      <c r="D264" t="s">
        <v>1372</v>
      </c>
      <c r="E264" t="s">
        <v>34</v>
      </c>
      <c r="F264" t="s">
        <v>1070</v>
      </c>
      <c r="G264" t="s">
        <v>795</v>
      </c>
      <c r="H264" t="s">
        <v>14</v>
      </c>
      <c r="I264" t="s">
        <v>22</v>
      </c>
      <c r="J264" t="s">
        <v>12</v>
      </c>
      <c r="K264" t="s">
        <v>746</v>
      </c>
      <c r="L264">
        <v>18</v>
      </c>
      <c r="M264">
        <v>10</v>
      </c>
      <c r="N264">
        <v>2007</v>
      </c>
      <c r="O264" s="36">
        <v>39373</v>
      </c>
      <c r="P264">
        <v>18</v>
      </c>
      <c r="Q264">
        <v>1070</v>
      </c>
      <c r="R264">
        <v>107</v>
      </c>
      <c r="S264">
        <v>32.1</v>
      </c>
      <c r="T264">
        <v>995.09999999999991</v>
      </c>
      <c r="U264" t="s">
        <v>1114</v>
      </c>
      <c r="V264" s="37">
        <v>0.1</v>
      </c>
    </row>
    <row r="265" spans="1:22" x14ac:dyDescent="0.2">
      <c r="A265">
        <v>1264</v>
      </c>
      <c r="B265" t="s">
        <v>506</v>
      </c>
      <c r="C265" t="s">
        <v>507</v>
      </c>
      <c r="D265" t="s">
        <v>1373</v>
      </c>
      <c r="E265" t="s">
        <v>34</v>
      </c>
      <c r="F265" t="s">
        <v>1071</v>
      </c>
      <c r="G265" t="s">
        <v>13</v>
      </c>
      <c r="H265" t="s">
        <v>11</v>
      </c>
      <c r="I265" t="s">
        <v>22</v>
      </c>
      <c r="J265" t="s">
        <v>12</v>
      </c>
      <c r="K265" t="s">
        <v>747</v>
      </c>
      <c r="L265">
        <v>5</v>
      </c>
      <c r="M265">
        <v>2</v>
      </c>
      <c r="N265">
        <v>2000</v>
      </c>
      <c r="O265" s="36">
        <v>36561</v>
      </c>
      <c r="P265">
        <v>25</v>
      </c>
      <c r="Q265">
        <v>1493</v>
      </c>
      <c r="R265">
        <v>149.30000000000001</v>
      </c>
      <c r="S265">
        <v>44.79</v>
      </c>
      <c r="T265">
        <v>1388.49</v>
      </c>
      <c r="U265" t="s">
        <v>1114</v>
      </c>
      <c r="V265" s="37">
        <v>0.08</v>
      </c>
    </row>
    <row r="266" spans="1:22" x14ac:dyDescent="0.2">
      <c r="A266">
        <v>1265</v>
      </c>
      <c r="B266" t="s">
        <v>508</v>
      </c>
      <c r="C266" t="s">
        <v>355</v>
      </c>
      <c r="D266" t="s">
        <v>1374</v>
      </c>
      <c r="E266" t="s">
        <v>34</v>
      </c>
      <c r="F266" t="s">
        <v>1072</v>
      </c>
      <c r="G266" t="s">
        <v>18</v>
      </c>
      <c r="H266" t="s">
        <v>11</v>
      </c>
      <c r="I266" t="s">
        <v>22</v>
      </c>
      <c r="J266" t="s">
        <v>10</v>
      </c>
      <c r="K266" t="s">
        <v>748</v>
      </c>
      <c r="L266">
        <v>21</v>
      </c>
      <c r="M266">
        <v>8</v>
      </c>
      <c r="N266">
        <v>1992</v>
      </c>
      <c r="O266" s="36">
        <v>33837</v>
      </c>
      <c r="P266">
        <v>33</v>
      </c>
      <c r="Q266">
        <v>5857</v>
      </c>
      <c r="R266">
        <v>585.70000000000005</v>
      </c>
      <c r="S266">
        <v>175.70999999999998</v>
      </c>
      <c r="T266">
        <v>5447.01</v>
      </c>
      <c r="U266" t="s">
        <v>1114</v>
      </c>
      <c r="V266" s="37">
        <v>0.05</v>
      </c>
    </row>
    <row r="267" spans="1:22" x14ac:dyDescent="0.2">
      <c r="A267">
        <v>1266</v>
      </c>
      <c r="B267" t="s">
        <v>465</v>
      </c>
      <c r="C267" t="s">
        <v>509</v>
      </c>
      <c r="D267" t="s">
        <v>1375</v>
      </c>
      <c r="E267" t="s">
        <v>34</v>
      </c>
      <c r="F267" t="s">
        <v>1073</v>
      </c>
      <c r="G267" t="s">
        <v>18</v>
      </c>
      <c r="H267" t="s">
        <v>14</v>
      </c>
      <c r="I267" t="s">
        <v>198</v>
      </c>
      <c r="J267" t="s">
        <v>10</v>
      </c>
      <c r="K267" t="s">
        <v>749</v>
      </c>
      <c r="L267">
        <v>3</v>
      </c>
      <c r="M267">
        <v>9</v>
      </c>
      <c r="N267">
        <v>2001</v>
      </c>
      <c r="O267" s="36">
        <v>37137</v>
      </c>
      <c r="P267">
        <v>24</v>
      </c>
      <c r="Q267">
        <v>5278</v>
      </c>
      <c r="R267">
        <v>527.80000000000007</v>
      </c>
      <c r="S267">
        <v>158.34</v>
      </c>
      <c r="T267">
        <v>4908.54</v>
      </c>
      <c r="U267" t="s">
        <v>1114</v>
      </c>
      <c r="V267" s="37">
        <v>0.05</v>
      </c>
    </row>
    <row r="268" spans="1:22" x14ac:dyDescent="0.2">
      <c r="A268">
        <v>1267</v>
      </c>
      <c r="B268" t="s">
        <v>510</v>
      </c>
      <c r="C268" t="s">
        <v>511</v>
      </c>
      <c r="D268" t="s">
        <v>1376</v>
      </c>
      <c r="E268" t="s">
        <v>34</v>
      </c>
      <c r="F268" t="s">
        <v>1074</v>
      </c>
      <c r="G268" t="s">
        <v>795</v>
      </c>
      <c r="H268" t="s">
        <v>20</v>
      </c>
      <c r="I268" t="s">
        <v>23</v>
      </c>
      <c r="J268" t="s">
        <v>10</v>
      </c>
      <c r="K268" t="s">
        <v>750</v>
      </c>
      <c r="L268">
        <v>25</v>
      </c>
      <c r="M268">
        <v>9</v>
      </c>
      <c r="N268">
        <v>2012</v>
      </c>
      <c r="O268" s="36">
        <v>41177</v>
      </c>
      <c r="P268">
        <v>13</v>
      </c>
      <c r="Q268">
        <v>5710</v>
      </c>
      <c r="R268">
        <v>571</v>
      </c>
      <c r="S268">
        <v>171.29999999999998</v>
      </c>
      <c r="T268">
        <v>5310.3</v>
      </c>
      <c r="U268" t="s">
        <v>1114</v>
      </c>
      <c r="V268" s="37">
        <v>0.05</v>
      </c>
    </row>
    <row r="269" spans="1:22" x14ac:dyDescent="0.2">
      <c r="A269">
        <v>1268</v>
      </c>
      <c r="B269" t="s">
        <v>512</v>
      </c>
      <c r="C269" t="s">
        <v>513</v>
      </c>
      <c r="D269" t="s">
        <v>1377</v>
      </c>
      <c r="E269" t="s">
        <v>33</v>
      </c>
      <c r="F269" t="s">
        <v>1075</v>
      </c>
      <c r="G269" t="s">
        <v>13</v>
      </c>
      <c r="H269" t="s">
        <v>11</v>
      </c>
      <c r="I269" t="s">
        <v>15</v>
      </c>
      <c r="J269" t="s">
        <v>19</v>
      </c>
      <c r="K269" t="s">
        <v>751</v>
      </c>
      <c r="L269">
        <v>24</v>
      </c>
      <c r="M269">
        <v>9</v>
      </c>
      <c r="N269">
        <v>2010</v>
      </c>
      <c r="O269" s="36">
        <v>40445</v>
      </c>
      <c r="P269">
        <v>15</v>
      </c>
      <c r="Q269">
        <v>6145</v>
      </c>
      <c r="R269">
        <v>614.5</v>
      </c>
      <c r="S269">
        <v>184.35</v>
      </c>
      <c r="T269">
        <v>5714.85</v>
      </c>
      <c r="U269" t="s">
        <v>1114</v>
      </c>
      <c r="V269" s="37">
        <v>0.05</v>
      </c>
    </row>
    <row r="270" spans="1:22" x14ac:dyDescent="0.2">
      <c r="A270">
        <v>1269</v>
      </c>
      <c r="B270" t="s">
        <v>514</v>
      </c>
      <c r="C270" t="s">
        <v>515</v>
      </c>
      <c r="D270" t="s">
        <v>1378</v>
      </c>
      <c r="E270" t="s">
        <v>33</v>
      </c>
      <c r="F270" t="s">
        <v>1076</v>
      </c>
      <c r="G270" t="s">
        <v>16</v>
      </c>
      <c r="H270" t="s">
        <v>8</v>
      </c>
      <c r="I270" t="s">
        <v>23</v>
      </c>
      <c r="J270" t="s">
        <v>19</v>
      </c>
      <c r="K270" t="s">
        <v>752</v>
      </c>
      <c r="L270">
        <v>24</v>
      </c>
      <c r="M270">
        <v>1</v>
      </c>
      <c r="N270">
        <v>1993</v>
      </c>
      <c r="O270" s="36">
        <v>33993</v>
      </c>
      <c r="P270">
        <v>32</v>
      </c>
      <c r="Q270">
        <v>5278</v>
      </c>
      <c r="R270">
        <v>527.80000000000007</v>
      </c>
      <c r="S270">
        <v>158.34</v>
      </c>
      <c r="T270">
        <v>4908.54</v>
      </c>
      <c r="U270" t="s">
        <v>1114</v>
      </c>
      <c r="V270" s="37">
        <v>0.05</v>
      </c>
    </row>
    <row r="271" spans="1:22" x14ac:dyDescent="0.2">
      <c r="A271">
        <v>1270</v>
      </c>
      <c r="B271" t="s">
        <v>36</v>
      </c>
      <c r="C271" t="s">
        <v>516</v>
      </c>
      <c r="D271" t="s">
        <v>1379</v>
      </c>
      <c r="E271" t="s">
        <v>34</v>
      </c>
      <c r="F271" t="s">
        <v>1077</v>
      </c>
      <c r="G271" t="s">
        <v>16</v>
      </c>
      <c r="H271" t="s">
        <v>11</v>
      </c>
      <c r="I271" t="s">
        <v>9</v>
      </c>
      <c r="J271" t="s">
        <v>12</v>
      </c>
      <c r="K271" t="s">
        <v>753</v>
      </c>
      <c r="L271">
        <v>21</v>
      </c>
      <c r="M271">
        <v>7</v>
      </c>
      <c r="N271">
        <v>2013</v>
      </c>
      <c r="O271" s="36">
        <v>41476</v>
      </c>
      <c r="P271">
        <v>12</v>
      </c>
      <c r="Q271">
        <v>6409</v>
      </c>
      <c r="R271">
        <v>640.90000000000009</v>
      </c>
      <c r="S271">
        <v>192.26999999999998</v>
      </c>
      <c r="T271">
        <v>5960.3700000000008</v>
      </c>
      <c r="U271" t="s">
        <v>1114</v>
      </c>
      <c r="V271" s="37">
        <v>0.05</v>
      </c>
    </row>
    <row r="272" spans="1:22" x14ac:dyDescent="0.2">
      <c r="A272">
        <v>1271</v>
      </c>
      <c r="B272" t="s">
        <v>27</v>
      </c>
      <c r="C272" t="s">
        <v>517</v>
      </c>
      <c r="D272" t="s">
        <v>1380</v>
      </c>
      <c r="E272" t="s">
        <v>34</v>
      </c>
      <c r="F272" t="s">
        <v>1078</v>
      </c>
      <c r="G272" t="s">
        <v>13</v>
      </c>
      <c r="H272" t="s">
        <v>11</v>
      </c>
      <c r="I272" t="s">
        <v>9</v>
      </c>
      <c r="J272" t="s">
        <v>21</v>
      </c>
      <c r="K272" t="s">
        <v>754</v>
      </c>
      <c r="L272">
        <v>8</v>
      </c>
      <c r="M272">
        <v>12</v>
      </c>
      <c r="N272">
        <v>1996</v>
      </c>
      <c r="O272" s="36">
        <v>35407</v>
      </c>
      <c r="P272">
        <v>29</v>
      </c>
      <c r="Q272">
        <v>7478</v>
      </c>
      <c r="R272">
        <v>747.80000000000007</v>
      </c>
      <c r="S272">
        <v>224.34</v>
      </c>
      <c r="T272">
        <v>6954.54</v>
      </c>
      <c r="U272" t="s">
        <v>1111</v>
      </c>
      <c r="V272" s="37">
        <v>0.02</v>
      </c>
    </row>
    <row r="273" spans="1:22" x14ac:dyDescent="0.2">
      <c r="A273">
        <v>1272</v>
      </c>
      <c r="B273" t="s">
        <v>518</v>
      </c>
      <c r="C273" t="s">
        <v>519</v>
      </c>
      <c r="D273" t="s">
        <v>1381</v>
      </c>
      <c r="E273" t="s">
        <v>33</v>
      </c>
      <c r="F273" t="s">
        <v>1079</v>
      </c>
      <c r="G273" t="s">
        <v>795</v>
      </c>
      <c r="H273" t="s">
        <v>20</v>
      </c>
      <c r="I273" t="s">
        <v>9</v>
      </c>
      <c r="J273" t="s">
        <v>10</v>
      </c>
      <c r="K273" t="s">
        <v>755</v>
      </c>
      <c r="L273">
        <v>10</v>
      </c>
      <c r="M273">
        <v>11</v>
      </c>
      <c r="N273">
        <v>2001</v>
      </c>
      <c r="O273" s="36">
        <v>37205</v>
      </c>
      <c r="P273">
        <v>24</v>
      </c>
      <c r="Q273">
        <v>4621</v>
      </c>
      <c r="R273">
        <v>462.1</v>
      </c>
      <c r="S273">
        <v>138.63</v>
      </c>
      <c r="T273">
        <v>4297.53</v>
      </c>
      <c r="U273" t="s">
        <v>1114</v>
      </c>
      <c r="V273" s="37">
        <v>0.05</v>
      </c>
    </row>
    <row r="274" spans="1:22" x14ac:dyDescent="0.2">
      <c r="A274">
        <v>1273</v>
      </c>
      <c r="B274" t="s">
        <v>520</v>
      </c>
      <c r="C274" t="s">
        <v>521</v>
      </c>
      <c r="D274" t="s">
        <v>1382</v>
      </c>
      <c r="E274" t="s">
        <v>34</v>
      </c>
      <c r="F274" t="s">
        <v>1080</v>
      </c>
      <c r="G274" t="s">
        <v>16</v>
      </c>
      <c r="H274" t="s">
        <v>11</v>
      </c>
      <c r="I274" t="s">
        <v>24</v>
      </c>
      <c r="J274" t="s">
        <v>19</v>
      </c>
      <c r="K274" t="s">
        <v>756</v>
      </c>
      <c r="L274">
        <v>11</v>
      </c>
      <c r="M274">
        <v>8</v>
      </c>
      <c r="N274">
        <v>2020</v>
      </c>
      <c r="O274" s="36">
        <v>44054</v>
      </c>
      <c r="P274">
        <v>5</v>
      </c>
      <c r="Q274">
        <v>2093</v>
      </c>
      <c r="R274">
        <v>209.3</v>
      </c>
      <c r="S274">
        <v>62.79</v>
      </c>
      <c r="T274">
        <v>1946.49</v>
      </c>
      <c r="U274" t="s">
        <v>1114</v>
      </c>
      <c r="V274" s="37">
        <v>0.08</v>
      </c>
    </row>
    <row r="275" spans="1:22" x14ac:dyDescent="0.2">
      <c r="A275">
        <v>1274</v>
      </c>
      <c r="B275" t="s">
        <v>27</v>
      </c>
      <c r="C275" t="s">
        <v>522</v>
      </c>
      <c r="D275" t="s">
        <v>1383</v>
      </c>
      <c r="E275" t="s">
        <v>34</v>
      </c>
      <c r="F275" t="s">
        <v>1081</v>
      </c>
      <c r="G275" t="s">
        <v>795</v>
      </c>
      <c r="H275" t="s">
        <v>20</v>
      </c>
      <c r="I275" t="s">
        <v>198</v>
      </c>
      <c r="J275" t="s">
        <v>12</v>
      </c>
      <c r="K275" t="s">
        <v>757</v>
      </c>
      <c r="L275">
        <v>19</v>
      </c>
      <c r="M275">
        <v>5</v>
      </c>
      <c r="N275">
        <v>1993</v>
      </c>
      <c r="O275" s="36">
        <v>34108</v>
      </c>
      <c r="P275">
        <v>32</v>
      </c>
      <c r="Q275">
        <v>7333</v>
      </c>
      <c r="R275">
        <v>733.30000000000007</v>
      </c>
      <c r="S275">
        <v>219.98999999999998</v>
      </c>
      <c r="T275">
        <v>6819.69</v>
      </c>
      <c r="U275" t="s">
        <v>1111</v>
      </c>
      <c r="V275" s="37">
        <v>0.02</v>
      </c>
    </row>
    <row r="276" spans="1:22" x14ac:dyDescent="0.2">
      <c r="A276">
        <v>1275</v>
      </c>
      <c r="B276" t="s">
        <v>27</v>
      </c>
      <c r="C276" t="s">
        <v>523</v>
      </c>
      <c r="D276" t="s">
        <v>1384</v>
      </c>
      <c r="E276" t="s">
        <v>34</v>
      </c>
      <c r="F276" t="s">
        <v>1082</v>
      </c>
      <c r="G276" t="s">
        <v>16</v>
      </c>
      <c r="H276" t="s">
        <v>8</v>
      </c>
      <c r="I276" t="s">
        <v>15</v>
      </c>
      <c r="J276" t="s">
        <v>19</v>
      </c>
      <c r="K276" t="s">
        <v>758</v>
      </c>
      <c r="L276">
        <v>9</v>
      </c>
      <c r="M276">
        <v>3</v>
      </c>
      <c r="N276">
        <v>2018</v>
      </c>
      <c r="O276" s="36">
        <v>43168</v>
      </c>
      <c r="P276">
        <v>7</v>
      </c>
      <c r="Q276">
        <v>1194</v>
      </c>
      <c r="R276">
        <v>119.4</v>
      </c>
      <c r="S276">
        <v>35.82</v>
      </c>
      <c r="T276">
        <v>1110.4199999999998</v>
      </c>
      <c r="U276" t="s">
        <v>1114</v>
      </c>
      <c r="V276" s="37">
        <v>0.08</v>
      </c>
    </row>
    <row r="277" spans="1:22" x14ac:dyDescent="0.2">
      <c r="A277">
        <v>1276</v>
      </c>
      <c r="B277" t="s">
        <v>378</v>
      </c>
      <c r="C277" t="s">
        <v>524</v>
      </c>
      <c r="D277" t="s">
        <v>1385</v>
      </c>
      <c r="E277" t="s">
        <v>33</v>
      </c>
      <c r="F277" t="s">
        <v>1083</v>
      </c>
      <c r="G277" t="s">
        <v>7</v>
      </c>
      <c r="H277" t="s">
        <v>8</v>
      </c>
      <c r="I277" t="s">
        <v>15</v>
      </c>
      <c r="J277" t="s">
        <v>10</v>
      </c>
      <c r="K277" t="s">
        <v>759</v>
      </c>
      <c r="L277">
        <v>24</v>
      </c>
      <c r="M277">
        <v>2</v>
      </c>
      <c r="N277">
        <v>1995</v>
      </c>
      <c r="O277" s="36">
        <v>34754</v>
      </c>
      <c r="P277">
        <v>30</v>
      </c>
      <c r="Q277">
        <v>5118</v>
      </c>
      <c r="R277">
        <v>511.8</v>
      </c>
      <c r="S277">
        <v>153.54</v>
      </c>
      <c r="T277">
        <v>4759.74</v>
      </c>
      <c r="U277" t="s">
        <v>1114</v>
      </c>
      <c r="V277" s="37">
        <v>0.05</v>
      </c>
    </row>
    <row r="278" spans="1:22" x14ac:dyDescent="0.2">
      <c r="A278">
        <v>1277</v>
      </c>
      <c r="B278" t="s">
        <v>31</v>
      </c>
      <c r="C278" t="s">
        <v>525</v>
      </c>
      <c r="D278" t="s">
        <v>1386</v>
      </c>
      <c r="E278" t="s">
        <v>34</v>
      </c>
      <c r="F278" t="s">
        <v>1084</v>
      </c>
      <c r="G278" t="s">
        <v>16</v>
      </c>
      <c r="H278" t="s">
        <v>8</v>
      </c>
      <c r="I278" t="s">
        <v>25</v>
      </c>
      <c r="J278" t="s">
        <v>10</v>
      </c>
      <c r="K278" t="s">
        <v>760</v>
      </c>
      <c r="L278">
        <v>26</v>
      </c>
      <c r="M278">
        <v>2</v>
      </c>
      <c r="N278">
        <v>2023</v>
      </c>
      <c r="O278" s="36">
        <v>44983</v>
      </c>
      <c r="P278">
        <v>2</v>
      </c>
      <c r="Q278">
        <v>5373</v>
      </c>
      <c r="R278">
        <v>537.30000000000007</v>
      </c>
      <c r="S278">
        <v>161.19</v>
      </c>
      <c r="T278">
        <v>4996.8899999999994</v>
      </c>
      <c r="U278" t="s">
        <v>1114</v>
      </c>
      <c r="V278" s="37">
        <v>0.05</v>
      </c>
    </row>
    <row r="279" spans="1:22" x14ac:dyDescent="0.2">
      <c r="A279">
        <v>1278</v>
      </c>
      <c r="B279" t="s">
        <v>526</v>
      </c>
      <c r="C279" t="s">
        <v>527</v>
      </c>
      <c r="D279" t="s">
        <v>1387</v>
      </c>
      <c r="E279" t="s">
        <v>34</v>
      </c>
      <c r="F279" t="s">
        <v>1085</v>
      </c>
      <c r="G279" t="s">
        <v>16</v>
      </c>
      <c r="H279" t="s">
        <v>14</v>
      </c>
      <c r="I279" t="s">
        <v>26</v>
      </c>
      <c r="J279" t="s">
        <v>12</v>
      </c>
      <c r="K279" t="s">
        <v>761</v>
      </c>
      <c r="L279">
        <v>28</v>
      </c>
      <c r="M279">
        <v>8</v>
      </c>
      <c r="N279">
        <v>2005</v>
      </c>
      <c r="O279" s="36">
        <v>38592</v>
      </c>
      <c r="P279">
        <v>20</v>
      </c>
      <c r="Q279">
        <v>1708</v>
      </c>
      <c r="R279">
        <v>170.8</v>
      </c>
      <c r="S279">
        <v>51.239999999999995</v>
      </c>
      <c r="T279">
        <v>1588.44</v>
      </c>
      <c r="U279" t="s">
        <v>1114</v>
      </c>
      <c r="V279" s="37">
        <v>0.08</v>
      </c>
    </row>
    <row r="280" spans="1:22" x14ac:dyDescent="0.2">
      <c r="A280">
        <v>1279</v>
      </c>
      <c r="B280" t="s">
        <v>52</v>
      </c>
      <c r="C280" t="s">
        <v>44</v>
      </c>
      <c r="D280" t="s">
        <v>1388</v>
      </c>
      <c r="E280" t="s">
        <v>33</v>
      </c>
      <c r="F280" t="s">
        <v>1086</v>
      </c>
      <c r="G280" t="s">
        <v>18</v>
      </c>
      <c r="H280" t="s">
        <v>11</v>
      </c>
      <c r="I280" t="s">
        <v>198</v>
      </c>
      <c r="J280" t="s">
        <v>10</v>
      </c>
      <c r="K280" t="s">
        <v>762</v>
      </c>
      <c r="L280">
        <v>6</v>
      </c>
      <c r="M280">
        <v>11</v>
      </c>
      <c r="N280">
        <v>1994</v>
      </c>
      <c r="O280" s="36">
        <v>34644</v>
      </c>
      <c r="P280">
        <v>31</v>
      </c>
      <c r="Q280">
        <v>2898</v>
      </c>
      <c r="R280">
        <v>289.8</v>
      </c>
      <c r="S280">
        <v>86.94</v>
      </c>
      <c r="T280">
        <v>2695.14</v>
      </c>
      <c r="U280" t="s">
        <v>1114</v>
      </c>
      <c r="V280" s="37">
        <v>0.08</v>
      </c>
    </row>
    <row r="281" spans="1:22" x14ac:dyDescent="0.2">
      <c r="A281">
        <v>1280</v>
      </c>
      <c r="B281" t="s">
        <v>528</v>
      </c>
      <c r="C281" t="s">
        <v>44</v>
      </c>
      <c r="D281" t="s">
        <v>1389</v>
      </c>
      <c r="E281" t="s">
        <v>33</v>
      </c>
      <c r="F281" t="s">
        <v>1087</v>
      </c>
      <c r="G281" t="s">
        <v>7</v>
      </c>
      <c r="H281" t="s">
        <v>8</v>
      </c>
      <c r="I281" t="s">
        <v>23</v>
      </c>
      <c r="J281" t="s">
        <v>10</v>
      </c>
      <c r="K281" t="s">
        <v>763</v>
      </c>
      <c r="L281">
        <v>25</v>
      </c>
      <c r="M281">
        <v>12</v>
      </c>
      <c r="N281">
        <v>2007</v>
      </c>
      <c r="O281" s="36">
        <v>39441</v>
      </c>
      <c r="P281">
        <v>18</v>
      </c>
      <c r="Q281">
        <v>6211</v>
      </c>
      <c r="R281">
        <v>621.1</v>
      </c>
      <c r="S281">
        <v>186.32999999999998</v>
      </c>
      <c r="T281">
        <v>5776.23</v>
      </c>
      <c r="U281" t="s">
        <v>1114</v>
      </c>
      <c r="V281" s="37">
        <v>0.05</v>
      </c>
    </row>
    <row r="282" spans="1:22" x14ac:dyDescent="0.2">
      <c r="A282">
        <v>1281</v>
      </c>
      <c r="B282" t="s">
        <v>51</v>
      </c>
      <c r="C282" t="s">
        <v>529</v>
      </c>
      <c r="D282" t="s">
        <v>1390</v>
      </c>
      <c r="E282" t="s">
        <v>33</v>
      </c>
      <c r="F282" t="s">
        <v>1088</v>
      </c>
      <c r="G282" t="s">
        <v>18</v>
      </c>
      <c r="H282" t="s">
        <v>8</v>
      </c>
      <c r="I282" t="s">
        <v>9</v>
      </c>
      <c r="J282" t="s">
        <v>12</v>
      </c>
      <c r="K282" t="s">
        <v>764</v>
      </c>
      <c r="L282">
        <v>25</v>
      </c>
      <c r="M282">
        <v>10</v>
      </c>
      <c r="N282">
        <v>2007</v>
      </c>
      <c r="O282" s="36">
        <v>39380</v>
      </c>
      <c r="P282">
        <v>18</v>
      </c>
      <c r="Q282">
        <v>5976</v>
      </c>
      <c r="R282">
        <v>597.6</v>
      </c>
      <c r="S282">
        <v>179.28</v>
      </c>
      <c r="T282">
        <v>5557.6799999999994</v>
      </c>
      <c r="U282" t="s">
        <v>1114</v>
      </c>
      <c r="V282" s="37">
        <v>0.05</v>
      </c>
    </row>
    <row r="283" spans="1:22" x14ac:dyDescent="0.2">
      <c r="A283">
        <v>1282</v>
      </c>
      <c r="B283" t="s">
        <v>530</v>
      </c>
      <c r="C283" t="s">
        <v>531</v>
      </c>
      <c r="D283" t="s">
        <v>1391</v>
      </c>
      <c r="E283" t="s">
        <v>33</v>
      </c>
      <c r="F283" t="s">
        <v>1089</v>
      </c>
      <c r="G283" t="s">
        <v>18</v>
      </c>
      <c r="H283" t="s">
        <v>8</v>
      </c>
      <c r="I283" t="s">
        <v>9</v>
      </c>
      <c r="J283" t="s">
        <v>12</v>
      </c>
      <c r="K283" t="s">
        <v>765</v>
      </c>
      <c r="L283">
        <v>5</v>
      </c>
      <c r="M283">
        <v>11</v>
      </c>
      <c r="N283">
        <v>2015</v>
      </c>
      <c r="O283" s="36">
        <v>42313</v>
      </c>
      <c r="P283">
        <v>10</v>
      </c>
      <c r="Q283">
        <v>742</v>
      </c>
      <c r="R283">
        <v>74.2</v>
      </c>
      <c r="S283">
        <v>22.259999999999998</v>
      </c>
      <c r="T283">
        <v>690.06</v>
      </c>
      <c r="U283" t="s">
        <v>1114</v>
      </c>
      <c r="V283" s="37">
        <v>0.1</v>
      </c>
    </row>
    <row r="284" spans="1:22" x14ac:dyDescent="0.2">
      <c r="A284">
        <v>1283</v>
      </c>
      <c r="B284" t="s">
        <v>344</v>
      </c>
      <c r="C284" t="s">
        <v>532</v>
      </c>
      <c r="D284" t="s">
        <v>1392</v>
      </c>
      <c r="E284" t="s">
        <v>34</v>
      </c>
      <c r="F284" t="s">
        <v>1090</v>
      </c>
      <c r="G284" t="s">
        <v>13</v>
      </c>
      <c r="H284" t="s">
        <v>8</v>
      </c>
      <c r="I284" t="s">
        <v>24</v>
      </c>
      <c r="J284" t="s">
        <v>12</v>
      </c>
      <c r="K284" t="s">
        <v>766</v>
      </c>
      <c r="L284">
        <v>5</v>
      </c>
      <c r="M284">
        <v>7</v>
      </c>
      <c r="N284">
        <v>2008</v>
      </c>
      <c r="O284" s="36">
        <v>39634</v>
      </c>
      <c r="P284">
        <v>17</v>
      </c>
      <c r="Q284">
        <v>5918</v>
      </c>
      <c r="R284">
        <v>591.80000000000007</v>
      </c>
      <c r="S284">
        <v>177.54</v>
      </c>
      <c r="T284">
        <v>5503.74</v>
      </c>
      <c r="U284" t="s">
        <v>1114</v>
      </c>
      <c r="V284" s="37">
        <v>0.05</v>
      </c>
    </row>
    <row r="285" spans="1:22" x14ac:dyDescent="0.2">
      <c r="A285">
        <v>1284</v>
      </c>
      <c r="B285" t="s">
        <v>29</v>
      </c>
      <c r="C285" t="s">
        <v>533</v>
      </c>
      <c r="D285" t="s">
        <v>1393</v>
      </c>
      <c r="E285" t="s">
        <v>33</v>
      </c>
      <c r="F285" t="s">
        <v>1091</v>
      </c>
      <c r="G285" t="s">
        <v>13</v>
      </c>
      <c r="H285" t="s">
        <v>11</v>
      </c>
      <c r="I285" t="s">
        <v>15</v>
      </c>
      <c r="J285" t="s">
        <v>19</v>
      </c>
      <c r="K285" t="s">
        <v>767</v>
      </c>
      <c r="L285">
        <v>14</v>
      </c>
      <c r="M285">
        <v>1</v>
      </c>
      <c r="N285">
        <v>2016</v>
      </c>
      <c r="O285" s="36">
        <v>42383</v>
      </c>
      <c r="P285">
        <v>10</v>
      </c>
      <c r="Q285">
        <v>3074</v>
      </c>
      <c r="R285">
        <v>307.40000000000003</v>
      </c>
      <c r="S285">
        <v>92.22</v>
      </c>
      <c r="T285">
        <v>2858.8199999999997</v>
      </c>
      <c r="U285" t="s">
        <v>1114</v>
      </c>
      <c r="V285" s="37">
        <v>0.08</v>
      </c>
    </row>
    <row r="286" spans="1:22" x14ac:dyDescent="0.2">
      <c r="A286">
        <v>1285</v>
      </c>
      <c r="B286" t="s">
        <v>465</v>
      </c>
      <c r="C286" t="s">
        <v>534</v>
      </c>
      <c r="D286" t="s">
        <v>1394</v>
      </c>
      <c r="E286" t="s">
        <v>34</v>
      </c>
      <c r="F286" t="s">
        <v>1092</v>
      </c>
      <c r="G286" t="s">
        <v>18</v>
      </c>
      <c r="H286" t="s">
        <v>20</v>
      </c>
      <c r="I286" t="s">
        <v>9</v>
      </c>
      <c r="J286" t="s">
        <v>10</v>
      </c>
      <c r="K286" t="s">
        <v>768</v>
      </c>
      <c r="L286">
        <v>19</v>
      </c>
      <c r="M286">
        <v>5</v>
      </c>
      <c r="N286">
        <v>1994</v>
      </c>
      <c r="O286" s="36">
        <v>34473</v>
      </c>
      <c r="P286">
        <v>31</v>
      </c>
      <c r="Q286">
        <v>5688</v>
      </c>
      <c r="R286">
        <v>568.80000000000007</v>
      </c>
      <c r="S286">
        <v>170.64</v>
      </c>
      <c r="T286">
        <v>5289.84</v>
      </c>
      <c r="U286" t="s">
        <v>1114</v>
      </c>
      <c r="V286" s="37">
        <v>0.05</v>
      </c>
    </row>
    <row r="287" spans="1:22" x14ac:dyDescent="0.2">
      <c r="A287">
        <v>1286</v>
      </c>
      <c r="B287" t="s">
        <v>268</v>
      </c>
      <c r="C287" t="s">
        <v>535</v>
      </c>
      <c r="D287" t="s">
        <v>1395</v>
      </c>
      <c r="E287" t="s">
        <v>33</v>
      </c>
      <c r="F287" t="s">
        <v>1093</v>
      </c>
      <c r="G287" t="s">
        <v>13</v>
      </c>
      <c r="H287" t="s">
        <v>14</v>
      </c>
      <c r="I287" t="s">
        <v>9</v>
      </c>
      <c r="J287" t="s">
        <v>10</v>
      </c>
      <c r="K287" t="s">
        <v>769</v>
      </c>
      <c r="L287">
        <v>8</v>
      </c>
      <c r="M287">
        <v>4</v>
      </c>
      <c r="N287">
        <v>2022</v>
      </c>
      <c r="O287" s="36">
        <v>44659</v>
      </c>
      <c r="P287">
        <v>3</v>
      </c>
      <c r="Q287">
        <v>3362</v>
      </c>
      <c r="R287">
        <v>336.20000000000005</v>
      </c>
      <c r="S287">
        <v>100.86</v>
      </c>
      <c r="T287">
        <v>3126.66</v>
      </c>
      <c r="U287" t="s">
        <v>1114</v>
      </c>
      <c r="V287" s="37">
        <v>0.05</v>
      </c>
    </row>
    <row r="288" spans="1:22" x14ac:dyDescent="0.2">
      <c r="A288">
        <v>1287</v>
      </c>
      <c r="B288" t="s">
        <v>536</v>
      </c>
      <c r="C288" t="s">
        <v>537</v>
      </c>
      <c r="D288" t="s">
        <v>1396</v>
      </c>
      <c r="E288" t="s">
        <v>34</v>
      </c>
      <c r="F288" t="s">
        <v>1094</v>
      </c>
      <c r="G288" t="s">
        <v>16</v>
      </c>
      <c r="H288" t="s">
        <v>11</v>
      </c>
      <c r="I288" t="s">
        <v>9</v>
      </c>
      <c r="J288" t="s">
        <v>10</v>
      </c>
      <c r="K288" t="s">
        <v>770</v>
      </c>
      <c r="L288">
        <v>16</v>
      </c>
      <c r="M288">
        <v>5</v>
      </c>
      <c r="N288">
        <v>2000</v>
      </c>
      <c r="O288" s="36">
        <v>36662</v>
      </c>
      <c r="P288">
        <v>25</v>
      </c>
      <c r="Q288">
        <v>6043</v>
      </c>
      <c r="R288">
        <v>604.30000000000007</v>
      </c>
      <c r="S288">
        <v>181.29</v>
      </c>
      <c r="T288">
        <v>5619.99</v>
      </c>
      <c r="U288" t="s">
        <v>1114</v>
      </c>
      <c r="V288" s="37">
        <v>0.05</v>
      </c>
    </row>
    <row r="289" spans="1:22" x14ac:dyDescent="0.2">
      <c r="A289">
        <v>1288</v>
      </c>
      <c r="B289" t="s">
        <v>58</v>
      </c>
      <c r="C289" t="s">
        <v>538</v>
      </c>
      <c r="D289" t="s">
        <v>1397</v>
      </c>
      <c r="E289" t="s">
        <v>34</v>
      </c>
      <c r="F289" t="s">
        <v>1095</v>
      </c>
      <c r="G289" t="s">
        <v>16</v>
      </c>
      <c r="H289" t="s">
        <v>8</v>
      </c>
      <c r="I289" t="s">
        <v>9</v>
      </c>
      <c r="J289" t="s">
        <v>19</v>
      </c>
      <c r="K289" t="s">
        <v>771</v>
      </c>
      <c r="L289">
        <v>1</v>
      </c>
      <c r="M289">
        <v>4</v>
      </c>
      <c r="N289">
        <v>2002</v>
      </c>
      <c r="O289" s="36">
        <v>37347</v>
      </c>
      <c r="P289">
        <v>23</v>
      </c>
      <c r="Q289">
        <v>6260</v>
      </c>
      <c r="R289">
        <v>626</v>
      </c>
      <c r="S289">
        <v>187.79999999999998</v>
      </c>
      <c r="T289">
        <v>5821.8</v>
      </c>
      <c r="U289" t="s">
        <v>1114</v>
      </c>
      <c r="V289" s="37">
        <v>0.05</v>
      </c>
    </row>
    <row r="290" spans="1:22" x14ac:dyDescent="0.2">
      <c r="A290">
        <v>1289</v>
      </c>
      <c r="B290" t="s">
        <v>539</v>
      </c>
      <c r="C290" t="s">
        <v>540</v>
      </c>
      <c r="D290" t="s">
        <v>1398</v>
      </c>
      <c r="E290" t="s">
        <v>34</v>
      </c>
      <c r="F290" t="s">
        <v>1096</v>
      </c>
      <c r="G290" t="s">
        <v>16</v>
      </c>
      <c r="H290" t="s">
        <v>20</v>
      </c>
      <c r="I290" t="s">
        <v>9</v>
      </c>
      <c r="J290" t="s">
        <v>10</v>
      </c>
      <c r="K290" t="s">
        <v>772</v>
      </c>
      <c r="L290">
        <v>15</v>
      </c>
      <c r="M290">
        <v>4</v>
      </c>
      <c r="N290">
        <v>2000</v>
      </c>
      <c r="O290" s="36">
        <v>36631</v>
      </c>
      <c r="P290">
        <v>25</v>
      </c>
      <c r="Q290">
        <v>3754</v>
      </c>
      <c r="R290">
        <v>375.40000000000003</v>
      </c>
      <c r="S290">
        <v>112.61999999999999</v>
      </c>
      <c r="T290">
        <v>3491.22</v>
      </c>
      <c r="U290" t="s">
        <v>1114</v>
      </c>
      <c r="V290" s="37">
        <v>0.05</v>
      </c>
    </row>
    <row r="291" spans="1:22" x14ac:dyDescent="0.2">
      <c r="A291">
        <v>1290</v>
      </c>
      <c r="B291" t="s">
        <v>520</v>
      </c>
      <c r="C291" t="s">
        <v>110</v>
      </c>
      <c r="D291" t="s">
        <v>1399</v>
      </c>
      <c r="E291" t="s">
        <v>34</v>
      </c>
      <c r="F291" t="s">
        <v>1097</v>
      </c>
      <c r="G291" t="s">
        <v>13</v>
      </c>
      <c r="H291" t="s">
        <v>8</v>
      </c>
      <c r="I291" t="s">
        <v>22</v>
      </c>
      <c r="J291" t="s">
        <v>12</v>
      </c>
      <c r="K291" t="s">
        <v>773</v>
      </c>
      <c r="L291">
        <v>26</v>
      </c>
      <c r="M291">
        <v>10</v>
      </c>
      <c r="N291">
        <v>2003</v>
      </c>
      <c r="O291" s="36">
        <v>37920</v>
      </c>
      <c r="P291">
        <v>22</v>
      </c>
      <c r="Q291">
        <v>6579</v>
      </c>
      <c r="R291">
        <v>657.90000000000009</v>
      </c>
      <c r="S291">
        <v>197.37</v>
      </c>
      <c r="T291">
        <v>6118.4699999999993</v>
      </c>
      <c r="U291" t="s">
        <v>1111</v>
      </c>
      <c r="V291" s="37">
        <v>0.02</v>
      </c>
    </row>
    <row r="292" spans="1:22" x14ac:dyDescent="0.2">
      <c r="A292">
        <v>1291</v>
      </c>
      <c r="B292" t="s">
        <v>541</v>
      </c>
      <c r="C292" t="s">
        <v>542</v>
      </c>
      <c r="D292" t="s">
        <v>1400</v>
      </c>
      <c r="E292" t="s">
        <v>33</v>
      </c>
      <c r="F292" t="s">
        <v>1098</v>
      </c>
      <c r="G292" t="s">
        <v>16</v>
      </c>
      <c r="H292" t="s">
        <v>11</v>
      </c>
      <c r="I292" t="s">
        <v>17</v>
      </c>
      <c r="J292" t="s">
        <v>10</v>
      </c>
      <c r="K292" t="s">
        <v>774</v>
      </c>
      <c r="L292">
        <v>8</v>
      </c>
      <c r="M292">
        <v>12</v>
      </c>
      <c r="N292">
        <v>2021</v>
      </c>
      <c r="O292" s="36">
        <v>44538</v>
      </c>
      <c r="P292">
        <v>4</v>
      </c>
      <c r="Q292">
        <v>5373</v>
      </c>
      <c r="R292">
        <v>537.30000000000007</v>
      </c>
      <c r="S292">
        <v>161.19</v>
      </c>
      <c r="T292">
        <v>4996.8899999999994</v>
      </c>
      <c r="U292" t="s">
        <v>1114</v>
      </c>
      <c r="V292" s="37">
        <v>0.05</v>
      </c>
    </row>
    <row r="293" spans="1:22" x14ac:dyDescent="0.2">
      <c r="A293">
        <v>1292</v>
      </c>
      <c r="B293" t="s">
        <v>27</v>
      </c>
      <c r="C293" t="s">
        <v>543</v>
      </c>
      <c r="D293" t="s">
        <v>1401</v>
      </c>
      <c r="E293" t="s">
        <v>34</v>
      </c>
      <c r="F293" t="s">
        <v>1099</v>
      </c>
      <c r="G293" t="s">
        <v>13</v>
      </c>
      <c r="H293" t="s">
        <v>11</v>
      </c>
      <c r="I293" t="s">
        <v>15</v>
      </c>
      <c r="J293" t="s">
        <v>12</v>
      </c>
      <c r="K293" t="s">
        <v>775</v>
      </c>
      <c r="L293">
        <v>7</v>
      </c>
      <c r="M293">
        <v>11</v>
      </c>
      <c r="N293">
        <v>1997</v>
      </c>
      <c r="O293" s="36">
        <v>35741</v>
      </c>
      <c r="P293">
        <v>28</v>
      </c>
      <c r="Q293">
        <v>1391</v>
      </c>
      <c r="R293">
        <v>139.1</v>
      </c>
      <c r="S293">
        <v>41.73</v>
      </c>
      <c r="T293">
        <v>1293.6300000000001</v>
      </c>
      <c r="U293" t="s">
        <v>1114</v>
      </c>
      <c r="V293" s="37">
        <v>0.08</v>
      </c>
    </row>
    <row r="294" spans="1:22" x14ac:dyDescent="0.2">
      <c r="A294">
        <v>1293</v>
      </c>
      <c r="B294" t="s">
        <v>544</v>
      </c>
      <c r="C294" t="s">
        <v>545</v>
      </c>
      <c r="D294" t="s">
        <v>1402</v>
      </c>
      <c r="E294" t="s">
        <v>34</v>
      </c>
      <c r="F294" t="s">
        <v>1100</v>
      </c>
      <c r="G294" t="s">
        <v>16</v>
      </c>
      <c r="H294" t="s">
        <v>14</v>
      </c>
      <c r="I294" t="s">
        <v>198</v>
      </c>
      <c r="J294" t="s">
        <v>21</v>
      </c>
      <c r="K294" t="s">
        <v>776</v>
      </c>
      <c r="L294">
        <v>28</v>
      </c>
      <c r="M294">
        <v>7</v>
      </c>
      <c r="N294">
        <v>1993</v>
      </c>
      <c r="O294" s="36">
        <v>34178</v>
      </c>
      <c r="P294">
        <v>32</v>
      </c>
      <c r="Q294">
        <v>2528</v>
      </c>
      <c r="R294">
        <v>252.8</v>
      </c>
      <c r="S294">
        <v>75.84</v>
      </c>
      <c r="T294">
        <v>2351.04</v>
      </c>
      <c r="U294" t="s">
        <v>1114</v>
      </c>
      <c r="V294" s="37">
        <v>0.08</v>
      </c>
    </row>
    <row r="295" spans="1:22" x14ac:dyDescent="0.2">
      <c r="A295">
        <v>1294</v>
      </c>
      <c r="B295" t="s">
        <v>546</v>
      </c>
      <c r="C295" t="s">
        <v>547</v>
      </c>
      <c r="D295" t="s">
        <v>1403</v>
      </c>
      <c r="E295" t="s">
        <v>34</v>
      </c>
      <c r="F295" t="s">
        <v>1101</v>
      </c>
      <c r="G295" t="s">
        <v>16</v>
      </c>
      <c r="H295" t="s">
        <v>11</v>
      </c>
      <c r="I295" t="s">
        <v>26</v>
      </c>
      <c r="J295" t="s">
        <v>12</v>
      </c>
      <c r="K295" t="s">
        <v>777</v>
      </c>
      <c r="L295">
        <v>28</v>
      </c>
      <c r="M295">
        <v>4</v>
      </c>
      <c r="N295">
        <v>1992</v>
      </c>
      <c r="O295" s="36">
        <v>33722</v>
      </c>
      <c r="P295">
        <v>33</v>
      </c>
      <c r="Q295">
        <v>6040</v>
      </c>
      <c r="R295">
        <v>604</v>
      </c>
      <c r="S295">
        <v>181.2</v>
      </c>
      <c r="T295">
        <v>5617.2</v>
      </c>
      <c r="U295" t="s">
        <v>1114</v>
      </c>
      <c r="V295" s="37">
        <v>0.05</v>
      </c>
    </row>
    <row r="296" spans="1:22" x14ac:dyDescent="0.2">
      <c r="A296">
        <v>1295</v>
      </c>
      <c r="B296" t="s">
        <v>520</v>
      </c>
      <c r="C296" t="s">
        <v>548</v>
      </c>
      <c r="D296" t="s">
        <v>1404</v>
      </c>
      <c r="E296" t="s">
        <v>34</v>
      </c>
      <c r="F296" t="s">
        <v>1102</v>
      </c>
      <c r="G296" t="s">
        <v>795</v>
      </c>
      <c r="H296" t="s">
        <v>20</v>
      </c>
      <c r="I296" t="s">
        <v>17</v>
      </c>
      <c r="J296" t="s">
        <v>12</v>
      </c>
      <c r="K296" t="s">
        <v>778</v>
      </c>
      <c r="L296">
        <v>13</v>
      </c>
      <c r="M296">
        <v>8</v>
      </c>
      <c r="N296">
        <v>2015</v>
      </c>
      <c r="O296" s="36">
        <v>42229</v>
      </c>
      <c r="P296">
        <v>10</v>
      </c>
      <c r="Q296">
        <v>3842</v>
      </c>
      <c r="R296">
        <v>384.20000000000005</v>
      </c>
      <c r="S296">
        <v>115.25999999999999</v>
      </c>
      <c r="T296">
        <v>3573.0600000000004</v>
      </c>
      <c r="U296" t="s">
        <v>1114</v>
      </c>
      <c r="V296" s="37">
        <v>0.05</v>
      </c>
    </row>
    <row r="297" spans="1:22" x14ac:dyDescent="0.2">
      <c r="A297">
        <v>1296</v>
      </c>
      <c r="B297" t="s">
        <v>247</v>
      </c>
      <c r="C297" t="s">
        <v>549</v>
      </c>
      <c r="D297" t="s">
        <v>1405</v>
      </c>
      <c r="E297" t="s">
        <v>33</v>
      </c>
      <c r="F297" t="s">
        <v>1103</v>
      </c>
      <c r="G297" t="s">
        <v>16</v>
      </c>
      <c r="H297" t="s">
        <v>11</v>
      </c>
      <c r="I297" t="s">
        <v>198</v>
      </c>
      <c r="J297" t="s">
        <v>10</v>
      </c>
      <c r="K297" t="s">
        <v>779</v>
      </c>
      <c r="L297">
        <v>9</v>
      </c>
      <c r="M297">
        <v>11</v>
      </c>
      <c r="N297">
        <v>1992</v>
      </c>
      <c r="O297" s="36">
        <v>33917</v>
      </c>
      <c r="P297">
        <v>33</v>
      </c>
      <c r="Q297">
        <v>1542</v>
      </c>
      <c r="R297">
        <v>154.20000000000002</v>
      </c>
      <c r="S297">
        <v>46.26</v>
      </c>
      <c r="T297">
        <v>1434.06</v>
      </c>
      <c r="U297" t="s">
        <v>1114</v>
      </c>
      <c r="V297" s="37">
        <v>0.08</v>
      </c>
    </row>
    <row r="298" spans="1:22" x14ac:dyDescent="0.2">
      <c r="A298">
        <v>1297</v>
      </c>
      <c r="B298" t="s">
        <v>550</v>
      </c>
      <c r="C298" t="s">
        <v>551</v>
      </c>
      <c r="D298" t="s">
        <v>1406</v>
      </c>
      <c r="E298" t="s">
        <v>34</v>
      </c>
      <c r="F298" t="s">
        <v>1104</v>
      </c>
      <c r="G298" t="s">
        <v>16</v>
      </c>
      <c r="H298" t="s">
        <v>14</v>
      </c>
      <c r="I298" t="s">
        <v>9</v>
      </c>
      <c r="J298" t="s">
        <v>12</v>
      </c>
      <c r="K298" t="s">
        <v>780</v>
      </c>
      <c r="L298">
        <v>10</v>
      </c>
      <c r="M298">
        <v>4</v>
      </c>
      <c r="N298">
        <v>2001</v>
      </c>
      <c r="O298" s="36">
        <v>36991</v>
      </c>
      <c r="P298">
        <v>24</v>
      </c>
      <c r="Q298">
        <v>3134</v>
      </c>
      <c r="R298">
        <v>313.40000000000003</v>
      </c>
      <c r="S298">
        <v>94.02</v>
      </c>
      <c r="T298">
        <v>2914.62</v>
      </c>
      <c r="U298" t="s">
        <v>1114</v>
      </c>
      <c r="V298" s="37">
        <v>0.08</v>
      </c>
    </row>
    <row r="299" spans="1:22" x14ac:dyDescent="0.2">
      <c r="A299">
        <v>1298</v>
      </c>
      <c r="B299" t="s">
        <v>255</v>
      </c>
      <c r="C299" t="s">
        <v>210</v>
      </c>
      <c r="D299" t="s">
        <v>1407</v>
      </c>
      <c r="E299" t="s">
        <v>34</v>
      </c>
      <c r="F299" t="s">
        <v>1105</v>
      </c>
      <c r="G299" t="s">
        <v>16</v>
      </c>
      <c r="H299" t="s">
        <v>14</v>
      </c>
      <c r="I299" t="s">
        <v>22</v>
      </c>
      <c r="J299" t="s">
        <v>21</v>
      </c>
      <c r="K299" t="s">
        <v>781</v>
      </c>
      <c r="L299">
        <v>21</v>
      </c>
      <c r="M299">
        <v>1</v>
      </c>
      <c r="N299">
        <v>2010</v>
      </c>
      <c r="O299" s="36">
        <v>40199</v>
      </c>
      <c r="P299">
        <v>15</v>
      </c>
      <c r="Q299">
        <v>4921</v>
      </c>
      <c r="R299">
        <v>492.1</v>
      </c>
      <c r="S299">
        <v>147.63</v>
      </c>
      <c r="T299">
        <v>4576.53</v>
      </c>
      <c r="U299" t="s">
        <v>1114</v>
      </c>
      <c r="V299" s="37">
        <v>0.05</v>
      </c>
    </row>
    <row r="300" spans="1:22" x14ac:dyDescent="0.2">
      <c r="A300">
        <v>1299</v>
      </c>
      <c r="B300" t="s">
        <v>552</v>
      </c>
      <c r="C300" t="s">
        <v>553</v>
      </c>
      <c r="D300" t="s">
        <v>1408</v>
      </c>
      <c r="E300" t="s">
        <v>33</v>
      </c>
      <c r="F300" t="s">
        <v>1106</v>
      </c>
      <c r="G300" t="s">
        <v>16</v>
      </c>
      <c r="H300" t="s">
        <v>11</v>
      </c>
      <c r="I300" t="s">
        <v>198</v>
      </c>
      <c r="J300" t="s">
        <v>19</v>
      </c>
      <c r="K300" t="s">
        <v>782</v>
      </c>
      <c r="L300">
        <v>13</v>
      </c>
      <c r="M300">
        <v>7</v>
      </c>
      <c r="N300">
        <v>2001</v>
      </c>
      <c r="O300" s="36">
        <v>37085</v>
      </c>
      <c r="P300">
        <v>24</v>
      </c>
      <c r="Q300">
        <v>1948</v>
      </c>
      <c r="R300">
        <v>194.8</v>
      </c>
      <c r="S300">
        <v>58.44</v>
      </c>
      <c r="T300">
        <v>1811.64</v>
      </c>
      <c r="U300" t="s">
        <v>1114</v>
      </c>
      <c r="V300" s="37">
        <v>0.08</v>
      </c>
    </row>
    <row r="301" spans="1:22" x14ac:dyDescent="0.2">
      <c r="A301">
        <v>1300</v>
      </c>
      <c r="B301" t="s">
        <v>36</v>
      </c>
      <c r="C301" t="s">
        <v>554</v>
      </c>
      <c r="D301" t="s">
        <v>1409</v>
      </c>
      <c r="E301" t="s">
        <v>34</v>
      </c>
      <c r="F301" t="s">
        <v>1107</v>
      </c>
      <c r="G301" t="s">
        <v>18</v>
      </c>
      <c r="H301" t="s">
        <v>8</v>
      </c>
      <c r="I301" t="s">
        <v>22</v>
      </c>
      <c r="J301" t="s">
        <v>21</v>
      </c>
      <c r="K301" t="s">
        <v>783</v>
      </c>
      <c r="L301">
        <v>8</v>
      </c>
      <c r="M301">
        <v>3</v>
      </c>
      <c r="N301">
        <v>2015</v>
      </c>
      <c r="O301" s="36">
        <v>42071</v>
      </c>
      <c r="P301">
        <v>10</v>
      </c>
      <c r="Q301">
        <v>3294</v>
      </c>
      <c r="R301">
        <v>329.40000000000003</v>
      </c>
      <c r="S301">
        <v>98.82</v>
      </c>
      <c r="T301">
        <v>3063.42</v>
      </c>
      <c r="U301" t="s">
        <v>1114</v>
      </c>
      <c r="V301" s="37">
        <v>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2633-04BD-4041-94BF-70D68D6D0500}">
  <sheetPr>
    <tabColor rgb="FF0070C0"/>
  </sheetPr>
  <dimension ref="A1:Z3441"/>
  <sheetViews>
    <sheetView showFormulas="1" topLeftCell="H1" zoomScaleNormal="100" workbookViewId="0">
      <selection activeCell="O2" sqref="O2"/>
    </sheetView>
  </sheetViews>
  <sheetFormatPr defaultColWidth="9.125" defaultRowHeight="15.75" customHeight="1" x14ac:dyDescent="0.25"/>
  <cols>
    <col min="1" max="1" width="4.375" style="1" bestFit="1" customWidth="1"/>
    <col min="2" max="2" width="12.125" style="1" bestFit="1" customWidth="1"/>
    <col min="3" max="3" width="11.125" style="1" bestFit="1" customWidth="1"/>
    <col min="4" max="4" width="20.5" style="1" bestFit="1" customWidth="1"/>
    <col min="5" max="5" width="6.75" style="1" bestFit="1" customWidth="1"/>
    <col min="6" max="6" width="11.75" style="1" bestFit="1" customWidth="1"/>
    <col min="7" max="7" width="10.5" style="1" bestFit="1" customWidth="1"/>
    <col min="8" max="8" width="9.375" style="1" customWidth="1"/>
    <col min="9" max="9" width="18.125" style="1" bestFit="1" customWidth="1"/>
    <col min="10" max="10" width="12.75" style="7" bestFit="1" customWidth="1"/>
    <col min="11" max="11" width="22.75" style="1" customWidth="1"/>
    <col min="12" max="12" width="7.375" style="1" bestFit="1" customWidth="1"/>
    <col min="13" max="13" width="10" style="1" customWidth="1"/>
    <col min="14" max="14" width="8" style="1" bestFit="1" customWidth="1"/>
    <col min="15" max="15" width="9.5" style="1" bestFit="1" customWidth="1"/>
    <col min="16" max="16" width="13.5" style="1" bestFit="1" customWidth="1"/>
    <col min="17" max="17" width="8.75" style="6" bestFit="1" customWidth="1"/>
    <col min="18" max="18" width="10.75" style="1" customWidth="1"/>
    <col min="19" max="19" width="12" style="1" customWidth="1"/>
    <col min="20" max="21" width="10.75" style="1" customWidth="1"/>
    <col min="22" max="22" width="12" style="34" customWidth="1"/>
    <col min="23" max="23" width="10.625" style="1" customWidth="1"/>
    <col min="24" max="24" width="4" style="21" customWidth="1"/>
    <col min="25" max="25" width="17.5" style="21" bestFit="1" customWidth="1"/>
    <col min="26" max="26" width="16.75" style="21" bestFit="1" customWidth="1"/>
    <col min="27" max="27" width="17.5" style="1" bestFit="1" customWidth="1"/>
    <col min="28" max="29" width="9.125" style="1"/>
    <col min="30" max="30" width="14" style="1" bestFit="1" customWidth="1"/>
    <col min="31" max="16384" width="9.125" style="1"/>
  </cols>
  <sheetData>
    <row r="1" spans="1:26" ht="15.75" customHeight="1" x14ac:dyDescent="0.25">
      <c r="A1" s="15" t="s">
        <v>0</v>
      </c>
      <c r="B1" s="16" t="s">
        <v>128</v>
      </c>
      <c r="C1" s="16" t="s">
        <v>129</v>
      </c>
      <c r="D1" s="16" t="s">
        <v>201</v>
      </c>
      <c r="E1" s="16" t="s">
        <v>130</v>
      </c>
      <c r="F1" s="16" t="s">
        <v>1</v>
      </c>
      <c r="G1" s="16" t="s">
        <v>2</v>
      </c>
      <c r="H1" s="17" t="s">
        <v>786</v>
      </c>
      <c r="I1" s="17" t="s">
        <v>3</v>
      </c>
      <c r="J1" s="18" t="s">
        <v>4</v>
      </c>
      <c r="K1" s="16" t="s">
        <v>5</v>
      </c>
      <c r="L1" s="19" t="s">
        <v>205</v>
      </c>
      <c r="M1" s="19" t="s">
        <v>206</v>
      </c>
      <c r="N1" s="19" t="s">
        <v>207</v>
      </c>
      <c r="O1" s="19" t="s">
        <v>794</v>
      </c>
      <c r="P1" s="19" t="s">
        <v>199</v>
      </c>
      <c r="Q1" s="20" t="s">
        <v>6</v>
      </c>
      <c r="R1" s="17" t="s">
        <v>138</v>
      </c>
      <c r="S1" s="17" t="s">
        <v>789</v>
      </c>
      <c r="T1" s="17" t="s">
        <v>793</v>
      </c>
      <c r="U1" s="17" t="s">
        <v>28</v>
      </c>
      <c r="V1" s="32" t="s">
        <v>792</v>
      </c>
    </row>
    <row r="2" spans="1:26" ht="15.75" customHeight="1" x14ac:dyDescent="0.25">
      <c r="A2" s="8">
        <v>1001</v>
      </c>
      <c r="B2" s="9" t="s">
        <v>131</v>
      </c>
      <c r="C2" s="9" t="s">
        <v>135</v>
      </c>
      <c r="D2" s="9" t="str">
        <f>PROPER(TRIM((B2 &amp;" "&amp; C2)))</f>
        <v>Ghadir Ahmed</v>
      </c>
      <c r="E2" s="9" t="s">
        <v>33</v>
      </c>
      <c r="F2" s="9" t="s">
        <v>808</v>
      </c>
      <c r="G2" s="9" t="s">
        <v>795</v>
      </c>
      <c r="H2" s="10" t="s">
        <v>8</v>
      </c>
      <c r="I2" s="10" t="s">
        <v>9</v>
      </c>
      <c r="J2" s="11" t="s">
        <v>10</v>
      </c>
      <c r="K2" s="9" t="s">
        <v>139</v>
      </c>
      <c r="L2" s="12">
        <v>5</v>
      </c>
      <c r="M2" s="13">
        <v>4</v>
      </c>
      <c r="N2" s="13">
        <v>2023</v>
      </c>
      <c r="O2" s="31">
        <f>DATE(N2,M2,L2)</f>
        <v>45021</v>
      </c>
      <c r="P2" s="13">
        <f ca="1">DATEDIF(O2,TODAY(),"y")</f>
        <v>3</v>
      </c>
      <c r="Q2" s="29">
        <v>6548</v>
      </c>
      <c r="R2" s="30">
        <f>Q2*0.1</f>
        <v>654.80000000000007</v>
      </c>
      <c r="S2" s="30">
        <f>Q2*0.03</f>
        <v>196.44</v>
      </c>
      <c r="T2" s="30">
        <f>Q2+S2-R2</f>
        <v>6089.6399999999994</v>
      </c>
      <c r="U2" s="14" t="str">
        <f>IF(T2&gt;=6000,"over","normal")</f>
        <v>over</v>
      </c>
      <c r="V2" s="33">
        <f>VLOOKUP(T2,$Y$6:$Z$10,2,TRUE)</f>
        <v>0.02</v>
      </c>
      <c r="X2" s="44" t="s">
        <v>28</v>
      </c>
      <c r="Y2" s="44"/>
      <c r="Z2" s="44"/>
    </row>
    <row r="3" spans="1:26" ht="15.75" customHeight="1" x14ac:dyDescent="0.25">
      <c r="A3" s="8">
        <v>1002</v>
      </c>
      <c r="B3" s="9" t="s">
        <v>136</v>
      </c>
      <c r="C3" s="9" t="s">
        <v>790</v>
      </c>
      <c r="D3" s="9" t="str">
        <f t="shared" ref="D3:D66" si="0">PROPER(TRIM((B3 &amp;" "&amp; C3)))</f>
        <v>Omar Hisham</v>
      </c>
      <c r="E3" s="9" t="s">
        <v>34</v>
      </c>
      <c r="F3" s="9" t="s">
        <v>809</v>
      </c>
      <c r="G3" s="9" t="s">
        <v>7</v>
      </c>
      <c r="H3" s="10" t="s">
        <v>11</v>
      </c>
      <c r="I3" s="10" t="s">
        <v>22</v>
      </c>
      <c r="J3" s="11" t="s">
        <v>12</v>
      </c>
      <c r="K3" s="9" t="s">
        <v>140</v>
      </c>
      <c r="L3" s="12">
        <v>6</v>
      </c>
      <c r="M3" s="13">
        <v>1</v>
      </c>
      <c r="N3" s="13">
        <v>2001</v>
      </c>
      <c r="O3" s="31">
        <f t="shared" ref="O3:O66" si="1">DATE(N3,M3,L3)</f>
        <v>36897</v>
      </c>
      <c r="P3" s="13">
        <f t="shared" ref="P3:P66" ca="1" si="2">DATEDIF(O3,TODAY(),"y")</f>
        <v>25</v>
      </c>
      <c r="Q3" s="29">
        <v>7175</v>
      </c>
      <c r="R3" s="30">
        <f t="shared" ref="R3:R66" si="3">Q3*0.1</f>
        <v>717.5</v>
      </c>
      <c r="S3" s="30">
        <f t="shared" ref="S3:S66" si="4">Q3*0.03</f>
        <v>215.25</v>
      </c>
      <c r="T3" s="30">
        <f t="shared" ref="T3:T66" si="5">Q3+S3-R3</f>
        <v>6672.75</v>
      </c>
      <c r="U3" s="14" t="str">
        <f t="shared" ref="U3:U66" si="6">IF(T3&gt;=6000,"over","normal")</f>
        <v>over</v>
      </c>
      <c r="V3" s="33">
        <f t="shared" ref="V3:V66" si="7">VLOOKUP(T3,$Y$6:$Z$10,2,TRUE)</f>
        <v>0.02</v>
      </c>
      <c r="X3" s="22" t="s">
        <v>200</v>
      </c>
      <c r="Y3" s="23" t="s">
        <v>787</v>
      </c>
      <c r="Z3" s="23" t="s">
        <v>788</v>
      </c>
    </row>
    <row r="4" spans="1:26" ht="15.75" customHeight="1" x14ac:dyDescent="0.25">
      <c r="A4" s="8">
        <v>1003</v>
      </c>
      <c r="B4" s="9" t="s">
        <v>132</v>
      </c>
      <c r="C4" s="9" t="s">
        <v>137</v>
      </c>
      <c r="D4" s="9" t="str">
        <f t="shared" si="0"/>
        <v>Ailya Sharaf</v>
      </c>
      <c r="E4" s="9" t="s">
        <v>33</v>
      </c>
      <c r="F4" s="9" t="s">
        <v>810</v>
      </c>
      <c r="G4" s="9" t="s">
        <v>13</v>
      </c>
      <c r="H4" s="10" t="s">
        <v>14</v>
      </c>
      <c r="I4" s="10" t="s">
        <v>9</v>
      </c>
      <c r="J4" s="11" t="s">
        <v>10</v>
      </c>
      <c r="K4" s="9" t="s">
        <v>141</v>
      </c>
      <c r="L4" s="12">
        <v>7</v>
      </c>
      <c r="M4" s="13">
        <v>1</v>
      </c>
      <c r="N4" s="13">
        <v>2007</v>
      </c>
      <c r="O4" s="31">
        <f t="shared" si="1"/>
        <v>39089</v>
      </c>
      <c r="P4" s="13">
        <f t="shared" ca="1" si="2"/>
        <v>19</v>
      </c>
      <c r="Q4" s="29">
        <v>4070</v>
      </c>
      <c r="R4" s="30">
        <f t="shared" si="3"/>
        <v>407</v>
      </c>
      <c r="S4" s="30">
        <f t="shared" si="4"/>
        <v>122.1</v>
      </c>
      <c r="T4" s="30">
        <f t="shared" si="5"/>
        <v>3785.1000000000004</v>
      </c>
      <c r="U4" s="14" t="str">
        <f t="shared" si="6"/>
        <v>normal</v>
      </c>
      <c r="V4" s="33">
        <f t="shared" si="7"/>
        <v>0.05</v>
      </c>
    </row>
    <row r="5" spans="1:26" ht="15.75" customHeight="1" x14ac:dyDescent="0.25">
      <c r="A5" s="8">
        <v>1004</v>
      </c>
      <c r="B5" s="9" t="s">
        <v>133</v>
      </c>
      <c r="C5" s="9" t="s">
        <v>35</v>
      </c>
      <c r="D5" s="9" t="str">
        <f t="shared" si="0"/>
        <v>Lwiy Qbany</v>
      </c>
      <c r="E5" s="9" t="s">
        <v>34</v>
      </c>
      <c r="F5" s="9" t="s">
        <v>811</v>
      </c>
      <c r="G5" s="9" t="s">
        <v>795</v>
      </c>
      <c r="H5" s="10" t="s">
        <v>8</v>
      </c>
      <c r="I5" s="10" t="s">
        <v>15</v>
      </c>
      <c r="J5" s="11" t="s">
        <v>12</v>
      </c>
      <c r="K5" s="9" t="s">
        <v>142</v>
      </c>
      <c r="L5" s="12">
        <v>21</v>
      </c>
      <c r="M5" s="13">
        <v>1</v>
      </c>
      <c r="N5" s="13">
        <v>1993</v>
      </c>
      <c r="O5" s="31">
        <f t="shared" si="1"/>
        <v>33990</v>
      </c>
      <c r="P5" s="13">
        <f t="shared" ca="1" si="2"/>
        <v>33</v>
      </c>
      <c r="Q5" s="29">
        <v>1906</v>
      </c>
      <c r="R5" s="30">
        <f t="shared" si="3"/>
        <v>190.60000000000002</v>
      </c>
      <c r="S5" s="30">
        <f t="shared" si="4"/>
        <v>57.18</v>
      </c>
      <c r="T5" s="30">
        <f t="shared" si="5"/>
        <v>1772.58</v>
      </c>
      <c r="U5" s="14" t="str">
        <f t="shared" si="6"/>
        <v>normal</v>
      </c>
      <c r="V5" s="33">
        <f t="shared" si="7"/>
        <v>0.08</v>
      </c>
      <c r="Y5" s="43" t="s">
        <v>792</v>
      </c>
      <c r="Z5" s="43"/>
    </row>
    <row r="6" spans="1:26" ht="15.75" customHeight="1" x14ac:dyDescent="0.25">
      <c r="A6" s="8">
        <v>1005</v>
      </c>
      <c r="B6" s="9" t="s">
        <v>134</v>
      </c>
      <c r="C6" s="9" t="s">
        <v>202</v>
      </c>
      <c r="D6" s="9" t="str">
        <f t="shared" si="0"/>
        <v>Ahmad Bikri</v>
      </c>
      <c r="E6" s="9" t="s">
        <v>34</v>
      </c>
      <c r="F6" s="9" t="s">
        <v>812</v>
      </c>
      <c r="G6" s="9" t="s">
        <v>16</v>
      </c>
      <c r="H6" s="10" t="s">
        <v>14</v>
      </c>
      <c r="I6" s="10" t="s">
        <v>15</v>
      </c>
      <c r="J6" s="11" t="s">
        <v>12</v>
      </c>
      <c r="K6" s="9" t="s">
        <v>143</v>
      </c>
      <c r="L6" s="12">
        <v>26</v>
      </c>
      <c r="M6" s="13">
        <v>1</v>
      </c>
      <c r="N6" s="13">
        <v>2019</v>
      </c>
      <c r="O6" s="31">
        <f t="shared" si="1"/>
        <v>43491</v>
      </c>
      <c r="P6" s="13">
        <f t="shared" ca="1" si="2"/>
        <v>7</v>
      </c>
      <c r="Q6" s="29">
        <v>2600</v>
      </c>
      <c r="R6" s="30">
        <f t="shared" si="3"/>
        <v>260</v>
      </c>
      <c r="S6" s="30">
        <f t="shared" si="4"/>
        <v>78</v>
      </c>
      <c r="T6" s="30">
        <f t="shared" si="5"/>
        <v>2418</v>
      </c>
      <c r="U6" s="14" t="str">
        <f t="shared" si="6"/>
        <v>normal</v>
      </c>
      <c r="V6" s="33">
        <f t="shared" si="7"/>
        <v>0.08</v>
      </c>
      <c r="Y6" s="24" t="s">
        <v>793</v>
      </c>
      <c r="Z6" s="24" t="s">
        <v>791</v>
      </c>
    </row>
    <row r="7" spans="1:26" ht="15.75" customHeight="1" x14ac:dyDescent="0.25">
      <c r="A7" s="8">
        <v>1006</v>
      </c>
      <c r="B7" s="9" t="s">
        <v>37</v>
      </c>
      <c r="C7" s="9" t="s">
        <v>38</v>
      </c>
      <c r="D7" s="9" t="str">
        <f t="shared" si="0"/>
        <v>Muhamad Zueitr</v>
      </c>
      <c r="E7" s="9" t="s">
        <v>34</v>
      </c>
      <c r="F7" s="9" t="s">
        <v>813</v>
      </c>
      <c r="G7" s="9" t="s">
        <v>13</v>
      </c>
      <c r="H7" s="10" t="s">
        <v>11</v>
      </c>
      <c r="I7" s="10" t="s">
        <v>17</v>
      </c>
      <c r="J7" s="11" t="s">
        <v>12</v>
      </c>
      <c r="K7" s="9" t="s">
        <v>144</v>
      </c>
      <c r="L7" s="12">
        <v>26</v>
      </c>
      <c r="M7" s="13">
        <v>1</v>
      </c>
      <c r="N7" s="13">
        <v>2003</v>
      </c>
      <c r="O7" s="31">
        <f t="shared" si="1"/>
        <v>37647</v>
      </c>
      <c r="P7" s="13">
        <f t="shared" ca="1" si="2"/>
        <v>23</v>
      </c>
      <c r="Q7" s="29">
        <v>3753</v>
      </c>
      <c r="R7" s="30">
        <f t="shared" si="3"/>
        <v>375.3</v>
      </c>
      <c r="S7" s="30">
        <f t="shared" si="4"/>
        <v>112.58999999999999</v>
      </c>
      <c r="T7" s="30">
        <f t="shared" si="5"/>
        <v>3490.29</v>
      </c>
      <c r="U7" s="14" t="str">
        <f t="shared" si="6"/>
        <v>normal</v>
      </c>
      <c r="V7" s="33">
        <f t="shared" si="7"/>
        <v>0.05</v>
      </c>
      <c r="Y7" s="25">
        <v>1</v>
      </c>
      <c r="Z7" s="26">
        <v>0.1</v>
      </c>
    </row>
    <row r="8" spans="1:26" ht="15.75" customHeight="1" x14ac:dyDescent="0.25">
      <c r="A8" s="8">
        <v>1007</v>
      </c>
      <c r="B8" s="9" t="s">
        <v>39</v>
      </c>
      <c r="C8" s="9" t="s">
        <v>40</v>
      </c>
      <c r="D8" s="9" t="str">
        <f t="shared" si="0"/>
        <v>Iin Alhalaliu</v>
      </c>
      <c r="E8" s="9" t="s">
        <v>33</v>
      </c>
      <c r="F8" s="9" t="s">
        <v>814</v>
      </c>
      <c r="G8" s="9" t="s">
        <v>18</v>
      </c>
      <c r="H8" s="10" t="s">
        <v>8</v>
      </c>
      <c r="I8" s="10" t="s">
        <v>198</v>
      </c>
      <c r="J8" s="11" t="s">
        <v>19</v>
      </c>
      <c r="K8" s="9" t="s">
        <v>145</v>
      </c>
      <c r="L8" s="12">
        <v>29</v>
      </c>
      <c r="M8" s="13">
        <v>1</v>
      </c>
      <c r="N8" s="13">
        <v>1994</v>
      </c>
      <c r="O8" s="31">
        <f t="shared" si="1"/>
        <v>34363</v>
      </c>
      <c r="P8" s="13">
        <f t="shared" ca="1" si="2"/>
        <v>32</v>
      </c>
      <c r="Q8" s="29">
        <v>5086</v>
      </c>
      <c r="R8" s="30">
        <f t="shared" si="3"/>
        <v>508.6</v>
      </c>
      <c r="S8" s="30">
        <f t="shared" si="4"/>
        <v>152.57999999999998</v>
      </c>
      <c r="T8" s="30">
        <f t="shared" si="5"/>
        <v>4729.9799999999996</v>
      </c>
      <c r="U8" s="14" t="str">
        <f t="shared" si="6"/>
        <v>normal</v>
      </c>
      <c r="V8" s="33">
        <f t="shared" si="7"/>
        <v>0.05</v>
      </c>
      <c r="Y8" s="25">
        <v>1000</v>
      </c>
      <c r="Z8" s="26">
        <v>0.08</v>
      </c>
    </row>
    <row r="9" spans="1:26" ht="15.75" customHeight="1" x14ac:dyDescent="0.25">
      <c r="A9" s="8">
        <v>1008</v>
      </c>
      <c r="B9" s="9" t="s">
        <v>37</v>
      </c>
      <c r="C9" s="9" t="s">
        <v>41</v>
      </c>
      <c r="D9" s="9" t="str">
        <f t="shared" si="0"/>
        <v>Muhamad Alaya</v>
      </c>
      <c r="E9" s="9" t="s">
        <v>34</v>
      </c>
      <c r="F9" s="9" t="s">
        <v>815</v>
      </c>
      <c r="G9" s="9" t="s">
        <v>13</v>
      </c>
      <c r="H9" s="10" t="s">
        <v>20</v>
      </c>
      <c r="I9" s="10" t="s">
        <v>9</v>
      </c>
      <c r="J9" s="11" t="s">
        <v>21</v>
      </c>
      <c r="K9" s="9" t="s">
        <v>146</v>
      </c>
      <c r="L9" s="12">
        <v>29</v>
      </c>
      <c r="M9" s="13">
        <v>1</v>
      </c>
      <c r="N9" s="13">
        <v>2012</v>
      </c>
      <c r="O9" s="31">
        <f t="shared" si="1"/>
        <v>40937</v>
      </c>
      <c r="P9" s="13">
        <f t="shared" ca="1" si="2"/>
        <v>14</v>
      </c>
      <c r="Q9" s="29">
        <v>2431</v>
      </c>
      <c r="R9" s="30">
        <f t="shared" si="3"/>
        <v>243.10000000000002</v>
      </c>
      <c r="S9" s="30">
        <f t="shared" si="4"/>
        <v>72.929999999999993</v>
      </c>
      <c r="T9" s="30">
        <f t="shared" si="5"/>
        <v>2260.83</v>
      </c>
      <c r="U9" s="14" t="str">
        <f t="shared" si="6"/>
        <v>normal</v>
      </c>
      <c r="V9" s="33">
        <f t="shared" si="7"/>
        <v>0.08</v>
      </c>
      <c r="Y9" s="25">
        <v>3000</v>
      </c>
      <c r="Z9" s="26">
        <v>0.05</v>
      </c>
    </row>
    <row r="10" spans="1:26" ht="15.75" customHeight="1" x14ac:dyDescent="0.25">
      <c r="A10" s="8">
        <v>1009</v>
      </c>
      <c r="B10" s="9" t="s">
        <v>42</v>
      </c>
      <c r="C10" s="9" t="s">
        <v>43</v>
      </c>
      <c r="D10" s="9" t="str">
        <f t="shared" si="0"/>
        <v>Susin Almilat</v>
      </c>
      <c r="E10" s="9" t="s">
        <v>33</v>
      </c>
      <c r="F10" s="9" t="s">
        <v>816</v>
      </c>
      <c r="G10" s="9" t="s">
        <v>16</v>
      </c>
      <c r="H10" s="10" t="s">
        <v>8</v>
      </c>
      <c r="I10" s="10" t="s">
        <v>9</v>
      </c>
      <c r="J10" s="11" t="s">
        <v>12</v>
      </c>
      <c r="K10" s="9" t="s">
        <v>147</v>
      </c>
      <c r="L10" s="12">
        <v>30</v>
      </c>
      <c r="M10" s="13">
        <v>1</v>
      </c>
      <c r="N10" s="13">
        <v>2004</v>
      </c>
      <c r="O10" s="31">
        <f t="shared" si="1"/>
        <v>38016</v>
      </c>
      <c r="P10" s="13">
        <f t="shared" ca="1" si="2"/>
        <v>22</v>
      </c>
      <c r="Q10" s="29">
        <v>2955</v>
      </c>
      <c r="R10" s="30">
        <f t="shared" si="3"/>
        <v>295.5</v>
      </c>
      <c r="S10" s="30">
        <f t="shared" si="4"/>
        <v>88.649999999999991</v>
      </c>
      <c r="T10" s="30">
        <f t="shared" si="5"/>
        <v>2748.15</v>
      </c>
      <c r="U10" s="14" t="str">
        <f t="shared" si="6"/>
        <v>normal</v>
      </c>
      <c r="V10" s="33">
        <f t="shared" si="7"/>
        <v>0.08</v>
      </c>
      <c r="Y10" s="25">
        <v>6000</v>
      </c>
      <c r="Z10" s="26">
        <v>0.02</v>
      </c>
    </row>
    <row r="11" spans="1:26" ht="15.75" customHeight="1" x14ac:dyDescent="0.25">
      <c r="A11" s="8">
        <v>1010</v>
      </c>
      <c r="B11" s="9" t="s">
        <v>37</v>
      </c>
      <c r="C11" s="9" t="s">
        <v>44</v>
      </c>
      <c r="D11" s="9" t="str">
        <f t="shared" si="0"/>
        <v>Muhamad Alrifaei</v>
      </c>
      <c r="E11" s="9" t="s">
        <v>34</v>
      </c>
      <c r="F11" s="9" t="s">
        <v>817</v>
      </c>
      <c r="G11" s="9" t="s">
        <v>16</v>
      </c>
      <c r="H11" s="10" t="s">
        <v>14</v>
      </c>
      <c r="I11" s="10" t="s">
        <v>198</v>
      </c>
      <c r="J11" s="11" t="s">
        <v>12</v>
      </c>
      <c r="K11" s="9" t="s">
        <v>148</v>
      </c>
      <c r="L11" s="12">
        <v>11</v>
      </c>
      <c r="M11" s="13">
        <v>2</v>
      </c>
      <c r="N11" s="13">
        <v>2003</v>
      </c>
      <c r="O11" s="31">
        <f t="shared" si="1"/>
        <v>37663</v>
      </c>
      <c r="P11" s="13">
        <f t="shared" ca="1" si="2"/>
        <v>23</v>
      </c>
      <c r="Q11" s="29">
        <v>1948</v>
      </c>
      <c r="R11" s="30">
        <f t="shared" si="3"/>
        <v>194.8</v>
      </c>
      <c r="S11" s="30">
        <f t="shared" si="4"/>
        <v>58.44</v>
      </c>
      <c r="T11" s="30">
        <f t="shared" si="5"/>
        <v>1811.64</v>
      </c>
      <c r="U11" s="14" t="str">
        <f t="shared" si="6"/>
        <v>normal</v>
      </c>
      <c r="V11" s="33">
        <f t="shared" si="7"/>
        <v>0.08</v>
      </c>
    </row>
    <row r="12" spans="1:26" ht="15.75" customHeight="1" x14ac:dyDescent="0.25">
      <c r="A12" s="8">
        <v>1011</v>
      </c>
      <c r="B12" s="9" t="s">
        <v>37</v>
      </c>
      <c r="C12" s="9" t="s">
        <v>45</v>
      </c>
      <c r="D12" s="9" t="str">
        <f t="shared" si="0"/>
        <v>Muhamad Alqadah</v>
      </c>
      <c r="E12" s="9" t="s">
        <v>34</v>
      </c>
      <c r="F12" s="9" t="s">
        <v>818</v>
      </c>
      <c r="G12" s="9" t="s">
        <v>18</v>
      </c>
      <c r="H12" s="10" t="s">
        <v>14</v>
      </c>
      <c r="I12" s="10" t="s">
        <v>22</v>
      </c>
      <c r="J12" s="11" t="s">
        <v>21</v>
      </c>
      <c r="K12" s="9" t="s">
        <v>149</v>
      </c>
      <c r="L12" s="12">
        <v>11</v>
      </c>
      <c r="M12" s="13">
        <v>2</v>
      </c>
      <c r="N12" s="13">
        <v>1993</v>
      </c>
      <c r="O12" s="31">
        <f t="shared" si="1"/>
        <v>34011</v>
      </c>
      <c r="P12" s="13">
        <f t="shared" ca="1" si="2"/>
        <v>33</v>
      </c>
      <c r="Q12" s="29">
        <v>3294</v>
      </c>
      <c r="R12" s="30">
        <f t="shared" si="3"/>
        <v>329.40000000000003</v>
      </c>
      <c r="S12" s="30">
        <f t="shared" si="4"/>
        <v>98.82</v>
      </c>
      <c r="T12" s="30">
        <f t="shared" si="5"/>
        <v>3063.42</v>
      </c>
      <c r="U12" s="14" t="str">
        <f t="shared" si="6"/>
        <v>normal</v>
      </c>
      <c r="V12" s="33">
        <f t="shared" si="7"/>
        <v>0.05</v>
      </c>
    </row>
    <row r="13" spans="1:26" ht="15.75" customHeight="1" x14ac:dyDescent="0.25">
      <c r="A13" s="8">
        <v>1012</v>
      </c>
      <c r="B13" s="9" t="s">
        <v>37</v>
      </c>
      <c r="C13" s="9" t="s">
        <v>46</v>
      </c>
      <c r="D13" s="9" t="str">
        <f t="shared" si="0"/>
        <v>Muhamad Iad</v>
      </c>
      <c r="E13" s="9" t="s">
        <v>34</v>
      </c>
      <c r="F13" s="9" t="s">
        <v>819</v>
      </c>
      <c r="G13" s="9" t="s">
        <v>795</v>
      </c>
      <c r="H13" s="10" t="s">
        <v>11</v>
      </c>
      <c r="I13" s="10" t="s">
        <v>198</v>
      </c>
      <c r="J13" s="11" t="s">
        <v>10</v>
      </c>
      <c r="K13" s="9" t="s">
        <v>150</v>
      </c>
      <c r="L13" s="12">
        <v>17</v>
      </c>
      <c r="M13" s="13">
        <v>2</v>
      </c>
      <c r="N13" s="13">
        <v>2005</v>
      </c>
      <c r="O13" s="31">
        <f t="shared" si="1"/>
        <v>38400</v>
      </c>
      <c r="P13" s="13">
        <f t="shared" ca="1" si="2"/>
        <v>21</v>
      </c>
      <c r="Q13" s="29">
        <v>7123</v>
      </c>
      <c r="R13" s="30">
        <f t="shared" si="3"/>
        <v>712.30000000000007</v>
      </c>
      <c r="S13" s="30">
        <f t="shared" si="4"/>
        <v>213.69</v>
      </c>
      <c r="T13" s="30">
        <f t="shared" si="5"/>
        <v>6624.3899999999994</v>
      </c>
      <c r="U13" s="14" t="str">
        <f t="shared" si="6"/>
        <v>over</v>
      </c>
      <c r="V13" s="33">
        <f t="shared" si="7"/>
        <v>0.02</v>
      </c>
    </row>
    <row r="14" spans="1:26" ht="15.75" customHeight="1" x14ac:dyDescent="0.25">
      <c r="A14" s="8">
        <v>1013</v>
      </c>
      <c r="B14" s="9" t="s">
        <v>47</v>
      </c>
      <c r="C14" s="9" t="s">
        <v>48</v>
      </c>
      <c r="D14" s="9" t="str">
        <f t="shared" si="0"/>
        <v>Razaan Nasif</v>
      </c>
      <c r="E14" s="9" t="s">
        <v>33</v>
      </c>
      <c r="F14" s="9" t="s">
        <v>820</v>
      </c>
      <c r="G14" s="9" t="s">
        <v>13</v>
      </c>
      <c r="H14" s="10" t="s">
        <v>8</v>
      </c>
      <c r="I14" s="10" t="s">
        <v>22</v>
      </c>
      <c r="J14" s="11" t="s">
        <v>10</v>
      </c>
      <c r="K14" s="9" t="s">
        <v>151</v>
      </c>
      <c r="L14" s="12">
        <v>25</v>
      </c>
      <c r="M14" s="13">
        <v>2</v>
      </c>
      <c r="N14" s="13">
        <v>2019</v>
      </c>
      <c r="O14" s="31">
        <f t="shared" si="1"/>
        <v>43521</v>
      </c>
      <c r="P14" s="13">
        <f t="shared" ca="1" si="2"/>
        <v>7</v>
      </c>
      <c r="Q14" s="29">
        <v>7236</v>
      </c>
      <c r="R14" s="30">
        <f t="shared" si="3"/>
        <v>723.6</v>
      </c>
      <c r="S14" s="30">
        <f t="shared" si="4"/>
        <v>217.07999999999998</v>
      </c>
      <c r="T14" s="30">
        <f t="shared" si="5"/>
        <v>6729.48</v>
      </c>
      <c r="U14" s="14" t="str">
        <f t="shared" si="6"/>
        <v>over</v>
      </c>
      <c r="V14" s="33">
        <f t="shared" si="7"/>
        <v>0.02</v>
      </c>
    </row>
    <row r="15" spans="1:26" ht="15.75" customHeight="1" x14ac:dyDescent="0.25">
      <c r="A15" s="8">
        <v>1014</v>
      </c>
      <c r="B15" s="9" t="s">
        <v>49</v>
      </c>
      <c r="C15" s="9" t="s">
        <v>203</v>
      </c>
      <c r="D15" s="9" t="str">
        <f t="shared" si="0"/>
        <v>Iilian Mohamed</v>
      </c>
      <c r="E15" s="9" t="s">
        <v>33</v>
      </c>
      <c r="F15" s="9" t="s">
        <v>821</v>
      </c>
      <c r="G15" s="9" t="s">
        <v>795</v>
      </c>
      <c r="H15" s="10" t="s">
        <v>8</v>
      </c>
      <c r="I15" s="10" t="s">
        <v>198</v>
      </c>
      <c r="J15" s="11" t="s">
        <v>12</v>
      </c>
      <c r="K15" s="9" t="s">
        <v>152</v>
      </c>
      <c r="L15" s="12">
        <v>26</v>
      </c>
      <c r="M15" s="13">
        <v>2</v>
      </c>
      <c r="N15" s="13">
        <v>2004</v>
      </c>
      <c r="O15" s="31">
        <f t="shared" si="1"/>
        <v>38043</v>
      </c>
      <c r="P15" s="13">
        <f t="shared" ca="1" si="2"/>
        <v>22</v>
      </c>
      <c r="Q15" s="29">
        <v>6843</v>
      </c>
      <c r="R15" s="30">
        <f t="shared" si="3"/>
        <v>684.30000000000007</v>
      </c>
      <c r="S15" s="30">
        <f t="shared" si="4"/>
        <v>205.29</v>
      </c>
      <c r="T15" s="30">
        <f t="shared" si="5"/>
        <v>6363.99</v>
      </c>
      <c r="U15" s="14" t="str">
        <f t="shared" si="6"/>
        <v>over</v>
      </c>
      <c r="V15" s="33">
        <f t="shared" si="7"/>
        <v>0.02</v>
      </c>
    </row>
    <row r="16" spans="1:26" ht="15.75" customHeight="1" x14ac:dyDescent="0.25">
      <c r="A16" s="8">
        <v>1015</v>
      </c>
      <c r="B16" s="9" t="s">
        <v>51</v>
      </c>
      <c r="C16" s="9" t="s">
        <v>204</v>
      </c>
      <c r="D16" s="9" t="str">
        <f t="shared" si="0"/>
        <v>Bayan Mostafa</v>
      </c>
      <c r="E16" s="9" t="s">
        <v>33</v>
      </c>
      <c r="F16" s="9" t="s">
        <v>822</v>
      </c>
      <c r="G16" s="9" t="s">
        <v>795</v>
      </c>
      <c r="H16" s="10" t="s">
        <v>20</v>
      </c>
      <c r="I16" s="10" t="s">
        <v>198</v>
      </c>
      <c r="J16" s="11" t="s">
        <v>12</v>
      </c>
      <c r="K16" s="9" t="s">
        <v>153</v>
      </c>
      <c r="L16" s="12">
        <v>2</v>
      </c>
      <c r="M16" s="13">
        <v>3</v>
      </c>
      <c r="N16" s="13">
        <v>2011</v>
      </c>
      <c r="O16" s="31">
        <f t="shared" si="1"/>
        <v>40604</v>
      </c>
      <c r="P16" s="13">
        <f t="shared" ca="1" si="2"/>
        <v>15</v>
      </c>
      <c r="Q16" s="29">
        <v>1070</v>
      </c>
      <c r="R16" s="30">
        <f t="shared" si="3"/>
        <v>107</v>
      </c>
      <c r="S16" s="30">
        <f t="shared" si="4"/>
        <v>32.1</v>
      </c>
      <c r="T16" s="30">
        <f t="shared" si="5"/>
        <v>995.09999999999991</v>
      </c>
      <c r="U16" s="14" t="str">
        <f t="shared" si="6"/>
        <v>normal</v>
      </c>
      <c r="V16" s="33">
        <f t="shared" si="7"/>
        <v>0.1</v>
      </c>
    </row>
    <row r="17" spans="1:22" ht="15.75" customHeight="1" x14ac:dyDescent="0.25">
      <c r="A17" s="8">
        <v>1016</v>
      </c>
      <c r="B17" s="9" t="s">
        <v>52</v>
      </c>
      <c r="C17" s="9" t="s">
        <v>37</v>
      </c>
      <c r="D17" s="9" t="str">
        <f t="shared" si="0"/>
        <v>Alaa Muhamad</v>
      </c>
      <c r="E17" s="9" t="s">
        <v>34</v>
      </c>
      <c r="F17" s="9" t="s">
        <v>823</v>
      </c>
      <c r="G17" s="9" t="s">
        <v>13</v>
      </c>
      <c r="H17" s="10" t="s">
        <v>20</v>
      </c>
      <c r="I17" s="10" t="s">
        <v>198</v>
      </c>
      <c r="J17" s="11" t="s">
        <v>10</v>
      </c>
      <c r="K17" s="9" t="s">
        <v>154</v>
      </c>
      <c r="L17" s="12">
        <v>10</v>
      </c>
      <c r="M17" s="13">
        <v>3</v>
      </c>
      <c r="N17" s="13">
        <v>2020</v>
      </c>
      <c r="O17" s="31">
        <f t="shared" si="1"/>
        <v>43900</v>
      </c>
      <c r="P17" s="13">
        <f t="shared" ca="1" si="2"/>
        <v>6</v>
      </c>
      <c r="Q17" s="29">
        <v>1493</v>
      </c>
      <c r="R17" s="30">
        <f t="shared" si="3"/>
        <v>149.30000000000001</v>
      </c>
      <c r="S17" s="30">
        <f t="shared" si="4"/>
        <v>44.79</v>
      </c>
      <c r="T17" s="30">
        <f t="shared" si="5"/>
        <v>1388.49</v>
      </c>
      <c r="U17" s="14" t="str">
        <f t="shared" si="6"/>
        <v>normal</v>
      </c>
      <c r="V17" s="33">
        <f t="shared" si="7"/>
        <v>0.08</v>
      </c>
    </row>
    <row r="18" spans="1:22" ht="15.75" customHeight="1" x14ac:dyDescent="0.25">
      <c r="A18" s="8">
        <v>1017</v>
      </c>
      <c r="B18" s="9" t="s">
        <v>53</v>
      </c>
      <c r="C18" s="9" t="s">
        <v>784</v>
      </c>
      <c r="D18" s="9" t="str">
        <f t="shared" si="0"/>
        <v>Sandra Ziad</v>
      </c>
      <c r="E18" s="9" t="s">
        <v>33</v>
      </c>
      <c r="F18" s="9" t="s">
        <v>824</v>
      </c>
      <c r="G18" s="9" t="s">
        <v>18</v>
      </c>
      <c r="H18" s="10" t="s">
        <v>8</v>
      </c>
      <c r="I18" s="10" t="s">
        <v>22</v>
      </c>
      <c r="J18" s="11" t="s">
        <v>12</v>
      </c>
      <c r="K18" s="9" t="s">
        <v>785</v>
      </c>
      <c r="L18" s="12">
        <v>6</v>
      </c>
      <c r="M18" s="13">
        <v>4</v>
      </c>
      <c r="N18" s="13">
        <v>1999</v>
      </c>
      <c r="O18" s="31">
        <f t="shared" si="1"/>
        <v>36256</v>
      </c>
      <c r="P18" s="13">
        <f t="shared" ca="1" si="2"/>
        <v>27</v>
      </c>
      <c r="Q18" s="29">
        <v>5857</v>
      </c>
      <c r="R18" s="30">
        <f t="shared" si="3"/>
        <v>585.70000000000005</v>
      </c>
      <c r="S18" s="30">
        <f t="shared" si="4"/>
        <v>175.70999999999998</v>
      </c>
      <c r="T18" s="30">
        <f t="shared" si="5"/>
        <v>5447.01</v>
      </c>
      <c r="U18" s="14" t="str">
        <f t="shared" si="6"/>
        <v>normal</v>
      </c>
      <c r="V18" s="33">
        <f t="shared" si="7"/>
        <v>0.05</v>
      </c>
    </row>
    <row r="19" spans="1:22" ht="15.75" customHeight="1" x14ac:dyDescent="0.25">
      <c r="A19" s="8">
        <v>1018</v>
      </c>
      <c r="B19" s="9" t="s">
        <v>54</v>
      </c>
      <c r="C19" s="9" t="s">
        <v>55</v>
      </c>
      <c r="D19" s="9" t="str">
        <f t="shared" si="0"/>
        <v>Farahad Husayn</v>
      </c>
      <c r="E19" s="9" t="s">
        <v>34</v>
      </c>
      <c r="F19" s="9" t="s">
        <v>825</v>
      </c>
      <c r="G19" s="9" t="s">
        <v>18</v>
      </c>
      <c r="H19" s="10" t="s">
        <v>11</v>
      </c>
      <c r="I19" s="10" t="s">
        <v>23</v>
      </c>
      <c r="J19" s="11" t="s">
        <v>12</v>
      </c>
      <c r="K19" s="9" t="s">
        <v>155</v>
      </c>
      <c r="L19" s="12">
        <v>12</v>
      </c>
      <c r="M19" s="13">
        <v>4</v>
      </c>
      <c r="N19" s="13">
        <v>2004</v>
      </c>
      <c r="O19" s="31">
        <f t="shared" si="1"/>
        <v>38089</v>
      </c>
      <c r="P19" s="13">
        <f t="shared" ca="1" si="2"/>
        <v>22</v>
      </c>
      <c r="Q19" s="29">
        <v>5278</v>
      </c>
      <c r="R19" s="30">
        <f t="shared" si="3"/>
        <v>527.80000000000007</v>
      </c>
      <c r="S19" s="30">
        <f t="shared" si="4"/>
        <v>158.34</v>
      </c>
      <c r="T19" s="30">
        <f t="shared" si="5"/>
        <v>4908.54</v>
      </c>
      <c r="U19" s="14" t="str">
        <f t="shared" si="6"/>
        <v>normal</v>
      </c>
      <c r="V19" s="33">
        <f t="shared" si="7"/>
        <v>0.05</v>
      </c>
    </row>
    <row r="20" spans="1:22" ht="15.75" customHeight="1" x14ac:dyDescent="0.25">
      <c r="A20" s="8">
        <v>1019</v>
      </c>
      <c r="B20" s="9" t="s">
        <v>56</v>
      </c>
      <c r="C20" s="9" t="s">
        <v>57</v>
      </c>
      <c r="D20" s="9" t="str">
        <f t="shared" si="0"/>
        <v>Ahed Salim</v>
      </c>
      <c r="E20" s="9" t="s">
        <v>33</v>
      </c>
      <c r="F20" s="9" t="s">
        <v>826</v>
      </c>
      <c r="G20" s="9" t="s">
        <v>795</v>
      </c>
      <c r="H20" s="10" t="s">
        <v>8</v>
      </c>
      <c r="I20" s="10" t="s">
        <v>23</v>
      </c>
      <c r="J20" s="11" t="s">
        <v>12</v>
      </c>
      <c r="K20" s="9" t="s">
        <v>156</v>
      </c>
      <c r="L20" s="12">
        <v>13</v>
      </c>
      <c r="M20" s="13">
        <v>4</v>
      </c>
      <c r="N20" s="13">
        <v>1999</v>
      </c>
      <c r="O20" s="31">
        <f t="shared" si="1"/>
        <v>36263</v>
      </c>
      <c r="P20" s="13">
        <f t="shared" ca="1" si="2"/>
        <v>27</v>
      </c>
      <c r="Q20" s="29">
        <v>5710</v>
      </c>
      <c r="R20" s="30">
        <f t="shared" si="3"/>
        <v>571</v>
      </c>
      <c r="S20" s="30">
        <f t="shared" si="4"/>
        <v>171.29999999999998</v>
      </c>
      <c r="T20" s="30">
        <f t="shared" si="5"/>
        <v>5310.3</v>
      </c>
      <c r="U20" s="14" t="str">
        <f t="shared" si="6"/>
        <v>normal</v>
      </c>
      <c r="V20" s="33">
        <f t="shared" si="7"/>
        <v>0.05</v>
      </c>
    </row>
    <row r="21" spans="1:22" ht="15.75" customHeight="1" x14ac:dyDescent="0.25">
      <c r="A21" s="8">
        <v>1020</v>
      </c>
      <c r="B21" s="9" t="s">
        <v>58</v>
      </c>
      <c r="C21" s="9" t="s">
        <v>59</v>
      </c>
      <c r="D21" s="9" t="str">
        <f t="shared" si="0"/>
        <v>Ayham Tutwnji</v>
      </c>
      <c r="E21" s="9" t="s">
        <v>34</v>
      </c>
      <c r="F21" s="9" t="s">
        <v>827</v>
      </c>
      <c r="G21" s="9" t="s">
        <v>13</v>
      </c>
      <c r="H21" s="10" t="s">
        <v>8</v>
      </c>
      <c r="I21" s="10" t="s">
        <v>15</v>
      </c>
      <c r="J21" s="11" t="s">
        <v>12</v>
      </c>
      <c r="K21" s="9" t="s">
        <v>157</v>
      </c>
      <c r="L21" s="12">
        <v>28</v>
      </c>
      <c r="M21" s="13">
        <v>4</v>
      </c>
      <c r="N21" s="13">
        <v>2020</v>
      </c>
      <c r="O21" s="31">
        <f t="shared" si="1"/>
        <v>43949</v>
      </c>
      <c r="P21" s="13">
        <f t="shared" ca="1" si="2"/>
        <v>5</v>
      </c>
      <c r="Q21" s="29">
        <v>6145</v>
      </c>
      <c r="R21" s="30">
        <f t="shared" si="3"/>
        <v>614.5</v>
      </c>
      <c r="S21" s="30">
        <f t="shared" si="4"/>
        <v>184.35</v>
      </c>
      <c r="T21" s="30">
        <f t="shared" si="5"/>
        <v>5714.85</v>
      </c>
      <c r="U21" s="14" t="str">
        <f t="shared" si="6"/>
        <v>normal</v>
      </c>
      <c r="V21" s="33">
        <f t="shared" si="7"/>
        <v>0.05</v>
      </c>
    </row>
    <row r="22" spans="1:22" ht="15.75" customHeight="1" x14ac:dyDescent="0.25">
      <c r="A22" s="8">
        <v>1021</v>
      </c>
      <c r="B22" s="9" t="s">
        <v>60</v>
      </c>
      <c r="C22" s="9" t="s">
        <v>61</v>
      </c>
      <c r="D22" s="9" t="str">
        <f t="shared" si="0"/>
        <v>Samir Alsafdi</v>
      </c>
      <c r="E22" s="9" t="s">
        <v>34</v>
      </c>
      <c r="F22" s="9" t="s">
        <v>828</v>
      </c>
      <c r="G22" s="9" t="s">
        <v>16</v>
      </c>
      <c r="H22" s="10" t="s">
        <v>11</v>
      </c>
      <c r="I22" s="10" t="s">
        <v>23</v>
      </c>
      <c r="J22" s="11" t="s">
        <v>21</v>
      </c>
      <c r="K22" s="9" t="s">
        <v>158</v>
      </c>
      <c r="L22" s="12">
        <v>1</v>
      </c>
      <c r="M22" s="13">
        <v>5</v>
      </c>
      <c r="N22" s="13">
        <v>2012</v>
      </c>
      <c r="O22" s="31">
        <f t="shared" si="1"/>
        <v>41030</v>
      </c>
      <c r="P22" s="13">
        <f t="shared" ca="1" si="2"/>
        <v>13</v>
      </c>
      <c r="Q22" s="29">
        <v>5278</v>
      </c>
      <c r="R22" s="30">
        <f t="shared" si="3"/>
        <v>527.80000000000007</v>
      </c>
      <c r="S22" s="30">
        <f t="shared" si="4"/>
        <v>158.34</v>
      </c>
      <c r="T22" s="30">
        <f t="shared" si="5"/>
        <v>4908.54</v>
      </c>
      <c r="U22" s="14" t="str">
        <f t="shared" si="6"/>
        <v>normal</v>
      </c>
      <c r="V22" s="33">
        <f t="shared" si="7"/>
        <v>0.05</v>
      </c>
    </row>
    <row r="23" spans="1:22" ht="15.75" customHeight="1" x14ac:dyDescent="0.25">
      <c r="A23" s="8">
        <v>1022</v>
      </c>
      <c r="B23" s="9" t="s">
        <v>62</v>
      </c>
      <c r="C23" s="9" t="s">
        <v>63</v>
      </c>
      <c r="D23" s="9" t="str">
        <f t="shared" si="0"/>
        <v>Bilal Jalal</v>
      </c>
      <c r="E23" s="9" t="s">
        <v>34</v>
      </c>
      <c r="F23" s="9" t="s">
        <v>829</v>
      </c>
      <c r="G23" s="9" t="s">
        <v>16</v>
      </c>
      <c r="H23" s="10" t="s">
        <v>11</v>
      </c>
      <c r="I23" s="10" t="s">
        <v>9</v>
      </c>
      <c r="J23" s="11" t="s">
        <v>10</v>
      </c>
      <c r="K23" s="9" t="s">
        <v>159</v>
      </c>
      <c r="L23" s="12">
        <v>7</v>
      </c>
      <c r="M23" s="13">
        <v>5</v>
      </c>
      <c r="N23" s="13">
        <v>1996</v>
      </c>
      <c r="O23" s="31">
        <f t="shared" si="1"/>
        <v>35192</v>
      </c>
      <c r="P23" s="13">
        <f t="shared" ca="1" si="2"/>
        <v>29</v>
      </c>
      <c r="Q23" s="29">
        <v>6409</v>
      </c>
      <c r="R23" s="30">
        <f t="shared" si="3"/>
        <v>640.90000000000009</v>
      </c>
      <c r="S23" s="30">
        <f t="shared" si="4"/>
        <v>192.26999999999998</v>
      </c>
      <c r="T23" s="30">
        <f t="shared" si="5"/>
        <v>5960.3700000000008</v>
      </c>
      <c r="U23" s="14" t="str">
        <f t="shared" si="6"/>
        <v>normal</v>
      </c>
      <c r="V23" s="33">
        <f t="shared" si="7"/>
        <v>0.05</v>
      </c>
    </row>
    <row r="24" spans="1:22" ht="15.75" customHeight="1" x14ac:dyDescent="0.25">
      <c r="A24" s="8">
        <v>1023</v>
      </c>
      <c r="B24" s="9" t="s">
        <v>64</v>
      </c>
      <c r="C24" s="9" t="s">
        <v>65</v>
      </c>
      <c r="D24" s="9" t="str">
        <f t="shared" si="0"/>
        <v>Riad Sahalul</v>
      </c>
      <c r="E24" s="9" t="s">
        <v>34</v>
      </c>
      <c r="F24" s="9" t="s">
        <v>830</v>
      </c>
      <c r="G24" s="9" t="s">
        <v>13</v>
      </c>
      <c r="H24" s="10" t="s">
        <v>8</v>
      </c>
      <c r="I24" s="10" t="s">
        <v>9</v>
      </c>
      <c r="J24" s="11" t="s">
        <v>12</v>
      </c>
      <c r="K24" s="9" t="s">
        <v>160</v>
      </c>
      <c r="L24" s="12">
        <v>12</v>
      </c>
      <c r="M24" s="13">
        <v>5</v>
      </c>
      <c r="N24" s="13">
        <v>2007</v>
      </c>
      <c r="O24" s="31">
        <f t="shared" si="1"/>
        <v>39214</v>
      </c>
      <c r="P24" s="13">
        <f t="shared" ca="1" si="2"/>
        <v>18</v>
      </c>
      <c r="Q24" s="29">
        <v>7478</v>
      </c>
      <c r="R24" s="30">
        <f t="shared" si="3"/>
        <v>747.80000000000007</v>
      </c>
      <c r="S24" s="30">
        <f t="shared" si="4"/>
        <v>224.34</v>
      </c>
      <c r="T24" s="30">
        <f t="shared" si="5"/>
        <v>6954.54</v>
      </c>
      <c r="U24" s="14" t="str">
        <f t="shared" si="6"/>
        <v>over</v>
      </c>
      <c r="V24" s="33">
        <f t="shared" si="7"/>
        <v>0.02</v>
      </c>
    </row>
    <row r="25" spans="1:22" ht="15.75" customHeight="1" x14ac:dyDescent="0.25">
      <c r="A25" s="8">
        <v>1024</v>
      </c>
      <c r="B25" s="9" t="s">
        <v>36</v>
      </c>
      <c r="C25" s="9" t="s">
        <v>36</v>
      </c>
      <c r="D25" s="9" t="str">
        <f t="shared" si="0"/>
        <v>Ahmad Ahmad</v>
      </c>
      <c r="E25" s="9" t="s">
        <v>34</v>
      </c>
      <c r="F25" s="9" t="s">
        <v>831</v>
      </c>
      <c r="G25" s="9" t="s">
        <v>795</v>
      </c>
      <c r="H25" s="10" t="s">
        <v>8</v>
      </c>
      <c r="I25" s="10" t="s">
        <v>9</v>
      </c>
      <c r="J25" s="11" t="s">
        <v>19</v>
      </c>
      <c r="K25" s="9" t="s">
        <v>161</v>
      </c>
      <c r="L25" s="12">
        <v>18</v>
      </c>
      <c r="M25" s="13">
        <v>5</v>
      </c>
      <c r="N25" s="13">
        <v>2002</v>
      </c>
      <c r="O25" s="31">
        <f t="shared" si="1"/>
        <v>37394</v>
      </c>
      <c r="P25" s="13">
        <f t="shared" ca="1" si="2"/>
        <v>23</v>
      </c>
      <c r="Q25" s="29">
        <v>4621</v>
      </c>
      <c r="R25" s="30">
        <f t="shared" si="3"/>
        <v>462.1</v>
      </c>
      <c r="S25" s="30">
        <f t="shared" si="4"/>
        <v>138.63</v>
      </c>
      <c r="T25" s="30">
        <f t="shared" si="5"/>
        <v>4297.53</v>
      </c>
      <c r="U25" s="14" t="str">
        <f t="shared" si="6"/>
        <v>normal</v>
      </c>
      <c r="V25" s="33">
        <f t="shared" si="7"/>
        <v>0.05</v>
      </c>
    </row>
    <row r="26" spans="1:22" ht="15.75" customHeight="1" x14ac:dyDescent="0.25">
      <c r="A26" s="8">
        <v>1025</v>
      </c>
      <c r="B26" s="9" t="s">
        <v>37</v>
      </c>
      <c r="C26" s="9" t="s">
        <v>66</v>
      </c>
      <c r="D26" s="9" t="str">
        <f t="shared" si="0"/>
        <v>Muhamad Altarah</v>
      </c>
      <c r="E26" s="9" t="s">
        <v>34</v>
      </c>
      <c r="F26" s="9" t="s">
        <v>832</v>
      </c>
      <c r="G26" s="9" t="s">
        <v>16</v>
      </c>
      <c r="H26" s="10" t="s">
        <v>11</v>
      </c>
      <c r="I26" s="10" t="s">
        <v>24</v>
      </c>
      <c r="J26" s="11" t="s">
        <v>19</v>
      </c>
      <c r="K26" s="9" t="s">
        <v>162</v>
      </c>
      <c r="L26" s="12">
        <v>19</v>
      </c>
      <c r="M26" s="13">
        <v>5</v>
      </c>
      <c r="N26" s="13">
        <v>2002</v>
      </c>
      <c r="O26" s="31">
        <f t="shared" si="1"/>
        <v>37395</v>
      </c>
      <c r="P26" s="13">
        <f t="shared" ca="1" si="2"/>
        <v>23</v>
      </c>
      <c r="Q26" s="29">
        <v>2093</v>
      </c>
      <c r="R26" s="30">
        <f t="shared" si="3"/>
        <v>209.3</v>
      </c>
      <c r="S26" s="30">
        <f t="shared" si="4"/>
        <v>62.79</v>
      </c>
      <c r="T26" s="30">
        <f t="shared" si="5"/>
        <v>1946.49</v>
      </c>
      <c r="U26" s="14" t="str">
        <f t="shared" si="6"/>
        <v>normal</v>
      </c>
      <c r="V26" s="33">
        <f t="shared" si="7"/>
        <v>0.08</v>
      </c>
    </row>
    <row r="27" spans="1:22" ht="15.75" customHeight="1" x14ac:dyDescent="0.25">
      <c r="A27" s="8">
        <v>1026</v>
      </c>
      <c r="B27" s="9" t="s">
        <v>67</v>
      </c>
      <c r="C27" s="9" t="s">
        <v>68</v>
      </c>
      <c r="D27" s="9" t="str">
        <f t="shared" si="0"/>
        <v>Lwna Abu</v>
      </c>
      <c r="E27" s="9" t="s">
        <v>33</v>
      </c>
      <c r="F27" s="9" t="s">
        <v>833</v>
      </c>
      <c r="G27" s="9" t="s">
        <v>795</v>
      </c>
      <c r="H27" s="10" t="s">
        <v>11</v>
      </c>
      <c r="I27" s="10" t="s">
        <v>198</v>
      </c>
      <c r="J27" s="11" t="s">
        <v>12</v>
      </c>
      <c r="K27" s="9" t="s">
        <v>163</v>
      </c>
      <c r="L27" s="12">
        <v>20</v>
      </c>
      <c r="M27" s="13">
        <v>5</v>
      </c>
      <c r="N27" s="13">
        <v>2016</v>
      </c>
      <c r="O27" s="31">
        <f t="shared" si="1"/>
        <v>42510</v>
      </c>
      <c r="P27" s="13">
        <f t="shared" ca="1" si="2"/>
        <v>9</v>
      </c>
      <c r="Q27" s="29">
        <v>7333</v>
      </c>
      <c r="R27" s="30">
        <f t="shared" si="3"/>
        <v>733.30000000000007</v>
      </c>
      <c r="S27" s="30">
        <f t="shared" si="4"/>
        <v>219.98999999999998</v>
      </c>
      <c r="T27" s="30">
        <f t="shared" si="5"/>
        <v>6819.69</v>
      </c>
      <c r="U27" s="14" t="str">
        <f t="shared" si="6"/>
        <v>over</v>
      </c>
      <c r="V27" s="33">
        <f t="shared" si="7"/>
        <v>0.02</v>
      </c>
    </row>
    <row r="28" spans="1:22" ht="15.75" customHeight="1" x14ac:dyDescent="0.25">
      <c r="A28" s="8">
        <v>1027</v>
      </c>
      <c r="B28" s="9" t="s">
        <v>63</v>
      </c>
      <c r="C28" s="9" t="s">
        <v>69</v>
      </c>
      <c r="D28" s="9" t="str">
        <f t="shared" si="0"/>
        <v>Jalal Almuluhi</v>
      </c>
      <c r="E28" s="9" t="s">
        <v>34</v>
      </c>
      <c r="F28" s="9" t="s">
        <v>834</v>
      </c>
      <c r="G28" s="9" t="s">
        <v>16</v>
      </c>
      <c r="H28" s="10" t="s">
        <v>20</v>
      </c>
      <c r="I28" s="10" t="s">
        <v>15</v>
      </c>
      <c r="J28" s="11" t="s">
        <v>10</v>
      </c>
      <c r="K28" s="9" t="s">
        <v>164</v>
      </c>
      <c r="L28" s="12">
        <v>26</v>
      </c>
      <c r="M28" s="13">
        <v>5</v>
      </c>
      <c r="N28" s="13">
        <v>2000</v>
      </c>
      <c r="O28" s="31">
        <f t="shared" si="1"/>
        <v>36672</v>
      </c>
      <c r="P28" s="13">
        <f t="shared" ca="1" si="2"/>
        <v>25</v>
      </c>
      <c r="Q28" s="29">
        <v>1194</v>
      </c>
      <c r="R28" s="30">
        <f t="shared" si="3"/>
        <v>119.4</v>
      </c>
      <c r="S28" s="30">
        <f t="shared" si="4"/>
        <v>35.82</v>
      </c>
      <c r="T28" s="30">
        <f t="shared" si="5"/>
        <v>1110.4199999999998</v>
      </c>
      <c r="U28" s="14" t="str">
        <f t="shared" si="6"/>
        <v>normal</v>
      </c>
      <c r="V28" s="33">
        <f t="shared" si="7"/>
        <v>0.08</v>
      </c>
    </row>
    <row r="29" spans="1:22" ht="15.75" customHeight="1" x14ac:dyDescent="0.25">
      <c r="A29" s="8">
        <v>1028</v>
      </c>
      <c r="B29" s="9" t="s">
        <v>70</v>
      </c>
      <c r="C29" s="9" t="s">
        <v>71</v>
      </c>
      <c r="D29" s="9" t="str">
        <f t="shared" si="0"/>
        <v>Rana Mius</v>
      </c>
      <c r="E29" s="9" t="s">
        <v>33</v>
      </c>
      <c r="F29" s="9" t="s">
        <v>835</v>
      </c>
      <c r="G29" s="9" t="s">
        <v>7</v>
      </c>
      <c r="H29" s="10" t="s">
        <v>8</v>
      </c>
      <c r="I29" s="10" t="s">
        <v>15</v>
      </c>
      <c r="J29" s="11" t="s">
        <v>21</v>
      </c>
      <c r="K29" s="9" t="s">
        <v>165</v>
      </c>
      <c r="L29" s="12">
        <v>7</v>
      </c>
      <c r="M29" s="13">
        <v>6</v>
      </c>
      <c r="N29" s="13">
        <v>2000</v>
      </c>
      <c r="O29" s="31">
        <f t="shared" si="1"/>
        <v>36684</v>
      </c>
      <c r="P29" s="13">
        <f t="shared" ca="1" si="2"/>
        <v>25</v>
      </c>
      <c r="Q29" s="29">
        <v>5118</v>
      </c>
      <c r="R29" s="30">
        <f t="shared" si="3"/>
        <v>511.8</v>
      </c>
      <c r="S29" s="30">
        <f t="shared" si="4"/>
        <v>153.54</v>
      </c>
      <c r="T29" s="30">
        <f t="shared" si="5"/>
        <v>4759.74</v>
      </c>
      <c r="U29" s="14" t="str">
        <f t="shared" si="6"/>
        <v>normal</v>
      </c>
      <c r="V29" s="33">
        <f t="shared" si="7"/>
        <v>0.05</v>
      </c>
    </row>
    <row r="30" spans="1:22" ht="15.75" customHeight="1" x14ac:dyDescent="0.25">
      <c r="A30" s="8">
        <v>1029</v>
      </c>
      <c r="B30" s="9" t="s">
        <v>72</v>
      </c>
      <c r="C30" s="9" t="s">
        <v>73</v>
      </c>
      <c r="D30" s="9" t="str">
        <f t="shared" si="0"/>
        <v>Lina Aljabaan</v>
      </c>
      <c r="E30" s="9" t="s">
        <v>33</v>
      </c>
      <c r="F30" s="9" t="s">
        <v>836</v>
      </c>
      <c r="G30" s="9" t="s">
        <v>16</v>
      </c>
      <c r="H30" s="10" t="s">
        <v>11</v>
      </c>
      <c r="I30" s="10" t="s">
        <v>25</v>
      </c>
      <c r="J30" s="11" t="s">
        <v>12</v>
      </c>
      <c r="K30" s="9" t="s">
        <v>166</v>
      </c>
      <c r="L30" s="12">
        <v>8</v>
      </c>
      <c r="M30" s="13">
        <v>6</v>
      </c>
      <c r="N30" s="13">
        <v>2015</v>
      </c>
      <c r="O30" s="31">
        <f t="shared" si="1"/>
        <v>42163</v>
      </c>
      <c r="P30" s="13">
        <f t="shared" ca="1" si="2"/>
        <v>10</v>
      </c>
      <c r="Q30" s="29">
        <v>5373</v>
      </c>
      <c r="R30" s="30">
        <f t="shared" si="3"/>
        <v>537.30000000000007</v>
      </c>
      <c r="S30" s="30">
        <f t="shared" si="4"/>
        <v>161.19</v>
      </c>
      <c r="T30" s="30">
        <f t="shared" si="5"/>
        <v>4996.8899999999994</v>
      </c>
      <c r="U30" s="14" t="str">
        <f t="shared" si="6"/>
        <v>normal</v>
      </c>
      <c r="V30" s="33">
        <f t="shared" si="7"/>
        <v>0.05</v>
      </c>
    </row>
    <row r="31" spans="1:22" ht="15.75" customHeight="1" x14ac:dyDescent="0.25">
      <c r="A31" s="8">
        <v>1030</v>
      </c>
      <c r="B31" s="9" t="s">
        <v>74</v>
      </c>
      <c r="C31" s="9" t="s">
        <v>75</v>
      </c>
      <c r="D31" s="9" t="str">
        <f t="shared" si="0"/>
        <v>Rami Shanan</v>
      </c>
      <c r="E31" s="9" t="s">
        <v>34</v>
      </c>
      <c r="F31" s="9" t="s">
        <v>837</v>
      </c>
      <c r="G31" s="9" t="s">
        <v>16</v>
      </c>
      <c r="H31" s="10" t="s">
        <v>14</v>
      </c>
      <c r="I31" s="10" t="s">
        <v>26</v>
      </c>
      <c r="J31" s="11" t="s">
        <v>12</v>
      </c>
      <c r="K31" s="9" t="s">
        <v>167</v>
      </c>
      <c r="L31" s="12">
        <v>10</v>
      </c>
      <c r="M31" s="13">
        <v>6</v>
      </c>
      <c r="N31" s="13">
        <v>2020</v>
      </c>
      <c r="O31" s="31">
        <f t="shared" si="1"/>
        <v>43992</v>
      </c>
      <c r="P31" s="13">
        <f t="shared" ca="1" si="2"/>
        <v>5</v>
      </c>
      <c r="Q31" s="29">
        <v>1708</v>
      </c>
      <c r="R31" s="30">
        <f t="shared" si="3"/>
        <v>170.8</v>
      </c>
      <c r="S31" s="30">
        <f t="shared" si="4"/>
        <v>51.239999999999995</v>
      </c>
      <c r="T31" s="30">
        <f t="shared" si="5"/>
        <v>1588.44</v>
      </c>
      <c r="U31" s="14" t="str">
        <f t="shared" si="6"/>
        <v>normal</v>
      </c>
      <c r="V31" s="33">
        <f t="shared" si="7"/>
        <v>0.08</v>
      </c>
    </row>
    <row r="32" spans="1:22" ht="15.75" customHeight="1" x14ac:dyDescent="0.25">
      <c r="A32" s="8">
        <v>1031</v>
      </c>
      <c r="B32" s="9" t="s">
        <v>76</v>
      </c>
      <c r="C32" s="9" t="s">
        <v>77</v>
      </c>
      <c r="D32" s="9" t="str">
        <f t="shared" si="0"/>
        <v>Eala Alhaj</v>
      </c>
      <c r="E32" s="9" t="s">
        <v>33</v>
      </c>
      <c r="F32" s="9" t="s">
        <v>838</v>
      </c>
      <c r="G32" s="9" t="s">
        <v>18</v>
      </c>
      <c r="H32" s="10" t="s">
        <v>8</v>
      </c>
      <c r="I32" s="10" t="s">
        <v>198</v>
      </c>
      <c r="J32" s="11" t="s">
        <v>12</v>
      </c>
      <c r="K32" s="9" t="s">
        <v>168</v>
      </c>
      <c r="L32" s="12">
        <v>14</v>
      </c>
      <c r="M32" s="13">
        <v>6</v>
      </c>
      <c r="N32" s="13">
        <v>1993</v>
      </c>
      <c r="O32" s="31">
        <f t="shared" si="1"/>
        <v>34134</v>
      </c>
      <c r="P32" s="13">
        <f t="shared" ca="1" si="2"/>
        <v>32</v>
      </c>
      <c r="Q32" s="29">
        <v>2898</v>
      </c>
      <c r="R32" s="30">
        <f t="shared" si="3"/>
        <v>289.8</v>
      </c>
      <c r="S32" s="30">
        <f t="shared" si="4"/>
        <v>86.94</v>
      </c>
      <c r="T32" s="30">
        <f t="shared" si="5"/>
        <v>2695.14</v>
      </c>
      <c r="U32" s="14" t="str">
        <f t="shared" si="6"/>
        <v>normal</v>
      </c>
      <c r="V32" s="33">
        <f t="shared" si="7"/>
        <v>0.08</v>
      </c>
    </row>
    <row r="33" spans="1:25" ht="15.75" customHeight="1" x14ac:dyDescent="0.25">
      <c r="A33" s="8">
        <v>1032</v>
      </c>
      <c r="B33" s="9" t="s">
        <v>78</v>
      </c>
      <c r="C33" s="9" t="s">
        <v>79</v>
      </c>
      <c r="D33" s="9" t="str">
        <f t="shared" si="0"/>
        <v>Ghalib Zakianiin</v>
      </c>
      <c r="E33" s="9" t="s">
        <v>34</v>
      </c>
      <c r="F33" s="9" t="s">
        <v>839</v>
      </c>
      <c r="G33" s="9" t="s">
        <v>7</v>
      </c>
      <c r="H33" s="10" t="s">
        <v>8</v>
      </c>
      <c r="I33" s="10" t="s">
        <v>23</v>
      </c>
      <c r="J33" s="11" t="s">
        <v>10</v>
      </c>
      <c r="K33" s="9" t="s">
        <v>169</v>
      </c>
      <c r="L33" s="12">
        <v>18</v>
      </c>
      <c r="M33" s="13">
        <v>6</v>
      </c>
      <c r="N33" s="13">
        <v>1999</v>
      </c>
      <c r="O33" s="31">
        <f t="shared" si="1"/>
        <v>36329</v>
      </c>
      <c r="P33" s="13">
        <f t="shared" ca="1" si="2"/>
        <v>26</v>
      </c>
      <c r="Q33" s="29">
        <v>6211</v>
      </c>
      <c r="R33" s="30">
        <f t="shared" si="3"/>
        <v>621.1</v>
      </c>
      <c r="S33" s="30">
        <f t="shared" si="4"/>
        <v>186.32999999999998</v>
      </c>
      <c r="T33" s="30">
        <f t="shared" si="5"/>
        <v>5776.23</v>
      </c>
      <c r="U33" s="14" t="str">
        <f t="shared" si="6"/>
        <v>normal</v>
      </c>
      <c r="V33" s="33">
        <f t="shared" si="7"/>
        <v>0.05</v>
      </c>
    </row>
    <row r="34" spans="1:25" ht="15.75" customHeight="1" x14ac:dyDescent="0.25">
      <c r="A34" s="8">
        <v>1033</v>
      </c>
      <c r="B34" s="9" t="s">
        <v>37</v>
      </c>
      <c r="C34" s="9" t="s">
        <v>80</v>
      </c>
      <c r="D34" s="9" t="str">
        <f t="shared" si="0"/>
        <v>Muhamad Eurul</v>
      </c>
      <c r="E34" s="9" t="s">
        <v>34</v>
      </c>
      <c r="F34" s="9" t="s">
        <v>840</v>
      </c>
      <c r="G34" s="9" t="s">
        <v>18</v>
      </c>
      <c r="H34" s="10" t="s">
        <v>11</v>
      </c>
      <c r="I34" s="10" t="s">
        <v>9</v>
      </c>
      <c r="J34" s="11" t="s">
        <v>10</v>
      </c>
      <c r="K34" s="9" t="s">
        <v>170</v>
      </c>
      <c r="L34" s="12">
        <v>21</v>
      </c>
      <c r="M34" s="13">
        <v>6</v>
      </c>
      <c r="N34" s="13">
        <v>2011</v>
      </c>
      <c r="O34" s="31">
        <f t="shared" si="1"/>
        <v>40715</v>
      </c>
      <c r="P34" s="13">
        <f t="shared" ca="1" si="2"/>
        <v>14</v>
      </c>
      <c r="Q34" s="29">
        <v>5976</v>
      </c>
      <c r="R34" s="30">
        <f t="shared" si="3"/>
        <v>597.6</v>
      </c>
      <c r="S34" s="30">
        <f t="shared" si="4"/>
        <v>179.28</v>
      </c>
      <c r="T34" s="30">
        <f t="shared" si="5"/>
        <v>5557.6799999999994</v>
      </c>
      <c r="U34" s="14" t="str">
        <f t="shared" si="6"/>
        <v>normal</v>
      </c>
      <c r="V34" s="33">
        <f t="shared" si="7"/>
        <v>0.05</v>
      </c>
    </row>
    <row r="35" spans="1:25" ht="15.75" customHeight="1" x14ac:dyDescent="0.25">
      <c r="A35" s="8">
        <v>1034</v>
      </c>
      <c r="B35" s="9" t="s">
        <v>81</v>
      </c>
      <c r="C35" s="9" t="s">
        <v>82</v>
      </c>
      <c r="D35" s="9" t="str">
        <f t="shared" si="0"/>
        <v>Eizat Ghanim</v>
      </c>
      <c r="E35" s="9" t="s">
        <v>34</v>
      </c>
      <c r="F35" s="9" t="s">
        <v>841</v>
      </c>
      <c r="G35" s="9" t="s">
        <v>18</v>
      </c>
      <c r="H35" s="10" t="s">
        <v>20</v>
      </c>
      <c r="I35" s="10" t="s">
        <v>9</v>
      </c>
      <c r="J35" s="11" t="s">
        <v>12</v>
      </c>
      <c r="K35" s="9" t="s">
        <v>171</v>
      </c>
      <c r="L35" s="12">
        <v>1</v>
      </c>
      <c r="M35" s="13">
        <v>7</v>
      </c>
      <c r="N35" s="13">
        <v>1997</v>
      </c>
      <c r="O35" s="31">
        <f t="shared" si="1"/>
        <v>35612</v>
      </c>
      <c r="P35" s="13">
        <f t="shared" ca="1" si="2"/>
        <v>28</v>
      </c>
      <c r="Q35" s="29">
        <v>742</v>
      </c>
      <c r="R35" s="30">
        <f t="shared" si="3"/>
        <v>74.2</v>
      </c>
      <c r="S35" s="30">
        <f t="shared" si="4"/>
        <v>22.259999999999998</v>
      </c>
      <c r="T35" s="30">
        <f t="shared" si="5"/>
        <v>690.06</v>
      </c>
      <c r="U35" s="14" t="str">
        <f t="shared" si="6"/>
        <v>normal</v>
      </c>
      <c r="V35" s="33">
        <f t="shared" si="7"/>
        <v>0.1</v>
      </c>
      <c r="Y35" s="27"/>
    </row>
    <row r="36" spans="1:25" ht="15.75" customHeight="1" x14ac:dyDescent="0.25">
      <c r="A36" s="8">
        <v>1035</v>
      </c>
      <c r="B36" s="9" t="s">
        <v>36</v>
      </c>
      <c r="C36" s="9" t="s">
        <v>83</v>
      </c>
      <c r="D36" s="9" t="str">
        <f t="shared" si="0"/>
        <v>Ahmad Swyd</v>
      </c>
      <c r="E36" s="9" t="s">
        <v>34</v>
      </c>
      <c r="F36" s="9" t="s">
        <v>842</v>
      </c>
      <c r="G36" s="9" t="s">
        <v>13</v>
      </c>
      <c r="H36" s="10" t="s">
        <v>8</v>
      </c>
      <c r="I36" s="10" t="s">
        <v>24</v>
      </c>
      <c r="J36" s="11" t="s">
        <v>19</v>
      </c>
      <c r="K36" s="9" t="s">
        <v>172</v>
      </c>
      <c r="L36" s="12">
        <v>8</v>
      </c>
      <c r="M36" s="13">
        <v>7</v>
      </c>
      <c r="N36" s="13">
        <v>2008</v>
      </c>
      <c r="O36" s="31">
        <f t="shared" si="1"/>
        <v>39637</v>
      </c>
      <c r="P36" s="13">
        <f t="shared" ca="1" si="2"/>
        <v>17</v>
      </c>
      <c r="Q36" s="29">
        <v>5918</v>
      </c>
      <c r="R36" s="30">
        <f t="shared" si="3"/>
        <v>591.80000000000007</v>
      </c>
      <c r="S36" s="30">
        <f t="shared" si="4"/>
        <v>177.54</v>
      </c>
      <c r="T36" s="30">
        <f t="shared" si="5"/>
        <v>5503.74</v>
      </c>
      <c r="U36" s="14" t="str">
        <f t="shared" si="6"/>
        <v>normal</v>
      </c>
      <c r="V36" s="33">
        <f t="shared" si="7"/>
        <v>0.05</v>
      </c>
      <c r="Y36" s="27"/>
    </row>
    <row r="37" spans="1:25" ht="15.75" customHeight="1" x14ac:dyDescent="0.25">
      <c r="A37" s="8">
        <v>1036</v>
      </c>
      <c r="B37" s="9" t="s">
        <v>37</v>
      </c>
      <c r="C37" s="9" t="s">
        <v>84</v>
      </c>
      <c r="D37" s="9" t="str">
        <f t="shared" si="0"/>
        <v>Muhamad Aleass</v>
      </c>
      <c r="E37" s="9" t="s">
        <v>34</v>
      </c>
      <c r="F37" s="9" t="s">
        <v>843</v>
      </c>
      <c r="G37" s="9" t="s">
        <v>13</v>
      </c>
      <c r="H37" s="10" t="s">
        <v>8</v>
      </c>
      <c r="I37" s="10" t="s">
        <v>15</v>
      </c>
      <c r="J37" s="11" t="s">
        <v>19</v>
      </c>
      <c r="K37" s="9" t="s">
        <v>173</v>
      </c>
      <c r="L37" s="12">
        <v>9</v>
      </c>
      <c r="M37" s="13">
        <v>7</v>
      </c>
      <c r="N37" s="13">
        <v>1994</v>
      </c>
      <c r="O37" s="31">
        <f t="shared" si="1"/>
        <v>34524</v>
      </c>
      <c r="P37" s="13">
        <f t="shared" ca="1" si="2"/>
        <v>31</v>
      </c>
      <c r="Q37" s="29">
        <v>3074</v>
      </c>
      <c r="R37" s="30">
        <f t="shared" si="3"/>
        <v>307.40000000000003</v>
      </c>
      <c r="S37" s="30">
        <f t="shared" si="4"/>
        <v>92.22</v>
      </c>
      <c r="T37" s="30">
        <f t="shared" si="5"/>
        <v>2858.8199999999997</v>
      </c>
      <c r="U37" s="14" t="str">
        <f t="shared" si="6"/>
        <v>normal</v>
      </c>
      <c r="V37" s="33">
        <f t="shared" si="7"/>
        <v>0.08</v>
      </c>
      <c r="Y37" s="27"/>
    </row>
    <row r="38" spans="1:25" ht="15.75" customHeight="1" x14ac:dyDescent="0.25">
      <c r="A38" s="8">
        <v>1037</v>
      </c>
      <c r="B38" s="9" t="s">
        <v>85</v>
      </c>
      <c r="C38" s="9" t="s">
        <v>86</v>
      </c>
      <c r="D38" s="9" t="str">
        <f t="shared" si="0"/>
        <v>Rima Alasfar</v>
      </c>
      <c r="E38" s="9" t="s">
        <v>33</v>
      </c>
      <c r="F38" s="9" t="s">
        <v>844</v>
      </c>
      <c r="G38" s="9" t="s">
        <v>18</v>
      </c>
      <c r="H38" s="10" t="s">
        <v>11</v>
      </c>
      <c r="I38" s="10" t="s">
        <v>26</v>
      </c>
      <c r="J38" s="11" t="s">
        <v>10</v>
      </c>
      <c r="K38" s="9" t="s">
        <v>174</v>
      </c>
      <c r="L38" s="12">
        <v>11</v>
      </c>
      <c r="M38" s="13">
        <v>7</v>
      </c>
      <c r="N38" s="13">
        <v>2014</v>
      </c>
      <c r="O38" s="31">
        <f t="shared" si="1"/>
        <v>41831</v>
      </c>
      <c r="P38" s="13">
        <f t="shared" ca="1" si="2"/>
        <v>11</v>
      </c>
      <c r="Q38" s="29">
        <v>5688</v>
      </c>
      <c r="R38" s="30">
        <f t="shared" si="3"/>
        <v>568.80000000000007</v>
      </c>
      <c r="S38" s="30">
        <f t="shared" si="4"/>
        <v>170.64</v>
      </c>
      <c r="T38" s="30">
        <f t="shared" si="5"/>
        <v>5289.84</v>
      </c>
      <c r="U38" s="14" t="str">
        <f t="shared" si="6"/>
        <v>normal</v>
      </c>
      <c r="V38" s="33">
        <f t="shared" si="7"/>
        <v>0.05</v>
      </c>
      <c r="Y38" s="27"/>
    </row>
    <row r="39" spans="1:25" ht="15.75" customHeight="1" x14ac:dyDescent="0.25">
      <c r="A39" s="8">
        <v>1038</v>
      </c>
      <c r="B39" s="9" t="s">
        <v>87</v>
      </c>
      <c r="C39" s="9" t="s">
        <v>208</v>
      </c>
      <c r="D39" s="9" t="str">
        <f t="shared" si="0"/>
        <v>Zayn Atef</v>
      </c>
      <c r="E39" s="9" t="s">
        <v>33</v>
      </c>
      <c r="F39" s="9" t="s">
        <v>845</v>
      </c>
      <c r="G39" s="9" t="s">
        <v>13</v>
      </c>
      <c r="H39" s="10" t="s">
        <v>8</v>
      </c>
      <c r="I39" s="10" t="s">
        <v>26</v>
      </c>
      <c r="J39" s="11" t="s">
        <v>21</v>
      </c>
      <c r="K39" s="9" t="s">
        <v>209</v>
      </c>
      <c r="L39" s="12">
        <v>15</v>
      </c>
      <c r="M39" s="13">
        <v>7</v>
      </c>
      <c r="N39" s="13">
        <v>2013</v>
      </c>
      <c r="O39" s="31">
        <f t="shared" si="1"/>
        <v>41470</v>
      </c>
      <c r="P39" s="13">
        <f t="shared" ca="1" si="2"/>
        <v>12</v>
      </c>
      <c r="Q39" s="29">
        <v>3362</v>
      </c>
      <c r="R39" s="30">
        <f t="shared" si="3"/>
        <v>336.20000000000005</v>
      </c>
      <c r="S39" s="30">
        <f t="shared" si="4"/>
        <v>100.86</v>
      </c>
      <c r="T39" s="30">
        <f t="shared" si="5"/>
        <v>3126.66</v>
      </c>
      <c r="U39" s="14" t="str">
        <f t="shared" si="6"/>
        <v>normal</v>
      </c>
      <c r="V39" s="33">
        <f t="shared" si="7"/>
        <v>0.05</v>
      </c>
      <c r="Y39" s="27"/>
    </row>
    <row r="40" spans="1:25" ht="15.75" customHeight="1" x14ac:dyDescent="0.25">
      <c r="A40" s="8">
        <v>1039</v>
      </c>
      <c r="B40" s="9" t="s">
        <v>88</v>
      </c>
      <c r="C40" s="9" t="s">
        <v>89</v>
      </c>
      <c r="D40" s="9" t="str">
        <f t="shared" si="0"/>
        <v>Hazim Alshshatim</v>
      </c>
      <c r="E40" s="9" t="s">
        <v>34</v>
      </c>
      <c r="F40" s="9" t="s">
        <v>846</v>
      </c>
      <c r="G40" s="9" t="s">
        <v>16</v>
      </c>
      <c r="H40" s="10" t="s">
        <v>11</v>
      </c>
      <c r="I40" s="10" t="s">
        <v>26</v>
      </c>
      <c r="J40" s="11" t="s">
        <v>12</v>
      </c>
      <c r="K40" s="9" t="s">
        <v>175</v>
      </c>
      <c r="L40" s="12">
        <v>16</v>
      </c>
      <c r="M40" s="13">
        <v>7</v>
      </c>
      <c r="N40" s="13">
        <v>2008</v>
      </c>
      <c r="O40" s="31">
        <f t="shared" si="1"/>
        <v>39645</v>
      </c>
      <c r="P40" s="13">
        <f t="shared" ca="1" si="2"/>
        <v>17</v>
      </c>
      <c r="Q40" s="29">
        <v>6043</v>
      </c>
      <c r="R40" s="30">
        <f t="shared" si="3"/>
        <v>604.30000000000007</v>
      </c>
      <c r="S40" s="30">
        <f t="shared" si="4"/>
        <v>181.29</v>
      </c>
      <c r="T40" s="30">
        <f t="shared" si="5"/>
        <v>5619.99</v>
      </c>
      <c r="U40" s="14" t="str">
        <f t="shared" si="6"/>
        <v>normal</v>
      </c>
      <c r="V40" s="33">
        <f t="shared" si="7"/>
        <v>0.05</v>
      </c>
      <c r="Y40" s="27"/>
    </row>
    <row r="41" spans="1:25" ht="15.75" customHeight="1" x14ac:dyDescent="0.25">
      <c r="A41" s="8">
        <v>1040</v>
      </c>
      <c r="B41" s="9" t="s">
        <v>90</v>
      </c>
      <c r="C41" s="9" t="s">
        <v>91</v>
      </c>
      <c r="D41" s="9" t="str">
        <f t="shared" si="0"/>
        <v>Dia Alshahf</v>
      </c>
      <c r="E41" s="9" t="s">
        <v>34</v>
      </c>
      <c r="F41" s="9" t="s">
        <v>847</v>
      </c>
      <c r="G41" s="9" t="s">
        <v>16</v>
      </c>
      <c r="H41" s="10" t="s">
        <v>8</v>
      </c>
      <c r="I41" s="10" t="s">
        <v>26</v>
      </c>
      <c r="J41" s="11" t="s">
        <v>21</v>
      </c>
      <c r="K41" s="9" t="s">
        <v>176</v>
      </c>
      <c r="L41" s="12">
        <v>28</v>
      </c>
      <c r="M41" s="13">
        <v>7</v>
      </c>
      <c r="N41" s="13">
        <v>2005</v>
      </c>
      <c r="O41" s="31">
        <f t="shared" si="1"/>
        <v>38561</v>
      </c>
      <c r="P41" s="13">
        <f t="shared" ca="1" si="2"/>
        <v>20</v>
      </c>
      <c r="Q41" s="29">
        <v>6260</v>
      </c>
      <c r="R41" s="30">
        <f t="shared" si="3"/>
        <v>626</v>
      </c>
      <c r="S41" s="30">
        <f t="shared" si="4"/>
        <v>187.79999999999998</v>
      </c>
      <c r="T41" s="30">
        <f t="shared" si="5"/>
        <v>5821.8</v>
      </c>
      <c r="U41" s="14" t="str">
        <f t="shared" si="6"/>
        <v>normal</v>
      </c>
      <c r="V41" s="33">
        <f t="shared" si="7"/>
        <v>0.05</v>
      </c>
      <c r="Y41" s="27"/>
    </row>
    <row r="42" spans="1:25" ht="15.75" customHeight="1" x14ac:dyDescent="0.25">
      <c r="A42" s="8">
        <v>1041</v>
      </c>
      <c r="B42" s="9" t="s">
        <v>58</v>
      </c>
      <c r="C42" s="9" t="s">
        <v>92</v>
      </c>
      <c r="D42" s="9" t="str">
        <f t="shared" si="0"/>
        <v>Ayham Almusaa</v>
      </c>
      <c r="E42" s="9" t="s">
        <v>34</v>
      </c>
      <c r="F42" s="9" t="s">
        <v>848</v>
      </c>
      <c r="G42" s="9" t="s">
        <v>16</v>
      </c>
      <c r="H42" s="10" t="s">
        <v>11</v>
      </c>
      <c r="I42" s="10" t="s">
        <v>9</v>
      </c>
      <c r="J42" s="11" t="s">
        <v>21</v>
      </c>
      <c r="K42" s="9" t="s">
        <v>177</v>
      </c>
      <c r="L42" s="12">
        <v>30</v>
      </c>
      <c r="M42" s="13">
        <v>7</v>
      </c>
      <c r="N42" s="13">
        <v>2005</v>
      </c>
      <c r="O42" s="31">
        <f t="shared" si="1"/>
        <v>38563</v>
      </c>
      <c r="P42" s="13">
        <f t="shared" ca="1" si="2"/>
        <v>20</v>
      </c>
      <c r="Q42" s="29">
        <v>3754</v>
      </c>
      <c r="R42" s="30">
        <f t="shared" si="3"/>
        <v>375.40000000000003</v>
      </c>
      <c r="S42" s="30">
        <f t="shared" si="4"/>
        <v>112.61999999999999</v>
      </c>
      <c r="T42" s="30">
        <f t="shared" si="5"/>
        <v>3491.22</v>
      </c>
      <c r="U42" s="14" t="str">
        <f t="shared" si="6"/>
        <v>normal</v>
      </c>
      <c r="V42" s="33">
        <f t="shared" si="7"/>
        <v>0.05</v>
      </c>
      <c r="Y42" s="27"/>
    </row>
    <row r="43" spans="1:25" ht="15.75" customHeight="1" x14ac:dyDescent="0.25">
      <c r="A43" s="8">
        <v>1042</v>
      </c>
      <c r="B43" s="9" t="s">
        <v>93</v>
      </c>
      <c r="C43" s="9" t="s">
        <v>94</v>
      </c>
      <c r="D43" s="9" t="str">
        <f t="shared" si="0"/>
        <v>Abd Allatif Mabrukh</v>
      </c>
      <c r="E43" s="9" t="s">
        <v>34</v>
      </c>
      <c r="F43" s="9" t="s">
        <v>849</v>
      </c>
      <c r="G43" s="9" t="s">
        <v>13</v>
      </c>
      <c r="H43" s="10" t="s">
        <v>8</v>
      </c>
      <c r="I43" s="10" t="s">
        <v>22</v>
      </c>
      <c r="J43" s="11" t="s">
        <v>12</v>
      </c>
      <c r="K43" s="9" t="s">
        <v>178</v>
      </c>
      <c r="L43" s="12">
        <v>31</v>
      </c>
      <c r="M43" s="13">
        <v>7</v>
      </c>
      <c r="N43" s="13">
        <v>2017</v>
      </c>
      <c r="O43" s="31">
        <f t="shared" si="1"/>
        <v>42947</v>
      </c>
      <c r="P43" s="13">
        <f t="shared" ca="1" si="2"/>
        <v>8</v>
      </c>
      <c r="Q43" s="29">
        <v>6579</v>
      </c>
      <c r="R43" s="30">
        <f t="shared" si="3"/>
        <v>657.90000000000009</v>
      </c>
      <c r="S43" s="30">
        <f t="shared" si="4"/>
        <v>197.37</v>
      </c>
      <c r="T43" s="30">
        <f t="shared" si="5"/>
        <v>6118.4699999999993</v>
      </c>
      <c r="U43" s="14" t="str">
        <f t="shared" si="6"/>
        <v>over</v>
      </c>
      <c r="V43" s="33">
        <f t="shared" si="7"/>
        <v>0.02</v>
      </c>
      <c r="Y43" s="27"/>
    </row>
    <row r="44" spans="1:25" ht="15.75" customHeight="1" x14ac:dyDescent="0.25">
      <c r="A44" s="8">
        <v>1043</v>
      </c>
      <c r="B44" s="9" t="s">
        <v>57</v>
      </c>
      <c r="C44" s="9" t="s">
        <v>95</v>
      </c>
      <c r="D44" s="9" t="str">
        <f t="shared" si="0"/>
        <v>Salim Abumaeun</v>
      </c>
      <c r="E44" s="9" t="s">
        <v>34</v>
      </c>
      <c r="F44" s="9" t="s">
        <v>850</v>
      </c>
      <c r="G44" s="9" t="s">
        <v>16</v>
      </c>
      <c r="H44" s="10" t="s">
        <v>8</v>
      </c>
      <c r="I44" s="10" t="s">
        <v>17</v>
      </c>
      <c r="J44" s="11" t="s">
        <v>10</v>
      </c>
      <c r="K44" s="9" t="s">
        <v>179</v>
      </c>
      <c r="L44" s="12">
        <v>13</v>
      </c>
      <c r="M44" s="13">
        <v>8</v>
      </c>
      <c r="N44" s="13">
        <v>1990</v>
      </c>
      <c r="O44" s="31">
        <f t="shared" si="1"/>
        <v>33098</v>
      </c>
      <c r="P44" s="13">
        <f t="shared" ca="1" si="2"/>
        <v>35</v>
      </c>
      <c r="Q44" s="29">
        <v>5373</v>
      </c>
      <c r="R44" s="30">
        <f t="shared" si="3"/>
        <v>537.30000000000007</v>
      </c>
      <c r="S44" s="30">
        <f t="shared" si="4"/>
        <v>161.19</v>
      </c>
      <c r="T44" s="30">
        <f t="shared" si="5"/>
        <v>4996.8899999999994</v>
      </c>
      <c r="U44" s="14" t="str">
        <f t="shared" si="6"/>
        <v>normal</v>
      </c>
      <c r="V44" s="33">
        <f t="shared" si="7"/>
        <v>0.05</v>
      </c>
      <c r="Y44" s="27"/>
    </row>
    <row r="45" spans="1:25" ht="15.75" customHeight="1" x14ac:dyDescent="0.25">
      <c r="A45" s="8">
        <v>1044</v>
      </c>
      <c r="B45" s="9" t="s">
        <v>96</v>
      </c>
      <c r="C45" s="9" t="s">
        <v>97</v>
      </c>
      <c r="D45" s="9" t="str">
        <f t="shared" si="0"/>
        <v>Rafat Hamza</v>
      </c>
      <c r="E45" s="9" t="s">
        <v>34</v>
      </c>
      <c r="F45" s="9" t="s">
        <v>851</v>
      </c>
      <c r="G45" s="9" t="s">
        <v>13</v>
      </c>
      <c r="H45" s="10" t="s">
        <v>20</v>
      </c>
      <c r="I45" s="10" t="s">
        <v>15</v>
      </c>
      <c r="J45" s="11" t="s">
        <v>10</v>
      </c>
      <c r="K45" s="9" t="s">
        <v>180</v>
      </c>
      <c r="L45" s="12">
        <v>16</v>
      </c>
      <c r="M45" s="13">
        <v>8</v>
      </c>
      <c r="N45" s="13">
        <v>2022</v>
      </c>
      <c r="O45" s="31">
        <f t="shared" si="1"/>
        <v>44789</v>
      </c>
      <c r="P45" s="13">
        <f t="shared" ca="1" si="2"/>
        <v>3</v>
      </c>
      <c r="Q45" s="29">
        <v>1391</v>
      </c>
      <c r="R45" s="30">
        <f t="shared" si="3"/>
        <v>139.1</v>
      </c>
      <c r="S45" s="30">
        <f t="shared" si="4"/>
        <v>41.73</v>
      </c>
      <c r="T45" s="30">
        <f t="shared" si="5"/>
        <v>1293.6300000000001</v>
      </c>
      <c r="U45" s="14" t="str">
        <f t="shared" si="6"/>
        <v>normal</v>
      </c>
      <c r="V45" s="33">
        <f t="shared" si="7"/>
        <v>0.08</v>
      </c>
      <c r="Y45" s="27"/>
    </row>
    <row r="46" spans="1:25" ht="15.75" customHeight="1" x14ac:dyDescent="0.25">
      <c r="A46" s="8">
        <v>1045</v>
      </c>
      <c r="B46" s="9" t="s">
        <v>36</v>
      </c>
      <c r="C46" s="9" t="s">
        <v>98</v>
      </c>
      <c r="D46" s="9" t="str">
        <f t="shared" si="0"/>
        <v>Ahmad Laylana</v>
      </c>
      <c r="E46" s="9" t="s">
        <v>34</v>
      </c>
      <c r="F46" s="9" t="s">
        <v>852</v>
      </c>
      <c r="G46" s="9" t="s">
        <v>16</v>
      </c>
      <c r="H46" s="10" t="s">
        <v>11</v>
      </c>
      <c r="I46" s="10" t="s">
        <v>198</v>
      </c>
      <c r="J46" s="11" t="s">
        <v>12</v>
      </c>
      <c r="K46" s="9" t="s">
        <v>181</v>
      </c>
      <c r="L46" s="12">
        <v>26</v>
      </c>
      <c r="M46" s="13">
        <v>8</v>
      </c>
      <c r="N46" s="13">
        <v>2009</v>
      </c>
      <c r="O46" s="31">
        <f t="shared" si="1"/>
        <v>40051</v>
      </c>
      <c r="P46" s="13">
        <f t="shared" ca="1" si="2"/>
        <v>16</v>
      </c>
      <c r="Q46" s="29">
        <v>2528</v>
      </c>
      <c r="R46" s="30">
        <f t="shared" si="3"/>
        <v>252.8</v>
      </c>
      <c r="S46" s="30">
        <f t="shared" si="4"/>
        <v>75.84</v>
      </c>
      <c r="T46" s="30">
        <f t="shared" si="5"/>
        <v>2351.04</v>
      </c>
      <c r="U46" s="14" t="str">
        <f t="shared" si="6"/>
        <v>normal</v>
      </c>
      <c r="V46" s="33">
        <f t="shared" si="7"/>
        <v>0.08</v>
      </c>
      <c r="Y46" s="27"/>
    </row>
    <row r="47" spans="1:25" ht="15.75" customHeight="1" x14ac:dyDescent="0.25">
      <c r="A47" s="8">
        <v>1046</v>
      </c>
      <c r="B47" s="9" t="s">
        <v>99</v>
      </c>
      <c r="C47" s="9" t="s">
        <v>100</v>
      </c>
      <c r="D47" s="9" t="str">
        <f t="shared" si="0"/>
        <v>Lobnaa Khalifih</v>
      </c>
      <c r="E47" s="9" t="s">
        <v>33</v>
      </c>
      <c r="F47" s="9" t="s">
        <v>853</v>
      </c>
      <c r="G47" s="9" t="s">
        <v>16</v>
      </c>
      <c r="H47" s="10" t="s">
        <v>11</v>
      </c>
      <c r="I47" s="10" t="s">
        <v>26</v>
      </c>
      <c r="J47" s="11" t="s">
        <v>19</v>
      </c>
      <c r="K47" s="9" t="s">
        <v>182</v>
      </c>
      <c r="L47" s="12">
        <v>4</v>
      </c>
      <c r="M47" s="13">
        <v>9</v>
      </c>
      <c r="N47" s="13">
        <v>2010</v>
      </c>
      <c r="O47" s="31">
        <f t="shared" si="1"/>
        <v>40425</v>
      </c>
      <c r="P47" s="13">
        <f t="shared" ca="1" si="2"/>
        <v>15</v>
      </c>
      <c r="Q47" s="29">
        <v>6040</v>
      </c>
      <c r="R47" s="30">
        <f t="shared" si="3"/>
        <v>604</v>
      </c>
      <c r="S47" s="30">
        <f t="shared" si="4"/>
        <v>181.2</v>
      </c>
      <c r="T47" s="30">
        <f t="shared" si="5"/>
        <v>5617.2</v>
      </c>
      <c r="U47" s="14" t="str">
        <f t="shared" si="6"/>
        <v>normal</v>
      </c>
      <c r="V47" s="33">
        <f t="shared" si="7"/>
        <v>0.05</v>
      </c>
      <c r="Y47" s="27"/>
    </row>
    <row r="48" spans="1:25" ht="15.75" customHeight="1" x14ac:dyDescent="0.25">
      <c r="A48" s="8">
        <v>1047</v>
      </c>
      <c r="B48" s="9" t="s">
        <v>101</v>
      </c>
      <c r="C48" s="9" t="s">
        <v>102</v>
      </c>
      <c r="D48" s="9" t="str">
        <f t="shared" si="0"/>
        <v>Sami Alkhujih</v>
      </c>
      <c r="E48" s="9" t="s">
        <v>34</v>
      </c>
      <c r="F48" s="9" t="s">
        <v>854</v>
      </c>
      <c r="G48" s="9" t="s">
        <v>795</v>
      </c>
      <c r="H48" s="10" t="s">
        <v>14</v>
      </c>
      <c r="I48" s="10" t="s">
        <v>17</v>
      </c>
      <c r="J48" s="11" t="s">
        <v>10</v>
      </c>
      <c r="K48" s="9" t="s">
        <v>183</v>
      </c>
      <c r="L48" s="12">
        <v>10</v>
      </c>
      <c r="M48" s="13">
        <v>9</v>
      </c>
      <c r="N48" s="13">
        <v>2004</v>
      </c>
      <c r="O48" s="31">
        <f t="shared" si="1"/>
        <v>38240</v>
      </c>
      <c r="P48" s="13">
        <f t="shared" ca="1" si="2"/>
        <v>21</v>
      </c>
      <c r="Q48" s="29">
        <v>3842</v>
      </c>
      <c r="R48" s="30">
        <f t="shared" si="3"/>
        <v>384.20000000000005</v>
      </c>
      <c r="S48" s="30">
        <f t="shared" si="4"/>
        <v>115.25999999999999</v>
      </c>
      <c r="T48" s="30">
        <f t="shared" si="5"/>
        <v>3573.0600000000004</v>
      </c>
      <c r="U48" s="14" t="str">
        <f t="shared" si="6"/>
        <v>normal</v>
      </c>
      <c r="V48" s="33">
        <f t="shared" si="7"/>
        <v>0.05</v>
      </c>
      <c r="Y48" s="27"/>
    </row>
    <row r="49" spans="1:25" ht="15.75" customHeight="1" x14ac:dyDescent="0.25">
      <c r="A49" s="8">
        <v>1048</v>
      </c>
      <c r="B49" s="9" t="s">
        <v>103</v>
      </c>
      <c r="C49" s="9" t="s">
        <v>104</v>
      </c>
      <c r="D49" s="9" t="str">
        <f t="shared" si="0"/>
        <v>Salam Alealbi</v>
      </c>
      <c r="E49" s="9" t="s">
        <v>33</v>
      </c>
      <c r="F49" s="9" t="s">
        <v>855</v>
      </c>
      <c r="G49" s="9" t="s">
        <v>16</v>
      </c>
      <c r="H49" s="10" t="s">
        <v>20</v>
      </c>
      <c r="I49" s="10" t="s">
        <v>198</v>
      </c>
      <c r="J49" s="11" t="s">
        <v>12</v>
      </c>
      <c r="K49" s="9" t="s">
        <v>184</v>
      </c>
      <c r="L49" s="12">
        <v>16</v>
      </c>
      <c r="M49" s="13">
        <v>9</v>
      </c>
      <c r="N49" s="13">
        <v>2005</v>
      </c>
      <c r="O49" s="31">
        <f t="shared" si="1"/>
        <v>38611</v>
      </c>
      <c r="P49" s="13">
        <f t="shared" ca="1" si="2"/>
        <v>20</v>
      </c>
      <c r="Q49" s="29">
        <v>1542</v>
      </c>
      <c r="R49" s="30">
        <f t="shared" si="3"/>
        <v>154.20000000000002</v>
      </c>
      <c r="S49" s="30">
        <f t="shared" si="4"/>
        <v>46.26</v>
      </c>
      <c r="T49" s="30">
        <f t="shared" si="5"/>
        <v>1434.06</v>
      </c>
      <c r="U49" s="14" t="str">
        <f t="shared" si="6"/>
        <v>normal</v>
      </c>
      <c r="V49" s="33">
        <f t="shared" si="7"/>
        <v>0.08</v>
      </c>
      <c r="Y49" s="27"/>
    </row>
    <row r="50" spans="1:25" ht="15.75" customHeight="1" x14ac:dyDescent="0.25">
      <c r="A50" s="8">
        <v>1049</v>
      </c>
      <c r="B50" s="9" t="s">
        <v>105</v>
      </c>
      <c r="C50" s="9" t="s">
        <v>92</v>
      </c>
      <c r="D50" s="9" t="str">
        <f t="shared" si="0"/>
        <v>Rim Almusaa</v>
      </c>
      <c r="E50" s="9" t="s">
        <v>33</v>
      </c>
      <c r="F50" s="9" t="s">
        <v>856</v>
      </c>
      <c r="G50" s="9" t="s">
        <v>16</v>
      </c>
      <c r="H50" s="10" t="s">
        <v>20</v>
      </c>
      <c r="I50" s="10" t="s">
        <v>9</v>
      </c>
      <c r="J50" s="11" t="s">
        <v>12</v>
      </c>
      <c r="K50" s="9" t="s">
        <v>185</v>
      </c>
      <c r="L50" s="12">
        <v>24</v>
      </c>
      <c r="M50" s="13">
        <v>9</v>
      </c>
      <c r="N50" s="13">
        <v>1997</v>
      </c>
      <c r="O50" s="31">
        <f t="shared" si="1"/>
        <v>35697</v>
      </c>
      <c r="P50" s="13">
        <f t="shared" ca="1" si="2"/>
        <v>28</v>
      </c>
      <c r="Q50" s="29">
        <v>3134</v>
      </c>
      <c r="R50" s="30">
        <f t="shared" si="3"/>
        <v>313.40000000000003</v>
      </c>
      <c r="S50" s="30">
        <f t="shared" si="4"/>
        <v>94.02</v>
      </c>
      <c r="T50" s="30">
        <f t="shared" si="5"/>
        <v>2914.62</v>
      </c>
      <c r="U50" s="14" t="str">
        <f t="shared" si="6"/>
        <v>normal</v>
      </c>
      <c r="V50" s="33">
        <f t="shared" si="7"/>
        <v>0.08</v>
      </c>
      <c r="Y50" s="27"/>
    </row>
    <row r="51" spans="1:25" ht="15.75" customHeight="1" x14ac:dyDescent="0.25">
      <c r="A51" s="8">
        <v>1050</v>
      </c>
      <c r="B51" s="9" t="s">
        <v>106</v>
      </c>
      <c r="C51" s="9" t="s">
        <v>107</v>
      </c>
      <c r="D51" s="9" t="str">
        <f t="shared" si="0"/>
        <v>Ghada Aleasimii</v>
      </c>
      <c r="E51" s="9" t="s">
        <v>33</v>
      </c>
      <c r="F51" s="9" t="s">
        <v>857</v>
      </c>
      <c r="G51" s="9" t="s">
        <v>16</v>
      </c>
      <c r="H51" s="10" t="s">
        <v>11</v>
      </c>
      <c r="I51" s="10" t="s">
        <v>22</v>
      </c>
      <c r="J51" s="11" t="s">
        <v>10</v>
      </c>
      <c r="K51" s="9" t="s">
        <v>186</v>
      </c>
      <c r="L51" s="12">
        <v>27</v>
      </c>
      <c r="M51" s="13">
        <v>9</v>
      </c>
      <c r="N51" s="13">
        <v>1993</v>
      </c>
      <c r="O51" s="31">
        <f t="shared" si="1"/>
        <v>34239</v>
      </c>
      <c r="P51" s="13">
        <f t="shared" ca="1" si="2"/>
        <v>32</v>
      </c>
      <c r="Q51" s="29">
        <v>4921</v>
      </c>
      <c r="R51" s="30">
        <f t="shared" si="3"/>
        <v>492.1</v>
      </c>
      <c r="S51" s="30">
        <f t="shared" si="4"/>
        <v>147.63</v>
      </c>
      <c r="T51" s="30">
        <f t="shared" si="5"/>
        <v>4576.53</v>
      </c>
      <c r="U51" s="14" t="str">
        <f t="shared" si="6"/>
        <v>normal</v>
      </c>
      <c r="V51" s="33">
        <f t="shared" si="7"/>
        <v>0.05</v>
      </c>
      <c r="Y51" s="27"/>
    </row>
    <row r="52" spans="1:25" ht="15.75" customHeight="1" x14ac:dyDescent="0.25">
      <c r="A52" s="8">
        <v>1051</v>
      </c>
      <c r="B52" s="9" t="s">
        <v>108</v>
      </c>
      <c r="C52" s="9" t="s">
        <v>37</v>
      </c>
      <c r="D52" s="9" t="str">
        <f t="shared" si="0"/>
        <v>Abd Alwahhab Muhamad</v>
      </c>
      <c r="E52" s="9" t="s">
        <v>34</v>
      </c>
      <c r="F52" s="9" t="s">
        <v>858</v>
      </c>
      <c r="G52" s="9" t="s">
        <v>16</v>
      </c>
      <c r="H52" s="10" t="s">
        <v>14</v>
      </c>
      <c r="I52" s="10" t="s">
        <v>198</v>
      </c>
      <c r="J52" s="11" t="s">
        <v>12</v>
      </c>
      <c r="K52" s="9" t="s">
        <v>154</v>
      </c>
      <c r="L52" s="12">
        <v>11</v>
      </c>
      <c r="M52" s="13">
        <v>2</v>
      </c>
      <c r="N52" s="13">
        <v>2004</v>
      </c>
      <c r="O52" s="31">
        <f t="shared" si="1"/>
        <v>38028</v>
      </c>
      <c r="P52" s="13">
        <f t="shared" ca="1" si="2"/>
        <v>22</v>
      </c>
      <c r="Q52" s="29">
        <v>1948</v>
      </c>
      <c r="R52" s="30">
        <f t="shared" si="3"/>
        <v>194.8</v>
      </c>
      <c r="S52" s="30">
        <f t="shared" si="4"/>
        <v>58.44</v>
      </c>
      <c r="T52" s="30">
        <f t="shared" si="5"/>
        <v>1811.64</v>
      </c>
      <c r="U52" s="14" t="str">
        <f t="shared" si="6"/>
        <v>normal</v>
      </c>
      <c r="V52" s="33">
        <f t="shared" si="7"/>
        <v>0.08</v>
      </c>
      <c r="Y52" s="27"/>
    </row>
    <row r="53" spans="1:25" ht="15.75" customHeight="1" x14ac:dyDescent="0.25">
      <c r="A53" s="8">
        <v>1052</v>
      </c>
      <c r="B53" s="9" t="s">
        <v>109</v>
      </c>
      <c r="C53" s="9" t="s">
        <v>110</v>
      </c>
      <c r="D53" s="9" t="str">
        <f t="shared" si="0"/>
        <v>Ayman Eubayd</v>
      </c>
      <c r="E53" s="9" t="s">
        <v>34</v>
      </c>
      <c r="F53" s="9" t="s">
        <v>859</v>
      </c>
      <c r="G53" s="9" t="s">
        <v>18</v>
      </c>
      <c r="H53" s="10" t="s">
        <v>14</v>
      </c>
      <c r="I53" s="10" t="s">
        <v>22</v>
      </c>
      <c r="J53" s="11" t="s">
        <v>21</v>
      </c>
      <c r="K53" s="9" t="s">
        <v>187</v>
      </c>
      <c r="L53" s="12">
        <v>11</v>
      </c>
      <c r="M53" s="13">
        <v>2</v>
      </c>
      <c r="N53" s="13">
        <v>2001</v>
      </c>
      <c r="O53" s="31">
        <f t="shared" si="1"/>
        <v>36933</v>
      </c>
      <c r="P53" s="13">
        <f t="shared" ca="1" si="2"/>
        <v>25</v>
      </c>
      <c r="Q53" s="29">
        <v>3294</v>
      </c>
      <c r="R53" s="30">
        <f t="shared" si="3"/>
        <v>329.40000000000003</v>
      </c>
      <c r="S53" s="30">
        <f t="shared" si="4"/>
        <v>98.82</v>
      </c>
      <c r="T53" s="30">
        <f t="shared" si="5"/>
        <v>3063.42</v>
      </c>
      <c r="U53" s="14" t="str">
        <f t="shared" si="6"/>
        <v>normal</v>
      </c>
      <c r="V53" s="33">
        <f t="shared" si="7"/>
        <v>0.05</v>
      </c>
      <c r="Y53" s="27"/>
    </row>
    <row r="54" spans="1:25" ht="15.75" customHeight="1" x14ac:dyDescent="0.25">
      <c r="A54" s="8">
        <v>1053</v>
      </c>
      <c r="B54" s="9" t="s">
        <v>111</v>
      </c>
      <c r="C54" s="9" t="s">
        <v>112</v>
      </c>
      <c r="D54" s="9" t="str">
        <f t="shared" si="0"/>
        <v>Faras Karim</v>
      </c>
      <c r="E54" s="9" t="s">
        <v>34</v>
      </c>
      <c r="F54" s="9" t="s">
        <v>860</v>
      </c>
      <c r="G54" s="9" t="s">
        <v>795</v>
      </c>
      <c r="H54" s="10" t="s">
        <v>11</v>
      </c>
      <c r="I54" s="10" t="s">
        <v>198</v>
      </c>
      <c r="J54" s="11" t="s">
        <v>10</v>
      </c>
      <c r="K54" s="9" t="s">
        <v>188</v>
      </c>
      <c r="L54" s="12">
        <v>17</v>
      </c>
      <c r="M54" s="13">
        <v>2</v>
      </c>
      <c r="N54" s="13">
        <v>1999</v>
      </c>
      <c r="O54" s="31">
        <f t="shared" si="1"/>
        <v>36208</v>
      </c>
      <c r="P54" s="13">
        <f t="shared" ca="1" si="2"/>
        <v>27</v>
      </c>
      <c r="Q54" s="29">
        <v>7123</v>
      </c>
      <c r="R54" s="30">
        <f t="shared" si="3"/>
        <v>712.30000000000007</v>
      </c>
      <c r="S54" s="30">
        <f t="shared" si="4"/>
        <v>213.69</v>
      </c>
      <c r="T54" s="30">
        <f t="shared" si="5"/>
        <v>6624.3899999999994</v>
      </c>
      <c r="U54" s="14" t="str">
        <f t="shared" si="6"/>
        <v>over</v>
      </c>
      <c r="V54" s="33">
        <f t="shared" si="7"/>
        <v>0.02</v>
      </c>
      <c r="Y54" s="27"/>
    </row>
    <row r="55" spans="1:25" ht="15.75" customHeight="1" x14ac:dyDescent="0.25">
      <c r="A55" s="8">
        <v>1054</v>
      </c>
      <c r="B55" s="9" t="s">
        <v>113</v>
      </c>
      <c r="C55" s="9" t="s">
        <v>114</v>
      </c>
      <c r="D55" s="9" t="str">
        <f t="shared" si="0"/>
        <v>Shadi Salayk</v>
      </c>
      <c r="E55" s="9" t="s">
        <v>34</v>
      </c>
      <c r="F55" s="9" t="s">
        <v>861</v>
      </c>
      <c r="G55" s="9" t="s">
        <v>13</v>
      </c>
      <c r="H55" s="10" t="s">
        <v>8</v>
      </c>
      <c r="I55" s="10" t="s">
        <v>22</v>
      </c>
      <c r="J55" s="11" t="s">
        <v>10</v>
      </c>
      <c r="K55" s="9" t="s">
        <v>189</v>
      </c>
      <c r="L55" s="12">
        <v>25</v>
      </c>
      <c r="M55" s="13">
        <v>2</v>
      </c>
      <c r="N55" s="13">
        <v>2006</v>
      </c>
      <c r="O55" s="31">
        <f t="shared" si="1"/>
        <v>38773</v>
      </c>
      <c r="P55" s="13">
        <f t="shared" ca="1" si="2"/>
        <v>20</v>
      </c>
      <c r="Q55" s="29">
        <v>7236</v>
      </c>
      <c r="R55" s="30">
        <f t="shared" si="3"/>
        <v>723.6</v>
      </c>
      <c r="S55" s="30">
        <f t="shared" si="4"/>
        <v>217.07999999999998</v>
      </c>
      <c r="T55" s="30">
        <f t="shared" si="5"/>
        <v>6729.48</v>
      </c>
      <c r="U55" s="14" t="str">
        <f t="shared" si="6"/>
        <v>over</v>
      </c>
      <c r="V55" s="33">
        <f t="shared" si="7"/>
        <v>0.02</v>
      </c>
      <c r="Y55" s="27"/>
    </row>
    <row r="56" spans="1:25" ht="15.75" customHeight="1" x14ac:dyDescent="0.25">
      <c r="A56" s="8">
        <v>1055</v>
      </c>
      <c r="B56" s="9" t="s">
        <v>115</v>
      </c>
      <c r="C56" s="9" t="s">
        <v>116</v>
      </c>
      <c r="D56" s="9" t="str">
        <f t="shared" si="0"/>
        <v>Eubay Alttahir</v>
      </c>
      <c r="E56" s="9" t="s">
        <v>34</v>
      </c>
      <c r="F56" s="9" t="s">
        <v>862</v>
      </c>
      <c r="G56" s="9" t="s">
        <v>795</v>
      </c>
      <c r="H56" s="10" t="s">
        <v>8</v>
      </c>
      <c r="I56" s="10" t="s">
        <v>26</v>
      </c>
      <c r="J56" s="11" t="s">
        <v>12</v>
      </c>
      <c r="K56" s="9" t="s">
        <v>190</v>
      </c>
      <c r="L56" s="12">
        <v>26</v>
      </c>
      <c r="M56" s="13">
        <v>2</v>
      </c>
      <c r="N56" s="13">
        <v>1998</v>
      </c>
      <c r="O56" s="31">
        <f t="shared" si="1"/>
        <v>35852</v>
      </c>
      <c r="P56" s="13">
        <f t="shared" ca="1" si="2"/>
        <v>28</v>
      </c>
      <c r="Q56" s="29">
        <v>6843</v>
      </c>
      <c r="R56" s="30">
        <f t="shared" si="3"/>
        <v>684.30000000000007</v>
      </c>
      <c r="S56" s="30">
        <f t="shared" si="4"/>
        <v>205.29</v>
      </c>
      <c r="T56" s="30">
        <f t="shared" si="5"/>
        <v>6363.99</v>
      </c>
      <c r="U56" s="14" t="str">
        <f t="shared" si="6"/>
        <v>over</v>
      </c>
      <c r="V56" s="33">
        <f t="shared" si="7"/>
        <v>0.02</v>
      </c>
      <c r="Y56" s="27"/>
    </row>
    <row r="57" spans="1:25" ht="15.75" customHeight="1" x14ac:dyDescent="0.25">
      <c r="A57" s="8">
        <v>1056</v>
      </c>
      <c r="B57" s="9" t="s">
        <v>117</v>
      </c>
      <c r="C57" s="9" t="s">
        <v>118</v>
      </c>
      <c r="D57" s="9" t="str">
        <f t="shared" si="0"/>
        <v>Abd Alhadi Alzzahir</v>
      </c>
      <c r="E57" s="9" t="s">
        <v>34</v>
      </c>
      <c r="F57" s="9" t="s">
        <v>863</v>
      </c>
      <c r="G57" s="9" t="s">
        <v>795</v>
      </c>
      <c r="H57" s="10" t="s">
        <v>20</v>
      </c>
      <c r="I57" s="10" t="s">
        <v>26</v>
      </c>
      <c r="J57" s="11" t="s">
        <v>12</v>
      </c>
      <c r="K57" s="9" t="s">
        <v>191</v>
      </c>
      <c r="L57" s="12">
        <v>2</v>
      </c>
      <c r="M57" s="13">
        <v>3</v>
      </c>
      <c r="N57" s="13">
        <v>2020</v>
      </c>
      <c r="O57" s="31">
        <f t="shared" si="1"/>
        <v>43892</v>
      </c>
      <c r="P57" s="13">
        <f t="shared" ca="1" si="2"/>
        <v>6</v>
      </c>
      <c r="Q57" s="29">
        <v>1070</v>
      </c>
      <c r="R57" s="30">
        <f t="shared" si="3"/>
        <v>107</v>
      </c>
      <c r="S57" s="30">
        <f t="shared" si="4"/>
        <v>32.1</v>
      </c>
      <c r="T57" s="30">
        <f t="shared" si="5"/>
        <v>995.09999999999991</v>
      </c>
      <c r="U57" s="14" t="str">
        <f t="shared" si="6"/>
        <v>normal</v>
      </c>
      <c r="V57" s="33">
        <f t="shared" si="7"/>
        <v>0.1</v>
      </c>
      <c r="Y57" s="27"/>
    </row>
    <row r="58" spans="1:25" ht="15.75" customHeight="1" x14ac:dyDescent="0.25">
      <c r="A58" s="8">
        <v>1057</v>
      </c>
      <c r="B58" s="9" t="s">
        <v>119</v>
      </c>
      <c r="C58" s="9" t="s">
        <v>120</v>
      </c>
      <c r="D58" s="9" t="str">
        <f t="shared" si="0"/>
        <v>Majdulin Ashbrh</v>
      </c>
      <c r="E58" s="9" t="s">
        <v>33</v>
      </c>
      <c r="F58" s="9" t="s">
        <v>864</v>
      </c>
      <c r="G58" s="9" t="s">
        <v>13</v>
      </c>
      <c r="H58" s="10" t="s">
        <v>20</v>
      </c>
      <c r="I58" s="10" t="s">
        <v>22</v>
      </c>
      <c r="J58" s="11" t="s">
        <v>10</v>
      </c>
      <c r="K58" s="9" t="s">
        <v>192</v>
      </c>
      <c r="L58" s="12">
        <v>10</v>
      </c>
      <c r="M58" s="13">
        <v>3</v>
      </c>
      <c r="N58" s="13">
        <v>1996</v>
      </c>
      <c r="O58" s="31">
        <f t="shared" si="1"/>
        <v>35134</v>
      </c>
      <c r="P58" s="13">
        <f t="shared" ca="1" si="2"/>
        <v>30</v>
      </c>
      <c r="Q58" s="29">
        <v>1493</v>
      </c>
      <c r="R58" s="30">
        <f t="shared" si="3"/>
        <v>149.30000000000001</v>
      </c>
      <c r="S58" s="30">
        <f t="shared" si="4"/>
        <v>44.79</v>
      </c>
      <c r="T58" s="30">
        <f t="shared" si="5"/>
        <v>1388.49</v>
      </c>
      <c r="U58" s="14" t="str">
        <f t="shared" si="6"/>
        <v>normal</v>
      </c>
      <c r="V58" s="33">
        <f t="shared" si="7"/>
        <v>0.08</v>
      </c>
      <c r="Y58" s="27"/>
    </row>
    <row r="59" spans="1:25" ht="15.75" customHeight="1" x14ac:dyDescent="0.25">
      <c r="A59" s="8">
        <v>1058</v>
      </c>
      <c r="B59" s="9" t="s">
        <v>121</v>
      </c>
      <c r="C59" s="9" t="s">
        <v>122</v>
      </c>
      <c r="D59" s="9" t="str">
        <f t="shared" si="0"/>
        <v>Aylyn Dahadal</v>
      </c>
      <c r="E59" s="9" t="s">
        <v>33</v>
      </c>
      <c r="F59" s="9" t="s">
        <v>865</v>
      </c>
      <c r="G59" s="9" t="s">
        <v>18</v>
      </c>
      <c r="H59" s="10" t="s">
        <v>8</v>
      </c>
      <c r="I59" s="10" t="s">
        <v>22</v>
      </c>
      <c r="J59" s="11" t="s">
        <v>12</v>
      </c>
      <c r="K59" s="9" t="s">
        <v>193</v>
      </c>
      <c r="L59" s="12">
        <v>6</v>
      </c>
      <c r="M59" s="13">
        <v>4</v>
      </c>
      <c r="N59" s="13">
        <v>2011</v>
      </c>
      <c r="O59" s="31">
        <f t="shared" si="1"/>
        <v>40639</v>
      </c>
      <c r="P59" s="13">
        <f t="shared" ca="1" si="2"/>
        <v>15</v>
      </c>
      <c r="Q59" s="29">
        <v>5857</v>
      </c>
      <c r="R59" s="30">
        <f t="shared" si="3"/>
        <v>585.70000000000005</v>
      </c>
      <c r="S59" s="30">
        <f t="shared" si="4"/>
        <v>175.70999999999998</v>
      </c>
      <c r="T59" s="30">
        <f t="shared" si="5"/>
        <v>5447.01</v>
      </c>
      <c r="U59" s="14" t="str">
        <f t="shared" si="6"/>
        <v>normal</v>
      </c>
      <c r="V59" s="33">
        <f t="shared" si="7"/>
        <v>0.05</v>
      </c>
      <c r="Y59" s="27"/>
    </row>
    <row r="60" spans="1:25" ht="15.75" customHeight="1" x14ac:dyDescent="0.25">
      <c r="A60" s="8">
        <v>1059</v>
      </c>
      <c r="B60" s="9" t="s">
        <v>123</v>
      </c>
      <c r="C60" s="9" t="s">
        <v>124</v>
      </c>
      <c r="D60" s="9" t="str">
        <f t="shared" si="0"/>
        <v>Tala Tuish</v>
      </c>
      <c r="E60" s="9" t="s">
        <v>33</v>
      </c>
      <c r="F60" s="9" t="s">
        <v>866</v>
      </c>
      <c r="G60" s="9" t="s">
        <v>18</v>
      </c>
      <c r="H60" s="10" t="s">
        <v>11</v>
      </c>
      <c r="I60" s="10" t="s">
        <v>198</v>
      </c>
      <c r="J60" s="11" t="s">
        <v>12</v>
      </c>
      <c r="K60" s="9" t="s">
        <v>194</v>
      </c>
      <c r="L60" s="12">
        <v>12</v>
      </c>
      <c r="M60" s="13">
        <v>4</v>
      </c>
      <c r="N60" s="13">
        <v>2011</v>
      </c>
      <c r="O60" s="31">
        <f t="shared" si="1"/>
        <v>40645</v>
      </c>
      <c r="P60" s="13">
        <f t="shared" ca="1" si="2"/>
        <v>15</v>
      </c>
      <c r="Q60" s="29">
        <v>5278</v>
      </c>
      <c r="R60" s="30">
        <f t="shared" si="3"/>
        <v>527.80000000000007</v>
      </c>
      <c r="S60" s="30">
        <f t="shared" si="4"/>
        <v>158.34</v>
      </c>
      <c r="T60" s="30">
        <f t="shared" si="5"/>
        <v>4908.54</v>
      </c>
      <c r="U60" s="14" t="str">
        <f t="shared" si="6"/>
        <v>normal</v>
      </c>
      <c r="V60" s="33">
        <f t="shared" si="7"/>
        <v>0.05</v>
      </c>
      <c r="Y60" s="27"/>
    </row>
    <row r="61" spans="1:25" ht="15.75" customHeight="1" x14ac:dyDescent="0.25">
      <c r="A61" s="8">
        <v>1060</v>
      </c>
      <c r="B61" s="9" t="s">
        <v>37</v>
      </c>
      <c r="C61" s="9" t="s">
        <v>125</v>
      </c>
      <c r="D61" s="9" t="str">
        <f t="shared" si="0"/>
        <v>Muhamad Qarh</v>
      </c>
      <c r="E61" s="9" t="s">
        <v>34</v>
      </c>
      <c r="F61" s="9" t="s">
        <v>867</v>
      </c>
      <c r="G61" s="9" t="s">
        <v>795</v>
      </c>
      <c r="H61" s="10" t="s">
        <v>8</v>
      </c>
      <c r="I61" s="10" t="s">
        <v>23</v>
      </c>
      <c r="J61" s="11" t="s">
        <v>12</v>
      </c>
      <c r="K61" s="9" t="s">
        <v>195</v>
      </c>
      <c r="L61" s="12">
        <v>13</v>
      </c>
      <c r="M61" s="13">
        <v>4</v>
      </c>
      <c r="N61" s="13">
        <v>2021</v>
      </c>
      <c r="O61" s="31">
        <f t="shared" si="1"/>
        <v>44299</v>
      </c>
      <c r="P61" s="13">
        <f t="shared" ca="1" si="2"/>
        <v>5</v>
      </c>
      <c r="Q61" s="29">
        <v>5710</v>
      </c>
      <c r="R61" s="30">
        <f t="shared" si="3"/>
        <v>571</v>
      </c>
      <c r="S61" s="30">
        <f t="shared" si="4"/>
        <v>171.29999999999998</v>
      </c>
      <c r="T61" s="30">
        <f t="shared" si="5"/>
        <v>5310.3</v>
      </c>
      <c r="U61" s="14" t="str">
        <f t="shared" si="6"/>
        <v>normal</v>
      </c>
      <c r="V61" s="33">
        <f t="shared" si="7"/>
        <v>0.05</v>
      </c>
      <c r="Y61" s="27"/>
    </row>
    <row r="62" spans="1:25" ht="15.75" customHeight="1" x14ac:dyDescent="0.25">
      <c r="A62" s="8">
        <v>1061</v>
      </c>
      <c r="B62" s="9" t="s">
        <v>76</v>
      </c>
      <c r="C62" s="9" t="s">
        <v>126</v>
      </c>
      <c r="D62" s="9" t="str">
        <f t="shared" si="0"/>
        <v>Eala Almisri</v>
      </c>
      <c r="E62" s="9" t="s">
        <v>33</v>
      </c>
      <c r="F62" s="9" t="s">
        <v>868</v>
      </c>
      <c r="G62" s="9" t="s">
        <v>13</v>
      </c>
      <c r="H62" s="10" t="s">
        <v>8</v>
      </c>
      <c r="I62" s="10" t="s">
        <v>15</v>
      </c>
      <c r="J62" s="11" t="s">
        <v>12</v>
      </c>
      <c r="K62" s="9" t="s">
        <v>196</v>
      </c>
      <c r="L62" s="12">
        <v>28</v>
      </c>
      <c r="M62" s="13">
        <v>4</v>
      </c>
      <c r="N62" s="13">
        <v>2013</v>
      </c>
      <c r="O62" s="31">
        <f t="shared" si="1"/>
        <v>41392</v>
      </c>
      <c r="P62" s="13">
        <f t="shared" ca="1" si="2"/>
        <v>12</v>
      </c>
      <c r="Q62" s="29">
        <v>6145</v>
      </c>
      <c r="R62" s="30">
        <f t="shared" si="3"/>
        <v>614.5</v>
      </c>
      <c r="S62" s="30">
        <f t="shared" si="4"/>
        <v>184.35</v>
      </c>
      <c r="T62" s="30">
        <f t="shared" si="5"/>
        <v>5714.85</v>
      </c>
      <c r="U62" s="14" t="str">
        <f t="shared" si="6"/>
        <v>normal</v>
      </c>
      <c r="V62" s="33">
        <f t="shared" si="7"/>
        <v>0.05</v>
      </c>
      <c r="Y62" s="27"/>
    </row>
    <row r="63" spans="1:25" ht="15.75" customHeight="1" x14ac:dyDescent="0.25">
      <c r="A63" s="8">
        <v>1062</v>
      </c>
      <c r="B63" s="9" t="s">
        <v>37</v>
      </c>
      <c r="C63" s="9" t="s">
        <v>127</v>
      </c>
      <c r="D63" s="9" t="str">
        <f t="shared" si="0"/>
        <v>Muhamad Alzaybq</v>
      </c>
      <c r="E63" s="9" t="s">
        <v>34</v>
      </c>
      <c r="F63" s="9" t="s">
        <v>869</v>
      </c>
      <c r="G63" s="9" t="s">
        <v>16</v>
      </c>
      <c r="H63" s="10" t="s">
        <v>11</v>
      </c>
      <c r="I63" s="10" t="s">
        <v>23</v>
      </c>
      <c r="J63" s="11" t="s">
        <v>21</v>
      </c>
      <c r="K63" s="9" t="s">
        <v>197</v>
      </c>
      <c r="L63" s="12">
        <v>1</v>
      </c>
      <c r="M63" s="13">
        <v>5</v>
      </c>
      <c r="N63" s="13">
        <v>1993</v>
      </c>
      <c r="O63" s="31">
        <f t="shared" si="1"/>
        <v>34090</v>
      </c>
      <c r="P63" s="13">
        <f t="shared" ca="1" si="2"/>
        <v>32</v>
      </c>
      <c r="Q63" s="29">
        <v>5278</v>
      </c>
      <c r="R63" s="30">
        <f t="shared" si="3"/>
        <v>527.80000000000007</v>
      </c>
      <c r="S63" s="30">
        <f t="shared" si="4"/>
        <v>158.34</v>
      </c>
      <c r="T63" s="30">
        <f t="shared" si="5"/>
        <v>4908.54</v>
      </c>
      <c r="U63" s="14" t="str">
        <f t="shared" si="6"/>
        <v>normal</v>
      </c>
      <c r="V63" s="33">
        <f t="shared" si="7"/>
        <v>0.05</v>
      </c>
      <c r="Y63" s="27"/>
    </row>
    <row r="64" spans="1:25" ht="15.75" customHeight="1" x14ac:dyDescent="0.25">
      <c r="A64" s="8">
        <v>1063</v>
      </c>
      <c r="B64" s="9" t="s">
        <v>37</v>
      </c>
      <c r="C64" s="9" t="s">
        <v>212</v>
      </c>
      <c r="D64" s="9" t="str">
        <f t="shared" si="0"/>
        <v>Muhamad Rajab</v>
      </c>
      <c r="E64" s="9" t="s">
        <v>34</v>
      </c>
      <c r="F64" s="9" t="s">
        <v>870</v>
      </c>
      <c r="G64" s="9" t="s">
        <v>795</v>
      </c>
      <c r="H64" s="10" t="s">
        <v>11</v>
      </c>
      <c r="I64" s="10" t="s">
        <v>9</v>
      </c>
      <c r="J64" s="11" t="s">
        <v>12</v>
      </c>
      <c r="K64" s="9" t="s">
        <v>555</v>
      </c>
      <c r="L64" s="12">
        <v>12</v>
      </c>
      <c r="M64" s="13">
        <v>2</v>
      </c>
      <c r="N64" s="13">
        <v>1999</v>
      </c>
      <c r="O64" s="31">
        <f t="shared" si="1"/>
        <v>36203</v>
      </c>
      <c r="P64" s="13">
        <f t="shared" ca="1" si="2"/>
        <v>27</v>
      </c>
      <c r="Q64" s="29">
        <v>6548</v>
      </c>
      <c r="R64" s="30">
        <f t="shared" si="3"/>
        <v>654.80000000000007</v>
      </c>
      <c r="S64" s="30">
        <f t="shared" si="4"/>
        <v>196.44</v>
      </c>
      <c r="T64" s="30">
        <f t="shared" si="5"/>
        <v>6089.6399999999994</v>
      </c>
      <c r="U64" s="14" t="str">
        <f t="shared" si="6"/>
        <v>over</v>
      </c>
      <c r="V64" s="33">
        <f t="shared" si="7"/>
        <v>0.02</v>
      </c>
    </row>
    <row r="65" spans="1:22" ht="15.75" customHeight="1" x14ac:dyDescent="0.25">
      <c r="A65" s="8">
        <v>1064</v>
      </c>
      <c r="B65" s="9" t="s">
        <v>213</v>
      </c>
      <c r="C65" s="9" t="s">
        <v>214</v>
      </c>
      <c r="D65" s="9" t="str">
        <f t="shared" si="0"/>
        <v>Ghadir Hmshw</v>
      </c>
      <c r="E65" s="9" t="s">
        <v>33</v>
      </c>
      <c r="F65" s="9" t="s">
        <v>871</v>
      </c>
      <c r="G65" s="9" t="s">
        <v>7</v>
      </c>
      <c r="H65" s="10" t="s">
        <v>11</v>
      </c>
      <c r="I65" s="10" t="s">
        <v>22</v>
      </c>
      <c r="J65" s="11" t="s">
        <v>12</v>
      </c>
      <c r="K65" s="9" t="s">
        <v>556</v>
      </c>
      <c r="L65" s="12">
        <v>21</v>
      </c>
      <c r="M65" s="13">
        <v>1</v>
      </c>
      <c r="N65" s="13">
        <v>2006</v>
      </c>
      <c r="O65" s="31">
        <f t="shared" si="1"/>
        <v>38738</v>
      </c>
      <c r="P65" s="13">
        <f t="shared" ca="1" si="2"/>
        <v>20</v>
      </c>
      <c r="Q65" s="29">
        <v>7175</v>
      </c>
      <c r="R65" s="30">
        <f t="shared" si="3"/>
        <v>717.5</v>
      </c>
      <c r="S65" s="30">
        <f t="shared" si="4"/>
        <v>215.25</v>
      </c>
      <c r="T65" s="30">
        <f t="shared" si="5"/>
        <v>6672.75</v>
      </c>
      <c r="U65" s="14" t="str">
        <f t="shared" si="6"/>
        <v>over</v>
      </c>
      <c r="V65" s="33">
        <f t="shared" si="7"/>
        <v>0.02</v>
      </c>
    </row>
    <row r="66" spans="1:22" ht="15.75" customHeight="1" x14ac:dyDescent="0.25">
      <c r="A66" s="8">
        <v>1065</v>
      </c>
      <c r="B66" s="9" t="s">
        <v>215</v>
      </c>
      <c r="C66" s="9" t="s">
        <v>216</v>
      </c>
      <c r="D66" s="9" t="str">
        <f t="shared" si="0"/>
        <v>Ailya Sharaf</v>
      </c>
      <c r="E66" s="9" t="s">
        <v>33</v>
      </c>
      <c r="F66" s="9" t="s">
        <v>872</v>
      </c>
      <c r="G66" s="9" t="s">
        <v>13</v>
      </c>
      <c r="H66" s="10" t="s">
        <v>8</v>
      </c>
      <c r="I66" s="10" t="s">
        <v>9</v>
      </c>
      <c r="J66" s="11" t="s">
        <v>10</v>
      </c>
      <c r="K66" s="9" t="s">
        <v>141</v>
      </c>
      <c r="L66" s="12">
        <v>9</v>
      </c>
      <c r="M66" s="13">
        <v>3</v>
      </c>
      <c r="N66" s="13">
        <v>1996</v>
      </c>
      <c r="O66" s="31">
        <f t="shared" si="1"/>
        <v>35133</v>
      </c>
      <c r="P66" s="13">
        <f t="shared" ca="1" si="2"/>
        <v>30</v>
      </c>
      <c r="Q66" s="29">
        <v>4070</v>
      </c>
      <c r="R66" s="30">
        <f t="shared" si="3"/>
        <v>407</v>
      </c>
      <c r="S66" s="30">
        <f t="shared" si="4"/>
        <v>122.1</v>
      </c>
      <c r="T66" s="30">
        <f t="shared" si="5"/>
        <v>3785.1000000000004</v>
      </c>
      <c r="U66" s="14" t="str">
        <f t="shared" si="6"/>
        <v>normal</v>
      </c>
      <c r="V66" s="33">
        <f t="shared" si="7"/>
        <v>0.05</v>
      </c>
    </row>
    <row r="67" spans="1:22" ht="15.75" customHeight="1" x14ac:dyDescent="0.25">
      <c r="A67" s="8">
        <v>1066</v>
      </c>
      <c r="B67" s="9" t="s">
        <v>36</v>
      </c>
      <c r="C67" s="9" t="s">
        <v>217</v>
      </c>
      <c r="D67" s="9" t="str">
        <f t="shared" ref="D67:D130" si="8">PROPER(TRIM((B67 &amp;" "&amp; C67)))</f>
        <v>Ahmad Bikri</v>
      </c>
      <c r="E67" s="9" t="s">
        <v>34</v>
      </c>
      <c r="F67" s="9" t="s">
        <v>873</v>
      </c>
      <c r="G67" s="9" t="s">
        <v>795</v>
      </c>
      <c r="H67" s="10" t="s">
        <v>11</v>
      </c>
      <c r="I67" s="10" t="s">
        <v>15</v>
      </c>
      <c r="J67" s="11" t="s">
        <v>10</v>
      </c>
      <c r="K67" s="9" t="s">
        <v>143</v>
      </c>
      <c r="L67" s="12">
        <v>4</v>
      </c>
      <c r="M67" s="13">
        <v>11</v>
      </c>
      <c r="N67" s="13">
        <v>2006</v>
      </c>
      <c r="O67" s="31">
        <f t="shared" ref="O67:O130" si="9">DATE(N67,M67,L67)</f>
        <v>39025</v>
      </c>
      <c r="P67" s="13">
        <f t="shared" ref="P67:P130" ca="1" si="10">DATEDIF(O67,TODAY(),"y")</f>
        <v>19</v>
      </c>
      <c r="Q67" s="29">
        <v>1906</v>
      </c>
      <c r="R67" s="30">
        <f t="shared" ref="R67:R130" si="11">Q67*0.1</f>
        <v>190.60000000000002</v>
      </c>
      <c r="S67" s="30">
        <f t="shared" ref="S67:S130" si="12">Q67*0.03</f>
        <v>57.18</v>
      </c>
      <c r="T67" s="30">
        <f t="shared" ref="T67:T130" si="13">Q67+S67-R67</f>
        <v>1772.58</v>
      </c>
      <c r="U67" s="14" t="str">
        <f t="shared" ref="U67:U130" si="14">IF(T67&gt;=6000,"over","normal")</f>
        <v>normal</v>
      </c>
      <c r="V67" s="33">
        <f t="shared" ref="V67:V130" si="15">VLOOKUP(T67,$Y$6:$Z$10,2,TRUE)</f>
        <v>0.08</v>
      </c>
    </row>
    <row r="68" spans="1:22" ht="15.75" customHeight="1" x14ac:dyDescent="0.25">
      <c r="A68" s="8">
        <v>1067</v>
      </c>
      <c r="B68" s="9" t="s">
        <v>218</v>
      </c>
      <c r="C68" s="9" t="s">
        <v>219</v>
      </c>
      <c r="D68" s="9" t="str">
        <f t="shared" si="8"/>
        <v>Hamdah Alkhalifa</v>
      </c>
      <c r="E68" s="9" t="s">
        <v>34</v>
      </c>
      <c r="F68" s="9" t="s">
        <v>874</v>
      </c>
      <c r="G68" s="9" t="s">
        <v>16</v>
      </c>
      <c r="H68" s="10" t="s">
        <v>8</v>
      </c>
      <c r="I68" s="10" t="s">
        <v>15</v>
      </c>
      <c r="J68" s="11" t="s">
        <v>10</v>
      </c>
      <c r="K68" s="9" t="s">
        <v>557</v>
      </c>
      <c r="L68" s="12">
        <v>20</v>
      </c>
      <c r="M68" s="13">
        <v>12</v>
      </c>
      <c r="N68" s="13">
        <v>2021</v>
      </c>
      <c r="O68" s="31">
        <f t="shared" si="9"/>
        <v>44550</v>
      </c>
      <c r="P68" s="13">
        <f t="shared" ca="1" si="10"/>
        <v>4</v>
      </c>
      <c r="Q68" s="29">
        <v>2600</v>
      </c>
      <c r="R68" s="30">
        <f t="shared" si="11"/>
        <v>260</v>
      </c>
      <c r="S68" s="30">
        <f t="shared" si="12"/>
        <v>78</v>
      </c>
      <c r="T68" s="30">
        <f t="shared" si="13"/>
        <v>2418</v>
      </c>
      <c r="U68" s="14" t="str">
        <f t="shared" si="14"/>
        <v>normal</v>
      </c>
      <c r="V68" s="33">
        <f t="shared" si="15"/>
        <v>0.08</v>
      </c>
    </row>
    <row r="69" spans="1:22" ht="15.75" customHeight="1" x14ac:dyDescent="0.25">
      <c r="A69" s="8">
        <v>1068</v>
      </c>
      <c r="B69" s="9" t="s">
        <v>211</v>
      </c>
      <c r="C69" s="9" t="s">
        <v>220</v>
      </c>
      <c r="D69" s="9" t="str">
        <f t="shared" si="8"/>
        <v>Salah Ramadan</v>
      </c>
      <c r="E69" s="9" t="s">
        <v>34</v>
      </c>
      <c r="F69" s="9" t="s">
        <v>875</v>
      </c>
      <c r="G69" s="9" t="s">
        <v>13</v>
      </c>
      <c r="H69" s="10" t="s">
        <v>11</v>
      </c>
      <c r="I69" s="10" t="s">
        <v>17</v>
      </c>
      <c r="J69" s="11" t="s">
        <v>19</v>
      </c>
      <c r="K69" s="9" t="s">
        <v>558</v>
      </c>
      <c r="L69" s="12">
        <v>18</v>
      </c>
      <c r="M69" s="13">
        <v>12</v>
      </c>
      <c r="N69" s="13">
        <v>2011</v>
      </c>
      <c r="O69" s="31">
        <f t="shared" si="9"/>
        <v>40895</v>
      </c>
      <c r="P69" s="13">
        <f t="shared" ca="1" si="10"/>
        <v>14</v>
      </c>
      <c r="Q69" s="29">
        <v>3753</v>
      </c>
      <c r="R69" s="30">
        <f t="shared" si="11"/>
        <v>375.3</v>
      </c>
      <c r="S69" s="30">
        <f t="shared" si="12"/>
        <v>112.58999999999999</v>
      </c>
      <c r="T69" s="30">
        <f t="shared" si="13"/>
        <v>3490.29</v>
      </c>
      <c r="U69" s="14" t="str">
        <f t="shared" si="14"/>
        <v>normal</v>
      </c>
      <c r="V69" s="33">
        <f t="shared" si="15"/>
        <v>0.05</v>
      </c>
    </row>
    <row r="70" spans="1:22" ht="15.75" customHeight="1" x14ac:dyDescent="0.25">
      <c r="A70" s="8">
        <v>1069</v>
      </c>
      <c r="B70" s="9" t="s">
        <v>103</v>
      </c>
      <c r="C70" s="9" t="s">
        <v>210</v>
      </c>
      <c r="D70" s="9" t="str">
        <f t="shared" si="8"/>
        <v>Salam Alkhatib</v>
      </c>
      <c r="E70" s="9" t="s">
        <v>34</v>
      </c>
      <c r="F70" s="9" t="s">
        <v>876</v>
      </c>
      <c r="G70" s="9" t="s">
        <v>18</v>
      </c>
      <c r="H70" s="10" t="s">
        <v>8</v>
      </c>
      <c r="I70" s="10" t="s">
        <v>198</v>
      </c>
      <c r="J70" s="11" t="s">
        <v>21</v>
      </c>
      <c r="K70" s="9" t="s">
        <v>559</v>
      </c>
      <c r="L70" s="12">
        <v>8</v>
      </c>
      <c r="M70" s="13">
        <v>3</v>
      </c>
      <c r="N70" s="13">
        <v>1994</v>
      </c>
      <c r="O70" s="31">
        <f t="shared" si="9"/>
        <v>34401</v>
      </c>
      <c r="P70" s="13">
        <f t="shared" ca="1" si="10"/>
        <v>32</v>
      </c>
      <c r="Q70" s="29">
        <v>5086</v>
      </c>
      <c r="R70" s="30">
        <f t="shared" si="11"/>
        <v>508.6</v>
      </c>
      <c r="S70" s="30">
        <f t="shared" si="12"/>
        <v>152.57999999999998</v>
      </c>
      <c r="T70" s="30">
        <f t="shared" si="13"/>
        <v>4729.9799999999996</v>
      </c>
      <c r="U70" s="14" t="str">
        <f t="shared" si="14"/>
        <v>normal</v>
      </c>
      <c r="V70" s="33">
        <f t="shared" si="15"/>
        <v>0.05</v>
      </c>
    </row>
    <row r="71" spans="1:22" ht="15.75" customHeight="1" x14ac:dyDescent="0.25">
      <c r="A71" s="8">
        <v>1070</v>
      </c>
      <c r="B71" s="9" t="s">
        <v>221</v>
      </c>
      <c r="C71" s="9" t="s">
        <v>222</v>
      </c>
      <c r="D71" s="9" t="str">
        <f t="shared" si="8"/>
        <v>Amira Akrym</v>
      </c>
      <c r="E71" s="9" t="s">
        <v>33</v>
      </c>
      <c r="F71" s="9" t="s">
        <v>877</v>
      </c>
      <c r="G71" s="9" t="s">
        <v>13</v>
      </c>
      <c r="H71" s="10" t="s">
        <v>8</v>
      </c>
      <c r="I71" s="10" t="s">
        <v>9</v>
      </c>
      <c r="J71" s="11" t="s">
        <v>19</v>
      </c>
      <c r="K71" s="9" t="s">
        <v>560</v>
      </c>
      <c r="L71" s="12">
        <v>24</v>
      </c>
      <c r="M71" s="13">
        <v>3</v>
      </c>
      <c r="N71" s="13">
        <v>2000</v>
      </c>
      <c r="O71" s="31">
        <f t="shared" si="9"/>
        <v>36609</v>
      </c>
      <c r="P71" s="13">
        <f t="shared" ca="1" si="10"/>
        <v>26</v>
      </c>
      <c r="Q71" s="29">
        <v>2431</v>
      </c>
      <c r="R71" s="30">
        <f t="shared" si="11"/>
        <v>243.10000000000002</v>
      </c>
      <c r="S71" s="30">
        <f t="shared" si="12"/>
        <v>72.929999999999993</v>
      </c>
      <c r="T71" s="30">
        <f t="shared" si="13"/>
        <v>2260.83</v>
      </c>
      <c r="U71" s="14" t="str">
        <f t="shared" si="14"/>
        <v>normal</v>
      </c>
      <c r="V71" s="33">
        <f t="shared" si="15"/>
        <v>0.08</v>
      </c>
    </row>
    <row r="72" spans="1:22" ht="15.75" customHeight="1" x14ac:dyDescent="0.25">
      <c r="A72" s="8">
        <v>1071</v>
      </c>
      <c r="B72" s="9" t="s">
        <v>223</v>
      </c>
      <c r="C72" s="9" t="s">
        <v>224</v>
      </c>
      <c r="D72" s="9" t="str">
        <f t="shared" si="8"/>
        <v>Samah Almaydanii</v>
      </c>
      <c r="E72" s="9" t="s">
        <v>33</v>
      </c>
      <c r="F72" s="9" t="s">
        <v>878</v>
      </c>
      <c r="G72" s="9" t="s">
        <v>16</v>
      </c>
      <c r="H72" s="10" t="s">
        <v>8</v>
      </c>
      <c r="I72" s="10" t="s">
        <v>9</v>
      </c>
      <c r="J72" s="11" t="s">
        <v>10</v>
      </c>
      <c r="K72" s="9" t="s">
        <v>561</v>
      </c>
      <c r="L72" s="12">
        <v>4</v>
      </c>
      <c r="M72" s="13">
        <v>10</v>
      </c>
      <c r="N72" s="13">
        <v>2016</v>
      </c>
      <c r="O72" s="31">
        <f t="shared" si="9"/>
        <v>42647</v>
      </c>
      <c r="P72" s="13">
        <f t="shared" ca="1" si="10"/>
        <v>9</v>
      </c>
      <c r="Q72" s="29">
        <v>2955</v>
      </c>
      <c r="R72" s="30">
        <f t="shared" si="11"/>
        <v>295.5</v>
      </c>
      <c r="S72" s="30">
        <f t="shared" si="12"/>
        <v>88.649999999999991</v>
      </c>
      <c r="T72" s="30">
        <f t="shared" si="13"/>
        <v>2748.15</v>
      </c>
      <c r="U72" s="14" t="str">
        <f t="shared" si="14"/>
        <v>normal</v>
      </c>
      <c r="V72" s="33">
        <f t="shared" si="15"/>
        <v>0.08</v>
      </c>
    </row>
    <row r="73" spans="1:22" ht="15.75" customHeight="1" x14ac:dyDescent="0.25">
      <c r="A73" s="8">
        <v>1072</v>
      </c>
      <c r="B73" s="9" t="s">
        <v>31</v>
      </c>
      <c r="C73" s="9" t="s">
        <v>225</v>
      </c>
      <c r="D73" s="9" t="str">
        <f t="shared" si="8"/>
        <v>Ibrahim Alhamid</v>
      </c>
      <c r="E73" s="9" t="s">
        <v>34</v>
      </c>
      <c r="F73" s="9" t="s">
        <v>879</v>
      </c>
      <c r="G73" s="9" t="s">
        <v>16</v>
      </c>
      <c r="H73" s="10" t="s">
        <v>20</v>
      </c>
      <c r="I73" s="10" t="s">
        <v>198</v>
      </c>
      <c r="J73" s="11" t="s">
        <v>21</v>
      </c>
      <c r="K73" s="9" t="s">
        <v>562</v>
      </c>
      <c r="L73" s="12">
        <v>11</v>
      </c>
      <c r="M73" s="13">
        <v>8</v>
      </c>
      <c r="N73" s="13">
        <v>2018</v>
      </c>
      <c r="O73" s="31">
        <f t="shared" si="9"/>
        <v>43323</v>
      </c>
      <c r="P73" s="13">
        <f t="shared" ca="1" si="10"/>
        <v>7</v>
      </c>
      <c r="Q73" s="29">
        <v>1948</v>
      </c>
      <c r="R73" s="30">
        <f t="shared" si="11"/>
        <v>194.8</v>
      </c>
      <c r="S73" s="30">
        <f t="shared" si="12"/>
        <v>58.44</v>
      </c>
      <c r="T73" s="30">
        <f t="shared" si="13"/>
        <v>1811.64</v>
      </c>
      <c r="U73" s="14" t="str">
        <f t="shared" si="14"/>
        <v>normal</v>
      </c>
      <c r="V73" s="33">
        <f t="shared" si="15"/>
        <v>0.08</v>
      </c>
    </row>
    <row r="74" spans="1:22" ht="15.75" customHeight="1" x14ac:dyDescent="0.25">
      <c r="A74" s="8">
        <v>1073</v>
      </c>
      <c r="B74" s="9" t="s">
        <v>226</v>
      </c>
      <c r="C74" s="9" t="s">
        <v>227</v>
      </c>
      <c r="D74" s="9" t="str">
        <f t="shared" si="8"/>
        <v>Zaydun Jabir</v>
      </c>
      <c r="E74" s="9" t="s">
        <v>34</v>
      </c>
      <c r="F74" s="9" t="s">
        <v>880</v>
      </c>
      <c r="G74" s="9" t="s">
        <v>18</v>
      </c>
      <c r="H74" s="10" t="s">
        <v>20</v>
      </c>
      <c r="I74" s="10" t="s">
        <v>22</v>
      </c>
      <c r="J74" s="11" t="s">
        <v>21</v>
      </c>
      <c r="K74" s="9" t="s">
        <v>563</v>
      </c>
      <c r="L74" s="12">
        <v>10</v>
      </c>
      <c r="M74" s="13">
        <v>11</v>
      </c>
      <c r="N74" s="13">
        <v>1993</v>
      </c>
      <c r="O74" s="31">
        <f t="shared" si="9"/>
        <v>34283</v>
      </c>
      <c r="P74" s="13">
        <f t="shared" ca="1" si="10"/>
        <v>32</v>
      </c>
      <c r="Q74" s="29">
        <v>3294</v>
      </c>
      <c r="R74" s="30">
        <f t="shared" si="11"/>
        <v>329.40000000000003</v>
      </c>
      <c r="S74" s="30">
        <f t="shared" si="12"/>
        <v>98.82</v>
      </c>
      <c r="T74" s="30">
        <f t="shared" si="13"/>
        <v>3063.42</v>
      </c>
      <c r="U74" s="14" t="str">
        <f t="shared" si="14"/>
        <v>normal</v>
      </c>
      <c r="V74" s="33">
        <f t="shared" si="15"/>
        <v>0.05</v>
      </c>
    </row>
    <row r="75" spans="1:22" ht="15.75" customHeight="1" x14ac:dyDescent="0.25">
      <c r="A75" s="8">
        <v>1074</v>
      </c>
      <c r="B75" s="9" t="s">
        <v>228</v>
      </c>
      <c r="C75" s="9" t="s">
        <v>229</v>
      </c>
      <c r="D75" s="9" t="str">
        <f t="shared" si="8"/>
        <v>Ruyda Alhamadii</v>
      </c>
      <c r="E75" s="9" t="s">
        <v>33</v>
      </c>
      <c r="F75" s="9" t="s">
        <v>881</v>
      </c>
      <c r="G75" s="9" t="s">
        <v>795</v>
      </c>
      <c r="H75" s="10" t="s">
        <v>11</v>
      </c>
      <c r="I75" s="10" t="s">
        <v>198</v>
      </c>
      <c r="J75" s="11" t="s">
        <v>19</v>
      </c>
      <c r="K75" s="9" t="s">
        <v>564</v>
      </c>
      <c r="L75" s="12">
        <v>13</v>
      </c>
      <c r="M75" s="13">
        <v>2</v>
      </c>
      <c r="N75" s="13">
        <v>2002</v>
      </c>
      <c r="O75" s="31">
        <f t="shared" si="9"/>
        <v>37300</v>
      </c>
      <c r="P75" s="13">
        <f t="shared" ca="1" si="10"/>
        <v>24</v>
      </c>
      <c r="Q75" s="29">
        <v>7123</v>
      </c>
      <c r="R75" s="30">
        <f t="shared" si="11"/>
        <v>712.30000000000007</v>
      </c>
      <c r="S75" s="30">
        <f t="shared" si="12"/>
        <v>213.69</v>
      </c>
      <c r="T75" s="30">
        <f t="shared" si="13"/>
        <v>6624.3899999999994</v>
      </c>
      <c r="U75" s="14" t="str">
        <f t="shared" si="14"/>
        <v>over</v>
      </c>
      <c r="V75" s="33">
        <f t="shared" si="15"/>
        <v>0.02</v>
      </c>
    </row>
    <row r="76" spans="1:22" ht="15.75" customHeight="1" x14ac:dyDescent="0.25">
      <c r="A76" s="8">
        <v>1075</v>
      </c>
      <c r="B76" s="9" t="s">
        <v>230</v>
      </c>
      <c r="C76" s="9" t="s">
        <v>231</v>
      </c>
      <c r="D76" s="9" t="str">
        <f t="shared" si="8"/>
        <v>Karam Kiali</v>
      </c>
      <c r="E76" s="9" t="s">
        <v>34</v>
      </c>
      <c r="F76" s="9" t="s">
        <v>882</v>
      </c>
      <c r="G76" s="9" t="s">
        <v>13</v>
      </c>
      <c r="H76" s="10" t="s">
        <v>8</v>
      </c>
      <c r="I76" s="10" t="s">
        <v>22</v>
      </c>
      <c r="J76" s="11" t="s">
        <v>10</v>
      </c>
      <c r="K76" s="9" t="s">
        <v>565</v>
      </c>
      <c r="L76" s="12">
        <v>20</v>
      </c>
      <c r="M76" s="13">
        <v>2</v>
      </c>
      <c r="N76" s="13">
        <v>2012</v>
      </c>
      <c r="O76" s="31">
        <f t="shared" si="9"/>
        <v>40959</v>
      </c>
      <c r="P76" s="13">
        <f t="shared" ca="1" si="10"/>
        <v>14</v>
      </c>
      <c r="Q76" s="29">
        <v>7236</v>
      </c>
      <c r="R76" s="30">
        <f t="shared" si="11"/>
        <v>723.6</v>
      </c>
      <c r="S76" s="30">
        <f t="shared" si="12"/>
        <v>217.07999999999998</v>
      </c>
      <c r="T76" s="30">
        <f t="shared" si="13"/>
        <v>6729.48</v>
      </c>
      <c r="U76" s="14" t="str">
        <f t="shared" si="14"/>
        <v>over</v>
      </c>
      <c r="V76" s="33">
        <f t="shared" si="15"/>
        <v>0.02</v>
      </c>
    </row>
    <row r="77" spans="1:22" ht="15.75" customHeight="1" x14ac:dyDescent="0.25">
      <c r="A77" s="8">
        <v>1076</v>
      </c>
      <c r="B77" s="9" t="s">
        <v>232</v>
      </c>
      <c r="C77" s="9" t="s">
        <v>122</v>
      </c>
      <c r="D77" s="9" t="str">
        <f t="shared" si="8"/>
        <v>Iilyas Dahadal</v>
      </c>
      <c r="E77" s="9" t="s">
        <v>33</v>
      </c>
      <c r="F77" s="9" t="s">
        <v>883</v>
      </c>
      <c r="G77" s="9" t="s">
        <v>795</v>
      </c>
      <c r="H77" s="10" t="s">
        <v>11</v>
      </c>
      <c r="I77" s="10" t="s">
        <v>22</v>
      </c>
      <c r="J77" s="11" t="s">
        <v>21</v>
      </c>
      <c r="K77" s="9" t="s">
        <v>566</v>
      </c>
      <c r="L77" s="12">
        <v>20</v>
      </c>
      <c r="M77" s="13">
        <v>3</v>
      </c>
      <c r="N77" s="13">
        <v>1994</v>
      </c>
      <c r="O77" s="31">
        <f t="shared" si="9"/>
        <v>34413</v>
      </c>
      <c r="P77" s="13">
        <f t="shared" ca="1" si="10"/>
        <v>32</v>
      </c>
      <c r="Q77" s="29">
        <v>6843</v>
      </c>
      <c r="R77" s="30">
        <f t="shared" si="11"/>
        <v>684.30000000000007</v>
      </c>
      <c r="S77" s="30">
        <f t="shared" si="12"/>
        <v>205.29</v>
      </c>
      <c r="T77" s="30">
        <f t="shared" si="13"/>
        <v>6363.99</v>
      </c>
      <c r="U77" s="14" t="str">
        <f t="shared" si="14"/>
        <v>over</v>
      </c>
      <c r="V77" s="33">
        <f t="shared" si="15"/>
        <v>0.02</v>
      </c>
    </row>
    <row r="78" spans="1:22" ht="15.75" customHeight="1" x14ac:dyDescent="0.25">
      <c r="A78" s="8">
        <v>1077</v>
      </c>
      <c r="B78" s="9" t="s">
        <v>39</v>
      </c>
      <c r="C78" s="9" t="s">
        <v>233</v>
      </c>
      <c r="D78" s="9" t="str">
        <f t="shared" si="8"/>
        <v>Iin Qisi</v>
      </c>
      <c r="E78" s="9" t="s">
        <v>33</v>
      </c>
      <c r="F78" s="9" t="s">
        <v>884</v>
      </c>
      <c r="G78" s="9" t="s">
        <v>795</v>
      </c>
      <c r="H78" s="10" t="s">
        <v>20</v>
      </c>
      <c r="I78" s="10" t="s">
        <v>22</v>
      </c>
      <c r="J78" s="11" t="s">
        <v>21</v>
      </c>
      <c r="K78" s="9" t="s">
        <v>567</v>
      </c>
      <c r="L78" s="12">
        <v>7</v>
      </c>
      <c r="M78" s="13">
        <v>1</v>
      </c>
      <c r="N78" s="13">
        <v>2006</v>
      </c>
      <c r="O78" s="31">
        <f t="shared" si="9"/>
        <v>38724</v>
      </c>
      <c r="P78" s="13">
        <f t="shared" ca="1" si="10"/>
        <v>20</v>
      </c>
      <c r="Q78" s="29">
        <v>1070</v>
      </c>
      <c r="R78" s="30">
        <f t="shared" si="11"/>
        <v>107</v>
      </c>
      <c r="S78" s="30">
        <f t="shared" si="12"/>
        <v>32.1</v>
      </c>
      <c r="T78" s="30">
        <f t="shared" si="13"/>
        <v>995.09999999999991</v>
      </c>
      <c r="U78" s="14" t="str">
        <f t="shared" si="14"/>
        <v>normal</v>
      </c>
      <c r="V78" s="33">
        <f t="shared" si="15"/>
        <v>0.1</v>
      </c>
    </row>
    <row r="79" spans="1:22" ht="15.75" customHeight="1" x14ac:dyDescent="0.25">
      <c r="A79" s="8">
        <v>1078</v>
      </c>
      <c r="B79" s="9" t="s">
        <v>76</v>
      </c>
      <c r="C79" s="9" t="s">
        <v>234</v>
      </c>
      <c r="D79" s="9" t="str">
        <f t="shared" si="8"/>
        <v>Eala Dahbur</v>
      </c>
      <c r="E79" s="9" t="s">
        <v>33</v>
      </c>
      <c r="F79" s="9" t="s">
        <v>885</v>
      </c>
      <c r="G79" s="9" t="s">
        <v>13</v>
      </c>
      <c r="H79" s="10" t="s">
        <v>8</v>
      </c>
      <c r="I79" s="10" t="s">
        <v>22</v>
      </c>
      <c r="J79" s="11" t="s">
        <v>10</v>
      </c>
      <c r="K79" s="9" t="s">
        <v>568</v>
      </c>
      <c r="L79" s="12">
        <v>13</v>
      </c>
      <c r="M79" s="13">
        <v>6</v>
      </c>
      <c r="N79" s="13">
        <v>2001</v>
      </c>
      <c r="O79" s="31">
        <f t="shared" si="9"/>
        <v>37055</v>
      </c>
      <c r="P79" s="13">
        <f t="shared" ca="1" si="10"/>
        <v>24</v>
      </c>
      <c r="Q79" s="29">
        <v>1493</v>
      </c>
      <c r="R79" s="30">
        <f t="shared" si="11"/>
        <v>149.30000000000001</v>
      </c>
      <c r="S79" s="30">
        <f t="shared" si="12"/>
        <v>44.79</v>
      </c>
      <c r="T79" s="30">
        <f t="shared" si="13"/>
        <v>1388.49</v>
      </c>
      <c r="U79" s="14" t="str">
        <f t="shared" si="14"/>
        <v>normal</v>
      </c>
      <c r="V79" s="33">
        <f t="shared" si="15"/>
        <v>0.08</v>
      </c>
    </row>
    <row r="80" spans="1:22" ht="15.75" customHeight="1" x14ac:dyDescent="0.25">
      <c r="A80" s="8">
        <v>1079</v>
      </c>
      <c r="B80" s="9" t="s">
        <v>235</v>
      </c>
      <c r="C80" s="9" t="s">
        <v>236</v>
      </c>
      <c r="D80" s="9" t="str">
        <f t="shared" si="8"/>
        <v>Khalil Alzaebii</v>
      </c>
      <c r="E80" s="9" t="s">
        <v>34</v>
      </c>
      <c r="F80" s="9" t="s">
        <v>886</v>
      </c>
      <c r="G80" s="9" t="s">
        <v>18</v>
      </c>
      <c r="H80" s="10" t="s">
        <v>11</v>
      </c>
      <c r="I80" s="10" t="s">
        <v>22</v>
      </c>
      <c r="J80" s="11" t="s">
        <v>21</v>
      </c>
      <c r="K80" s="9" t="s">
        <v>569</v>
      </c>
      <c r="L80" s="12">
        <v>28</v>
      </c>
      <c r="M80" s="13">
        <v>6</v>
      </c>
      <c r="N80" s="13">
        <v>2017</v>
      </c>
      <c r="O80" s="31">
        <f t="shared" si="9"/>
        <v>42914</v>
      </c>
      <c r="P80" s="13">
        <f t="shared" ca="1" si="10"/>
        <v>8</v>
      </c>
      <c r="Q80" s="29">
        <v>5857</v>
      </c>
      <c r="R80" s="30">
        <f t="shared" si="11"/>
        <v>585.70000000000005</v>
      </c>
      <c r="S80" s="30">
        <f t="shared" si="12"/>
        <v>175.70999999999998</v>
      </c>
      <c r="T80" s="30">
        <f t="shared" si="13"/>
        <v>5447.01</v>
      </c>
      <c r="U80" s="14" t="str">
        <f t="shared" si="14"/>
        <v>normal</v>
      </c>
      <c r="V80" s="33">
        <f t="shared" si="15"/>
        <v>0.05</v>
      </c>
    </row>
    <row r="81" spans="1:22" ht="15.75" customHeight="1" x14ac:dyDescent="0.25">
      <c r="A81" s="8">
        <v>1080</v>
      </c>
      <c r="B81" s="9" t="s">
        <v>237</v>
      </c>
      <c r="C81" s="9" t="s">
        <v>238</v>
      </c>
      <c r="D81" s="9" t="str">
        <f t="shared" si="8"/>
        <v>Rahaf Alaleppoy</v>
      </c>
      <c r="E81" s="9" t="s">
        <v>33</v>
      </c>
      <c r="F81" s="9" t="s">
        <v>887</v>
      </c>
      <c r="G81" s="9" t="s">
        <v>18</v>
      </c>
      <c r="H81" s="10" t="s">
        <v>11</v>
      </c>
      <c r="I81" s="10" t="s">
        <v>198</v>
      </c>
      <c r="J81" s="11" t="s">
        <v>19</v>
      </c>
      <c r="K81" s="9" t="s">
        <v>570</v>
      </c>
      <c r="L81" s="12">
        <v>22</v>
      </c>
      <c r="M81" s="13">
        <v>10</v>
      </c>
      <c r="N81" s="13">
        <v>2019</v>
      </c>
      <c r="O81" s="31">
        <f t="shared" si="9"/>
        <v>43760</v>
      </c>
      <c r="P81" s="13">
        <f t="shared" ca="1" si="10"/>
        <v>6</v>
      </c>
      <c r="Q81" s="29">
        <v>5278</v>
      </c>
      <c r="R81" s="30">
        <f t="shared" si="11"/>
        <v>527.80000000000007</v>
      </c>
      <c r="S81" s="30">
        <f t="shared" si="12"/>
        <v>158.34</v>
      </c>
      <c r="T81" s="30">
        <f t="shared" si="13"/>
        <v>4908.54</v>
      </c>
      <c r="U81" s="14" t="str">
        <f t="shared" si="14"/>
        <v>normal</v>
      </c>
      <c r="V81" s="33">
        <f t="shared" si="15"/>
        <v>0.05</v>
      </c>
    </row>
    <row r="82" spans="1:22" ht="15.75" customHeight="1" x14ac:dyDescent="0.25">
      <c r="A82" s="8">
        <v>1081</v>
      </c>
      <c r="B82" s="9" t="s">
        <v>239</v>
      </c>
      <c r="C82" s="9" t="s">
        <v>240</v>
      </c>
      <c r="D82" s="9" t="str">
        <f t="shared" si="8"/>
        <v>Isam Jadid</v>
      </c>
      <c r="E82" s="9" t="s">
        <v>34</v>
      </c>
      <c r="F82" s="9" t="s">
        <v>888</v>
      </c>
      <c r="G82" s="9" t="s">
        <v>795</v>
      </c>
      <c r="H82" s="10" t="s">
        <v>11</v>
      </c>
      <c r="I82" s="10" t="s">
        <v>23</v>
      </c>
      <c r="J82" s="11" t="s">
        <v>10</v>
      </c>
      <c r="K82" s="9" t="s">
        <v>571</v>
      </c>
      <c r="L82" s="12">
        <v>2</v>
      </c>
      <c r="M82" s="13">
        <v>9</v>
      </c>
      <c r="N82" s="13">
        <v>2011</v>
      </c>
      <c r="O82" s="31">
        <f t="shared" si="9"/>
        <v>40788</v>
      </c>
      <c r="P82" s="13">
        <f t="shared" ca="1" si="10"/>
        <v>14</v>
      </c>
      <c r="Q82" s="29">
        <v>5710</v>
      </c>
      <c r="R82" s="30">
        <f t="shared" si="11"/>
        <v>571</v>
      </c>
      <c r="S82" s="30">
        <f t="shared" si="12"/>
        <v>171.29999999999998</v>
      </c>
      <c r="T82" s="30">
        <f t="shared" si="13"/>
        <v>5310.3</v>
      </c>
      <c r="U82" s="14" t="str">
        <f t="shared" si="14"/>
        <v>normal</v>
      </c>
      <c r="V82" s="33">
        <f t="shared" si="15"/>
        <v>0.05</v>
      </c>
    </row>
    <row r="83" spans="1:22" ht="15.75" customHeight="1" x14ac:dyDescent="0.25">
      <c r="A83" s="8">
        <v>1082</v>
      </c>
      <c r="B83" s="9" t="s">
        <v>241</v>
      </c>
      <c r="C83" s="9" t="s">
        <v>242</v>
      </c>
      <c r="D83" s="9" t="str">
        <f t="shared" si="8"/>
        <v>Rybal Sabagh</v>
      </c>
      <c r="E83" s="9" t="s">
        <v>34</v>
      </c>
      <c r="F83" s="9" t="s">
        <v>889</v>
      </c>
      <c r="G83" s="9" t="s">
        <v>13</v>
      </c>
      <c r="H83" s="10" t="s">
        <v>8</v>
      </c>
      <c r="I83" s="10" t="s">
        <v>15</v>
      </c>
      <c r="J83" s="11" t="s">
        <v>19</v>
      </c>
      <c r="K83" s="9" t="s">
        <v>572</v>
      </c>
      <c r="L83" s="12">
        <v>15</v>
      </c>
      <c r="M83" s="13">
        <v>10</v>
      </c>
      <c r="N83" s="13">
        <v>2002</v>
      </c>
      <c r="O83" s="31">
        <f t="shared" si="9"/>
        <v>37544</v>
      </c>
      <c r="P83" s="13">
        <f t="shared" ca="1" si="10"/>
        <v>23</v>
      </c>
      <c r="Q83" s="29">
        <v>6145</v>
      </c>
      <c r="R83" s="30">
        <f t="shared" si="11"/>
        <v>614.5</v>
      </c>
      <c r="S83" s="30">
        <f t="shared" si="12"/>
        <v>184.35</v>
      </c>
      <c r="T83" s="30">
        <f t="shared" si="13"/>
        <v>5714.85</v>
      </c>
      <c r="U83" s="14" t="str">
        <f t="shared" si="14"/>
        <v>normal</v>
      </c>
      <c r="V83" s="33">
        <f t="shared" si="15"/>
        <v>0.05</v>
      </c>
    </row>
    <row r="84" spans="1:22" ht="15.75" customHeight="1" x14ac:dyDescent="0.25">
      <c r="A84" s="8">
        <v>1083</v>
      </c>
      <c r="B84" s="9" t="s">
        <v>243</v>
      </c>
      <c r="C84" s="9" t="s">
        <v>244</v>
      </c>
      <c r="D84" s="9" t="str">
        <f t="shared" si="8"/>
        <v>Ihsan Eazu</v>
      </c>
      <c r="E84" s="9" t="s">
        <v>34</v>
      </c>
      <c r="F84" s="9" t="s">
        <v>890</v>
      </c>
      <c r="G84" s="9" t="s">
        <v>16</v>
      </c>
      <c r="H84" s="10" t="s">
        <v>11</v>
      </c>
      <c r="I84" s="10" t="s">
        <v>23</v>
      </c>
      <c r="J84" s="11" t="s">
        <v>19</v>
      </c>
      <c r="K84" s="9" t="s">
        <v>573</v>
      </c>
      <c r="L84" s="12">
        <v>22</v>
      </c>
      <c r="M84" s="13">
        <v>5</v>
      </c>
      <c r="N84" s="13">
        <v>1995</v>
      </c>
      <c r="O84" s="31">
        <f t="shared" si="9"/>
        <v>34841</v>
      </c>
      <c r="P84" s="13">
        <f t="shared" ca="1" si="10"/>
        <v>30</v>
      </c>
      <c r="Q84" s="29">
        <v>5278</v>
      </c>
      <c r="R84" s="30">
        <f t="shared" si="11"/>
        <v>527.80000000000007</v>
      </c>
      <c r="S84" s="30">
        <f t="shared" si="12"/>
        <v>158.34</v>
      </c>
      <c r="T84" s="30">
        <f t="shared" si="13"/>
        <v>4908.54</v>
      </c>
      <c r="U84" s="14" t="str">
        <f t="shared" si="14"/>
        <v>normal</v>
      </c>
      <c r="V84" s="33">
        <f t="shared" si="15"/>
        <v>0.05</v>
      </c>
    </row>
    <row r="85" spans="1:22" ht="15.75" customHeight="1" x14ac:dyDescent="0.25">
      <c r="A85" s="8">
        <v>1084</v>
      </c>
      <c r="B85" s="9" t="s">
        <v>245</v>
      </c>
      <c r="C85" s="9" t="s">
        <v>246</v>
      </c>
      <c r="D85" s="9" t="str">
        <f t="shared" si="8"/>
        <v>Abdalrahmin Turkmany</v>
      </c>
      <c r="E85" s="9" t="s">
        <v>34</v>
      </c>
      <c r="F85" s="9" t="s">
        <v>891</v>
      </c>
      <c r="G85" s="9" t="s">
        <v>16</v>
      </c>
      <c r="H85" s="10" t="s">
        <v>8</v>
      </c>
      <c r="I85" s="10" t="s">
        <v>9</v>
      </c>
      <c r="J85" s="11" t="s">
        <v>10</v>
      </c>
      <c r="K85" s="9" t="s">
        <v>574</v>
      </c>
      <c r="L85" s="12">
        <v>17</v>
      </c>
      <c r="M85" s="13">
        <v>1</v>
      </c>
      <c r="N85" s="13">
        <v>2019</v>
      </c>
      <c r="O85" s="31">
        <f t="shared" si="9"/>
        <v>43482</v>
      </c>
      <c r="P85" s="13">
        <f t="shared" ca="1" si="10"/>
        <v>7</v>
      </c>
      <c r="Q85" s="29">
        <v>6409</v>
      </c>
      <c r="R85" s="30">
        <f t="shared" si="11"/>
        <v>640.90000000000009</v>
      </c>
      <c r="S85" s="30">
        <f t="shared" si="12"/>
        <v>192.26999999999998</v>
      </c>
      <c r="T85" s="30">
        <f t="shared" si="13"/>
        <v>5960.3700000000008</v>
      </c>
      <c r="U85" s="14" t="str">
        <f t="shared" si="14"/>
        <v>normal</v>
      </c>
      <c r="V85" s="33">
        <f t="shared" si="15"/>
        <v>0.05</v>
      </c>
    </row>
    <row r="86" spans="1:22" ht="15.75" customHeight="1" x14ac:dyDescent="0.25">
      <c r="A86" s="8">
        <v>1085</v>
      </c>
      <c r="B86" s="9" t="s">
        <v>247</v>
      </c>
      <c r="C86" s="9" t="s">
        <v>248</v>
      </c>
      <c r="D86" s="9" t="str">
        <f t="shared" si="8"/>
        <v>Lama Sabiq</v>
      </c>
      <c r="E86" s="9" t="s">
        <v>33</v>
      </c>
      <c r="F86" s="9" t="s">
        <v>892</v>
      </c>
      <c r="G86" s="9" t="s">
        <v>13</v>
      </c>
      <c r="H86" s="10" t="s">
        <v>20</v>
      </c>
      <c r="I86" s="10" t="s">
        <v>9</v>
      </c>
      <c r="J86" s="11" t="s">
        <v>21</v>
      </c>
      <c r="K86" s="9" t="s">
        <v>575</v>
      </c>
      <c r="L86" s="12">
        <v>4</v>
      </c>
      <c r="M86" s="13">
        <v>12</v>
      </c>
      <c r="N86" s="13">
        <v>2015</v>
      </c>
      <c r="O86" s="31">
        <f t="shared" si="9"/>
        <v>42342</v>
      </c>
      <c r="P86" s="13">
        <f t="shared" ca="1" si="10"/>
        <v>10</v>
      </c>
      <c r="Q86" s="29">
        <v>7478</v>
      </c>
      <c r="R86" s="30">
        <f t="shared" si="11"/>
        <v>747.80000000000007</v>
      </c>
      <c r="S86" s="30">
        <f t="shared" si="12"/>
        <v>224.34</v>
      </c>
      <c r="T86" s="30">
        <f t="shared" si="13"/>
        <v>6954.54</v>
      </c>
      <c r="U86" s="14" t="str">
        <f t="shared" si="14"/>
        <v>over</v>
      </c>
      <c r="V86" s="33">
        <f t="shared" si="15"/>
        <v>0.02</v>
      </c>
    </row>
    <row r="87" spans="1:22" ht="15.75" customHeight="1" x14ac:dyDescent="0.25">
      <c r="A87" s="8">
        <v>1086</v>
      </c>
      <c r="B87" s="9" t="s">
        <v>111</v>
      </c>
      <c r="C87" s="9" t="s">
        <v>249</v>
      </c>
      <c r="D87" s="9" t="str">
        <f t="shared" si="8"/>
        <v>Faras Shaykh</v>
      </c>
      <c r="E87" s="9" t="s">
        <v>34</v>
      </c>
      <c r="F87" s="9" t="s">
        <v>893</v>
      </c>
      <c r="G87" s="9" t="s">
        <v>795</v>
      </c>
      <c r="H87" s="10" t="s">
        <v>11</v>
      </c>
      <c r="I87" s="10" t="s">
        <v>9</v>
      </c>
      <c r="J87" s="11" t="s">
        <v>10</v>
      </c>
      <c r="K87" s="9" t="s">
        <v>576</v>
      </c>
      <c r="L87" s="12">
        <v>14</v>
      </c>
      <c r="M87" s="13">
        <v>12</v>
      </c>
      <c r="N87" s="13">
        <v>2018</v>
      </c>
      <c r="O87" s="31">
        <f t="shared" si="9"/>
        <v>43448</v>
      </c>
      <c r="P87" s="13">
        <f t="shared" ca="1" si="10"/>
        <v>7</v>
      </c>
      <c r="Q87" s="29">
        <v>4621</v>
      </c>
      <c r="R87" s="30">
        <f t="shared" si="11"/>
        <v>462.1</v>
      </c>
      <c r="S87" s="30">
        <f t="shared" si="12"/>
        <v>138.63</v>
      </c>
      <c r="T87" s="30">
        <f t="shared" si="13"/>
        <v>4297.53</v>
      </c>
      <c r="U87" s="14" t="str">
        <f t="shared" si="14"/>
        <v>normal</v>
      </c>
      <c r="V87" s="33">
        <f t="shared" si="15"/>
        <v>0.05</v>
      </c>
    </row>
    <row r="88" spans="1:22" ht="15.75" customHeight="1" x14ac:dyDescent="0.25">
      <c r="A88" s="8">
        <v>1087</v>
      </c>
      <c r="B88" s="9" t="s">
        <v>250</v>
      </c>
      <c r="C88" s="9" t="s">
        <v>251</v>
      </c>
      <c r="D88" s="9" t="str">
        <f t="shared" si="8"/>
        <v>Khaldun Suqbani</v>
      </c>
      <c r="E88" s="9" t="s">
        <v>34</v>
      </c>
      <c r="F88" s="9" t="s">
        <v>894</v>
      </c>
      <c r="G88" s="9" t="s">
        <v>16</v>
      </c>
      <c r="H88" s="10" t="s">
        <v>8</v>
      </c>
      <c r="I88" s="10" t="s">
        <v>24</v>
      </c>
      <c r="J88" s="11" t="s">
        <v>10</v>
      </c>
      <c r="K88" s="9" t="s">
        <v>577</v>
      </c>
      <c r="L88" s="12">
        <v>14</v>
      </c>
      <c r="M88" s="13">
        <v>12</v>
      </c>
      <c r="N88" s="13">
        <v>1993</v>
      </c>
      <c r="O88" s="31">
        <f t="shared" si="9"/>
        <v>34317</v>
      </c>
      <c r="P88" s="13">
        <f t="shared" ca="1" si="10"/>
        <v>32</v>
      </c>
      <c r="Q88" s="29">
        <v>2093</v>
      </c>
      <c r="R88" s="30">
        <f t="shared" si="11"/>
        <v>209.3</v>
      </c>
      <c r="S88" s="30">
        <f t="shared" si="12"/>
        <v>62.79</v>
      </c>
      <c r="T88" s="30">
        <f t="shared" si="13"/>
        <v>1946.49</v>
      </c>
      <c r="U88" s="14" t="str">
        <f t="shared" si="14"/>
        <v>normal</v>
      </c>
      <c r="V88" s="33">
        <f t="shared" si="15"/>
        <v>0.08</v>
      </c>
    </row>
    <row r="89" spans="1:22" ht="15.75" customHeight="1" x14ac:dyDescent="0.25">
      <c r="A89" s="8">
        <v>1088</v>
      </c>
      <c r="B89" s="9" t="s">
        <v>252</v>
      </c>
      <c r="C89" s="9" t="s">
        <v>253</v>
      </c>
      <c r="D89" s="9" t="str">
        <f t="shared" si="8"/>
        <v>Kawkab Qarqazan</v>
      </c>
      <c r="E89" s="9" t="s">
        <v>33</v>
      </c>
      <c r="F89" s="9" t="s">
        <v>895</v>
      </c>
      <c r="G89" s="9" t="s">
        <v>795</v>
      </c>
      <c r="H89" s="10" t="s">
        <v>8</v>
      </c>
      <c r="I89" s="10" t="s">
        <v>198</v>
      </c>
      <c r="J89" s="11" t="s">
        <v>19</v>
      </c>
      <c r="K89" s="9" t="s">
        <v>578</v>
      </c>
      <c r="L89" s="12">
        <v>20</v>
      </c>
      <c r="M89" s="13">
        <v>5</v>
      </c>
      <c r="N89" s="13">
        <v>2002</v>
      </c>
      <c r="O89" s="31">
        <f t="shared" si="9"/>
        <v>37396</v>
      </c>
      <c r="P89" s="13">
        <f t="shared" ca="1" si="10"/>
        <v>23</v>
      </c>
      <c r="Q89" s="29">
        <v>7333</v>
      </c>
      <c r="R89" s="30">
        <f t="shared" si="11"/>
        <v>733.30000000000007</v>
      </c>
      <c r="S89" s="30">
        <f t="shared" si="12"/>
        <v>219.98999999999998</v>
      </c>
      <c r="T89" s="30">
        <f t="shared" si="13"/>
        <v>6819.69</v>
      </c>
      <c r="U89" s="14" t="str">
        <f t="shared" si="14"/>
        <v>over</v>
      </c>
      <c r="V89" s="33">
        <f t="shared" si="15"/>
        <v>0.02</v>
      </c>
    </row>
    <row r="90" spans="1:22" ht="15.75" customHeight="1" x14ac:dyDescent="0.25">
      <c r="A90" s="8">
        <v>1089</v>
      </c>
      <c r="B90" s="9" t="s">
        <v>60</v>
      </c>
      <c r="C90" s="9" t="s">
        <v>254</v>
      </c>
      <c r="D90" s="9" t="str">
        <f t="shared" si="8"/>
        <v>Samir Alsaeid</v>
      </c>
      <c r="E90" s="9" t="s">
        <v>34</v>
      </c>
      <c r="F90" s="9" t="s">
        <v>896</v>
      </c>
      <c r="G90" s="9" t="s">
        <v>16</v>
      </c>
      <c r="H90" s="10" t="s">
        <v>11</v>
      </c>
      <c r="I90" s="10" t="s">
        <v>15</v>
      </c>
      <c r="J90" s="11" t="s">
        <v>19</v>
      </c>
      <c r="K90" s="9" t="s">
        <v>579</v>
      </c>
      <c r="L90" s="12">
        <v>16</v>
      </c>
      <c r="M90" s="13">
        <v>9</v>
      </c>
      <c r="N90" s="13">
        <v>2008</v>
      </c>
      <c r="O90" s="31">
        <f t="shared" si="9"/>
        <v>39707</v>
      </c>
      <c r="P90" s="13">
        <f t="shared" ca="1" si="10"/>
        <v>17</v>
      </c>
      <c r="Q90" s="29">
        <v>1194</v>
      </c>
      <c r="R90" s="30">
        <f t="shared" si="11"/>
        <v>119.4</v>
      </c>
      <c r="S90" s="30">
        <f t="shared" si="12"/>
        <v>35.82</v>
      </c>
      <c r="T90" s="30">
        <f t="shared" si="13"/>
        <v>1110.4199999999998</v>
      </c>
      <c r="U90" s="14" t="str">
        <f t="shared" si="14"/>
        <v>normal</v>
      </c>
      <c r="V90" s="33">
        <f t="shared" si="15"/>
        <v>0.08</v>
      </c>
    </row>
    <row r="91" spans="1:22" ht="15.75" customHeight="1" x14ac:dyDescent="0.25">
      <c r="A91" s="8">
        <v>1090</v>
      </c>
      <c r="B91" s="9" t="s">
        <v>255</v>
      </c>
      <c r="C91" s="9" t="s">
        <v>256</v>
      </c>
      <c r="D91" s="9" t="str">
        <f t="shared" si="8"/>
        <v>Amir Alhifar</v>
      </c>
      <c r="E91" s="9" t="s">
        <v>34</v>
      </c>
      <c r="F91" s="9" t="s">
        <v>897</v>
      </c>
      <c r="G91" s="9" t="s">
        <v>7</v>
      </c>
      <c r="H91" s="10" t="s">
        <v>8</v>
      </c>
      <c r="I91" s="10" t="s">
        <v>15</v>
      </c>
      <c r="J91" s="11" t="s">
        <v>21</v>
      </c>
      <c r="K91" s="9" t="s">
        <v>580</v>
      </c>
      <c r="L91" s="12">
        <v>6</v>
      </c>
      <c r="M91" s="13">
        <v>11</v>
      </c>
      <c r="N91" s="13">
        <v>2015</v>
      </c>
      <c r="O91" s="31">
        <f t="shared" si="9"/>
        <v>42314</v>
      </c>
      <c r="P91" s="13">
        <f t="shared" ca="1" si="10"/>
        <v>10</v>
      </c>
      <c r="Q91" s="29">
        <v>5118</v>
      </c>
      <c r="R91" s="30">
        <f t="shared" si="11"/>
        <v>511.8</v>
      </c>
      <c r="S91" s="30">
        <f t="shared" si="12"/>
        <v>153.54</v>
      </c>
      <c r="T91" s="30">
        <f t="shared" si="13"/>
        <v>4759.74</v>
      </c>
      <c r="U91" s="14" t="str">
        <f t="shared" si="14"/>
        <v>normal</v>
      </c>
      <c r="V91" s="33">
        <f t="shared" si="15"/>
        <v>0.05</v>
      </c>
    </row>
    <row r="92" spans="1:22" ht="15.75" customHeight="1" x14ac:dyDescent="0.25">
      <c r="A92" s="8">
        <v>1091</v>
      </c>
      <c r="B92" s="9" t="s">
        <v>257</v>
      </c>
      <c r="C92" s="9" t="s">
        <v>258</v>
      </c>
      <c r="D92" s="9" t="str">
        <f t="shared" si="8"/>
        <v>Amjad Alrz</v>
      </c>
      <c r="E92" s="9" t="s">
        <v>34</v>
      </c>
      <c r="F92" s="9" t="s">
        <v>898</v>
      </c>
      <c r="G92" s="9" t="s">
        <v>16</v>
      </c>
      <c r="H92" s="10" t="s">
        <v>8</v>
      </c>
      <c r="I92" s="10" t="s">
        <v>25</v>
      </c>
      <c r="J92" s="11" t="s">
        <v>19</v>
      </c>
      <c r="K92" s="9" t="s">
        <v>581</v>
      </c>
      <c r="L92" s="12">
        <v>28</v>
      </c>
      <c r="M92" s="13">
        <v>5</v>
      </c>
      <c r="N92" s="13">
        <v>2004</v>
      </c>
      <c r="O92" s="31">
        <f t="shared" si="9"/>
        <v>38135</v>
      </c>
      <c r="P92" s="13">
        <f t="shared" ca="1" si="10"/>
        <v>21</v>
      </c>
      <c r="Q92" s="29">
        <v>5373</v>
      </c>
      <c r="R92" s="30">
        <f t="shared" si="11"/>
        <v>537.30000000000007</v>
      </c>
      <c r="S92" s="30">
        <f t="shared" si="12"/>
        <v>161.19</v>
      </c>
      <c r="T92" s="30">
        <f t="shared" si="13"/>
        <v>4996.8899999999994</v>
      </c>
      <c r="U92" s="14" t="str">
        <f t="shared" si="14"/>
        <v>normal</v>
      </c>
      <c r="V92" s="33">
        <f t="shared" si="15"/>
        <v>0.05</v>
      </c>
    </row>
    <row r="93" spans="1:22" ht="15.75" customHeight="1" x14ac:dyDescent="0.25">
      <c r="A93" s="8">
        <v>1092</v>
      </c>
      <c r="B93" s="9" t="s">
        <v>259</v>
      </c>
      <c r="C93" s="9" t="s">
        <v>260</v>
      </c>
      <c r="D93" s="9" t="str">
        <f t="shared" si="8"/>
        <v>Daniah Alhariri</v>
      </c>
      <c r="E93" s="9" t="s">
        <v>33</v>
      </c>
      <c r="F93" s="9" t="s">
        <v>899</v>
      </c>
      <c r="G93" s="9" t="s">
        <v>16</v>
      </c>
      <c r="H93" s="10" t="s">
        <v>14</v>
      </c>
      <c r="I93" s="10" t="s">
        <v>26</v>
      </c>
      <c r="J93" s="11" t="s">
        <v>10</v>
      </c>
      <c r="K93" s="9" t="s">
        <v>582</v>
      </c>
      <c r="L93" s="12">
        <v>27</v>
      </c>
      <c r="M93" s="13">
        <v>7</v>
      </c>
      <c r="N93" s="13">
        <v>2011</v>
      </c>
      <c r="O93" s="31">
        <f t="shared" si="9"/>
        <v>40751</v>
      </c>
      <c r="P93" s="13">
        <f t="shared" ca="1" si="10"/>
        <v>14</v>
      </c>
      <c r="Q93" s="29">
        <v>1708</v>
      </c>
      <c r="R93" s="30">
        <f t="shared" si="11"/>
        <v>170.8</v>
      </c>
      <c r="S93" s="30">
        <f t="shared" si="12"/>
        <v>51.239999999999995</v>
      </c>
      <c r="T93" s="30">
        <f t="shared" si="13"/>
        <v>1588.44</v>
      </c>
      <c r="U93" s="14" t="str">
        <f t="shared" si="14"/>
        <v>normal</v>
      </c>
      <c r="V93" s="33">
        <f t="shared" si="15"/>
        <v>0.08</v>
      </c>
    </row>
    <row r="94" spans="1:22" ht="15.75" customHeight="1" x14ac:dyDescent="0.25">
      <c r="A94" s="8">
        <v>1093</v>
      </c>
      <c r="B94" s="9" t="s">
        <v>261</v>
      </c>
      <c r="C94" s="9" t="s">
        <v>262</v>
      </c>
      <c r="D94" s="9" t="str">
        <f t="shared" si="8"/>
        <v>Sana Alhusayn</v>
      </c>
      <c r="E94" s="9" t="s">
        <v>33</v>
      </c>
      <c r="F94" s="9" t="s">
        <v>900</v>
      </c>
      <c r="G94" s="9" t="s">
        <v>18</v>
      </c>
      <c r="H94" s="10" t="s">
        <v>8</v>
      </c>
      <c r="I94" s="10" t="s">
        <v>198</v>
      </c>
      <c r="J94" s="11" t="s">
        <v>21</v>
      </c>
      <c r="K94" s="9" t="s">
        <v>583</v>
      </c>
      <c r="L94" s="12">
        <v>11</v>
      </c>
      <c r="M94" s="13">
        <v>8</v>
      </c>
      <c r="N94" s="13">
        <v>2019</v>
      </c>
      <c r="O94" s="31">
        <f t="shared" si="9"/>
        <v>43688</v>
      </c>
      <c r="P94" s="13">
        <f t="shared" ca="1" si="10"/>
        <v>6</v>
      </c>
      <c r="Q94" s="29">
        <v>2898</v>
      </c>
      <c r="R94" s="30">
        <f t="shared" si="11"/>
        <v>289.8</v>
      </c>
      <c r="S94" s="30">
        <f t="shared" si="12"/>
        <v>86.94</v>
      </c>
      <c r="T94" s="30">
        <f t="shared" si="13"/>
        <v>2695.14</v>
      </c>
      <c r="U94" s="14" t="str">
        <f t="shared" si="14"/>
        <v>normal</v>
      </c>
      <c r="V94" s="33">
        <f t="shared" si="15"/>
        <v>0.08</v>
      </c>
    </row>
    <row r="95" spans="1:22" ht="15.75" customHeight="1" x14ac:dyDescent="0.25">
      <c r="A95" s="8">
        <v>1094</v>
      </c>
      <c r="B95" s="9" t="s">
        <v>52</v>
      </c>
      <c r="C95" s="9" t="s">
        <v>263</v>
      </c>
      <c r="D95" s="9" t="str">
        <f t="shared" si="8"/>
        <v>Alaa Alqasir</v>
      </c>
      <c r="E95" s="9" t="s">
        <v>34</v>
      </c>
      <c r="F95" s="9" t="s">
        <v>901</v>
      </c>
      <c r="G95" s="9" t="s">
        <v>7</v>
      </c>
      <c r="H95" s="10" t="s">
        <v>11</v>
      </c>
      <c r="I95" s="10" t="s">
        <v>23</v>
      </c>
      <c r="J95" s="11" t="s">
        <v>10</v>
      </c>
      <c r="K95" s="9" t="s">
        <v>584</v>
      </c>
      <c r="L95" s="12">
        <v>16</v>
      </c>
      <c r="M95" s="13">
        <v>10</v>
      </c>
      <c r="N95" s="13">
        <v>2007</v>
      </c>
      <c r="O95" s="31">
        <f t="shared" si="9"/>
        <v>39371</v>
      </c>
      <c r="P95" s="13">
        <f t="shared" ca="1" si="10"/>
        <v>18</v>
      </c>
      <c r="Q95" s="29">
        <v>6211</v>
      </c>
      <c r="R95" s="30">
        <f t="shared" si="11"/>
        <v>621.1</v>
      </c>
      <c r="S95" s="30">
        <f t="shared" si="12"/>
        <v>186.32999999999998</v>
      </c>
      <c r="T95" s="30">
        <f t="shared" si="13"/>
        <v>5776.23</v>
      </c>
      <c r="U95" s="14" t="str">
        <f t="shared" si="14"/>
        <v>normal</v>
      </c>
      <c r="V95" s="33">
        <f t="shared" si="15"/>
        <v>0.05</v>
      </c>
    </row>
    <row r="96" spans="1:22" ht="15.75" customHeight="1" x14ac:dyDescent="0.25">
      <c r="A96" s="8">
        <v>1095</v>
      </c>
      <c r="B96" s="9" t="s">
        <v>264</v>
      </c>
      <c r="C96" s="9" t="s">
        <v>265</v>
      </c>
      <c r="D96" s="9" t="str">
        <f t="shared" si="8"/>
        <v>Abd Alruhmin Salih</v>
      </c>
      <c r="E96" s="9" t="s">
        <v>34</v>
      </c>
      <c r="F96" s="9" t="s">
        <v>902</v>
      </c>
      <c r="G96" s="9" t="s">
        <v>18</v>
      </c>
      <c r="H96" s="10" t="s">
        <v>8</v>
      </c>
      <c r="I96" s="10" t="s">
        <v>9</v>
      </c>
      <c r="J96" s="11" t="s">
        <v>10</v>
      </c>
      <c r="K96" s="9" t="s">
        <v>585</v>
      </c>
      <c r="L96" s="12">
        <v>25</v>
      </c>
      <c r="M96" s="13">
        <v>12</v>
      </c>
      <c r="N96" s="13">
        <v>2020</v>
      </c>
      <c r="O96" s="31">
        <f t="shared" si="9"/>
        <v>44190</v>
      </c>
      <c r="P96" s="13">
        <f t="shared" ca="1" si="10"/>
        <v>5</v>
      </c>
      <c r="Q96" s="29">
        <v>5976</v>
      </c>
      <c r="R96" s="30">
        <f t="shared" si="11"/>
        <v>597.6</v>
      </c>
      <c r="S96" s="30">
        <f t="shared" si="12"/>
        <v>179.28</v>
      </c>
      <c r="T96" s="30">
        <f t="shared" si="13"/>
        <v>5557.6799999999994</v>
      </c>
      <c r="U96" s="14" t="str">
        <f t="shared" si="14"/>
        <v>normal</v>
      </c>
      <c r="V96" s="33">
        <f t="shared" si="15"/>
        <v>0.05</v>
      </c>
    </row>
    <row r="97" spans="1:22" ht="15.75" customHeight="1" x14ac:dyDescent="0.25">
      <c r="A97" s="8">
        <v>1096</v>
      </c>
      <c r="B97" s="9" t="s">
        <v>39</v>
      </c>
      <c r="C97" s="9" t="s">
        <v>266</v>
      </c>
      <c r="D97" s="9" t="str">
        <f t="shared" si="8"/>
        <v>Iin Alhumwi</v>
      </c>
      <c r="E97" s="9" t="s">
        <v>33</v>
      </c>
      <c r="F97" s="9" t="s">
        <v>903</v>
      </c>
      <c r="G97" s="9" t="s">
        <v>18</v>
      </c>
      <c r="H97" s="10" t="s">
        <v>11</v>
      </c>
      <c r="I97" s="10" t="s">
        <v>9</v>
      </c>
      <c r="J97" s="11" t="s">
        <v>19</v>
      </c>
      <c r="K97" s="9" t="s">
        <v>586</v>
      </c>
      <c r="L97" s="12">
        <v>28</v>
      </c>
      <c r="M97" s="13">
        <v>10</v>
      </c>
      <c r="N97" s="13">
        <v>1997</v>
      </c>
      <c r="O97" s="31">
        <f t="shared" si="9"/>
        <v>35731</v>
      </c>
      <c r="P97" s="13">
        <f t="shared" ca="1" si="10"/>
        <v>28</v>
      </c>
      <c r="Q97" s="29">
        <v>742</v>
      </c>
      <c r="R97" s="30">
        <f t="shared" si="11"/>
        <v>74.2</v>
      </c>
      <c r="S97" s="30">
        <f t="shared" si="12"/>
        <v>22.259999999999998</v>
      </c>
      <c r="T97" s="30">
        <f t="shared" si="13"/>
        <v>690.06</v>
      </c>
      <c r="U97" s="14" t="str">
        <f t="shared" si="14"/>
        <v>normal</v>
      </c>
      <c r="V97" s="33">
        <f t="shared" si="15"/>
        <v>0.1</v>
      </c>
    </row>
    <row r="98" spans="1:22" ht="15.75" customHeight="1" x14ac:dyDescent="0.25">
      <c r="A98" s="8">
        <v>1097</v>
      </c>
      <c r="B98" s="9" t="s">
        <v>52</v>
      </c>
      <c r="C98" s="9" t="s">
        <v>267</v>
      </c>
      <c r="D98" s="9" t="str">
        <f t="shared" si="8"/>
        <v>Alaa Saed</v>
      </c>
      <c r="E98" s="9" t="s">
        <v>33</v>
      </c>
      <c r="F98" s="9" t="s">
        <v>904</v>
      </c>
      <c r="G98" s="9" t="s">
        <v>13</v>
      </c>
      <c r="H98" s="10" t="s">
        <v>11</v>
      </c>
      <c r="I98" s="10" t="s">
        <v>24</v>
      </c>
      <c r="J98" s="11" t="s">
        <v>10</v>
      </c>
      <c r="K98" s="9" t="s">
        <v>587</v>
      </c>
      <c r="L98" s="12">
        <v>3</v>
      </c>
      <c r="M98" s="13">
        <v>4</v>
      </c>
      <c r="N98" s="13">
        <v>2008</v>
      </c>
      <c r="O98" s="31">
        <f t="shared" si="9"/>
        <v>39541</v>
      </c>
      <c r="P98" s="13">
        <f t="shared" ca="1" si="10"/>
        <v>18</v>
      </c>
      <c r="Q98" s="29">
        <v>5918</v>
      </c>
      <c r="R98" s="30">
        <f t="shared" si="11"/>
        <v>591.80000000000007</v>
      </c>
      <c r="S98" s="30">
        <f t="shared" si="12"/>
        <v>177.54</v>
      </c>
      <c r="T98" s="30">
        <f t="shared" si="13"/>
        <v>5503.74</v>
      </c>
      <c r="U98" s="14" t="str">
        <f t="shared" si="14"/>
        <v>normal</v>
      </c>
      <c r="V98" s="33">
        <f t="shared" si="15"/>
        <v>0.05</v>
      </c>
    </row>
    <row r="99" spans="1:22" ht="15.75" customHeight="1" x14ac:dyDescent="0.25">
      <c r="A99" s="8">
        <v>1098</v>
      </c>
      <c r="B99" s="9" t="s">
        <v>268</v>
      </c>
      <c r="C99" s="9" t="s">
        <v>269</v>
      </c>
      <c r="D99" s="9" t="str">
        <f t="shared" si="8"/>
        <v>Safa Alahmar</v>
      </c>
      <c r="E99" s="9" t="s">
        <v>33</v>
      </c>
      <c r="F99" s="9" t="s">
        <v>905</v>
      </c>
      <c r="G99" s="9" t="s">
        <v>13</v>
      </c>
      <c r="H99" s="10" t="s">
        <v>11</v>
      </c>
      <c r="I99" s="10" t="s">
        <v>15</v>
      </c>
      <c r="J99" s="11" t="s">
        <v>21</v>
      </c>
      <c r="K99" s="9" t="s">
        <v>588</v>
      </c>
      <c r="L99" s="12">
        <v>3</v>
      </c>
      <c r="M99" s="13">
        <v>1</v>
      </c>
      <c r="N99" s="13">
        <v>1998</v>
      </c>
      <c r="O99" s="31">
        <f t="shared" si="9"/>
        <v>35798</v>
      </c>
      <c r="P99" s="13">
        <f t="shared" ca="1" si="10"/>
        <v>28</v>
      </c>
      <c r="Q99" s="29">
        <v>3074</v>
      </c>
      <c r="R99" s="30">
        <f t="shared" si="11"/>
        <v>307.40000000000003</v>
      </c>
      <c r="S99" s="30">
        <f t="shared" si="12"/>
        <v>92.22</v>
      </c>
      <c r="T99" s="30">
        <f t="shared" si="13"/>
        <v>2858.8199999999997</v>
      </c>
      <c r="U99" s="14" t="str">
        <f t="shared" si="14"/>
        <v>normal</v>
      </c>
      <c r="V99" s="33">
        <f t="shared" si="15"/>
        <v>0.08</v>
      </c>
    </row>
    <row r="100" spans="1:22" ht="15.75" customHeight="1" x14ac:dyDescent="0.25">
      <c r="A100" s="8">
        <v>1099</v>
      </c>
      <c r="B100" s="9" t="s">
        <v>270</v>
      </c>
      <c r="C100" s="9" t="s">
        <v>271</v>
      </c>
      <c r="D100" s="9" t="str">
        <f t="shared" si="8"/>
        <v>Afra Sharabi</v>
      </c>
      <c r="E100" s="9" t="s">
        <v>33</v>
      </c>
      <c r="F100" s="9" t="s">
        <v>906</v>
      </c>
      <c r="G100" s="9" t="s">
        <v>18</v>
      </c>
      <c r="H100" s="10" t="s">
        <v>8</v>
      </c>
      <c r="I100" s="10" t="s">
        <v>9</v>
      </c>
      <c r="J100" s="11" t="s">
        <v>21</v>
      </c>
      <c r="K100" s="9" t="s">
        <v>589</v>
      </c>
      <c r="L100" s="12">
        <v>21</v>
      </c>
      <c r="M100" s="13">
        <v>4</v>
      </c>
      <c r="N100" s="13">
        <v>2006</v>
      </c>
      <c r="O100" s="31">
        <f t="shared" si="9"/>
        <v>38828</v>
      </c>
      <c r="P100" s="13">
        <f t="shared" ca="1" si="10"/>
        <v>20</v>
      </c>
      <c r="Q100" s="29">
        <v>5688</v>
      </c>
      <c r="R100" s="30">
        <f t="shared" si="11"/>
        <v>568.80000000000007</v>
      </c>
      <c r="S100" s="30">
        <f t="shared" si="12"/>
        <v>170.64</v>
      </c>
      <c r="T100" s="30">
        <f t="shared" si="13"/>
        <v>5289.84</v>
      </c>
      <c r="U100" s="14" t="str">
        <f t="shared" si="14"/>
        <v>normal</v>
      </c>
      <c r="V100" s="33">
        <f t="shared" si="15"/>
        <v>0.05</v>
      </c>
    </row>
    <row r="101" spans="1:22" ht="15.75" customHeight="1" x14ac:dyDescent="0.25">
      <c r="A101" s="8">
        <v>1100</v>
      </c>
      <c r="B101" s="9" t="s">
        <v>272</v>
      </c>
      <c r="C101" s="9" t="s">
        <v>273</v>
      </c>
      <c r="D101" s="9" t="str">
        <f t="shared" si="8"/>
        <v>Rawan Durkzili</v>
      </c>
      <c r="E101" s="9" t="s">
        <v>33</v>
      </c>
      <c r="F101" s="9" t="s">
        <v>907</v>
      </c>
      <c r="G101" s="9" t="s">
        <v>13</v>
      </c>
      <c r="H101" s="10" t="s">
        <v>11</v>
      </c>
      <c r="I101" s="10" t="s">
        <v>9</v>
      </c>
      <c r="J101" s="11" t="s">
        <v>10</v>
      </c>
      <c r="K101" s="9" t="s">
        <v>590</v>
      </c>
      <c r="L101" s="12">
        <v>25</v>
      </c>
      <c r="M101" s="13">
        <v>9</v>
      </c>
      <c r="N101" s="13">
        <v>2003</v>
      </c>
      <c r="O101" s="31">
        <f t="shared" si="9"/>
        <v>37889</v>
      </c>
      <c r="P101" s="13">
        <f t="shared" ca="1" si="10"/>
        <v>22</v>
      </c>
      <c r="Q101" s="29">
        <v>3362</v>
      </c>
      <c r="R101" s="30">
        <f t="shared" si="11"/>
        <v>336.20000000000005</v>
      </c>
      <c r="S101" s="30">
        <f t="shared" si="12"/>
        <v>100.86</v>
      </c>
      <c r="T101" s="30">
        <f t="shared" si="13"/>
        <v>3126.66</v>
      </c>
      <c r="U101" s="14" t="str">
        <f t="shared" si="14"/>
        <v>normal</v>
      </c>
      <c r="V101" s="33">
        <f t="shared" si="15"/>
        <v>0.05</v>
      </c>
    </row>
    <row r="102" spans="1:22" ht="15.75" customHeight="1" x14ac:dyDescent="0.25">
      <c r="A102" s="8">
        <v>1101</v>
      </c>
      <c r="B102" s="9" t="s">
        <v>274</v>
      </c>
      <c r="C102" s="9" t="s">
        <v>275</v>
      </c>
      <c r="D102" s="9" t="str">
        <f t="shared" si="8"/>
        <v>Dijwar Husu</v>
      </c>
      <c r="E102" s="9" t="s">
        <v>34</v>
      </c>
      <c r="F102" s="9" t="s">
        <v>908</v>
      </c>
      <c r="G102" s="9" t="s">
        <v>16</v>
      </c>
      <c r="H102" s="10" t="s">
        <v>11</v>
      </c>
      <c r="I102" s="10" t="s">
        <v>9</v>
      </c>
      <c r="J102" s="11" t="s">
        <v>21</v>
      </c>
      <c r="K102" s="9" t="s">
        <v>591</v>
      </c>
      <c r="L102" s="12">
        <v>23</v>
      </c>
      <c r="M102" s="13">
        <v>9</v>
      </c>
      <c r="N102" s="13">
        <v>1996</v>
      </c>
      <c r="O102" s="31">
        <f t="shared" si="9"/>
        <v>35331</v>
      </c>
      <c r="P102" s="13">
        <f t="shared" ca="1" si="10"/>
        <v>29</v>
      </c>
      <c r="Q102" s="29">
        <v>6043</v>
      </c>
      <c r="R102" s="30">
        <f t="shared" si="11"/>
        <v>604.30000000000007</v>
      </c>
      <c r="S102" s="30">
        <f t="shared" si="12"/>
        <v>181.29</v>
      </c>
      <c r="T102" s="30">
        <f t="shared" si="13"/>
        <v>5619.99</v>
      </c>
      <c r="U102" s="14" t="str">
        <f t="shared" si="14"/>
        <v>normal</v>
      </c>
      <c r="V102" s="33">
        <f t="shared" si="15"/>
        <v>0.05</v>
      </c>
    </row>
    <row r="103" spans="1:22" ht="15.75" customHeight="1" x14ac:dyDescent="0.25">
      <c r="A103" s="8">
        <v>1102</v>
      </c>
      <c r="B103" s="9" t="s">
        <v>276</v>
      </c>
      <c r="C103" s="9" t="s">
        <v>277</v>
      </c>
      <c r="D103" s="9" t="str">
        <f t="shared" si="8"/>
        <v>Asama Eilwan</v>
      </c>
      <c r="E103" s="9" t="s">
        <v>33</v>
      </c>
      <c r="F103" s="9" t="s">
        <v>909</v>
      </c>
      <c r="G103" s="9" t="s">
        <v>16</v>
      </c>
      <c r="H103" s="10" t="s">
        <v>8</v>
      </c>
      <c r="I103" s="10" t="s">
        <v>9</v>
      </c>
      <c r="J103" s="11" t="s">
        <v>10</v>
      </c>
      <c r="K103" s="9" t="s">
        <v>592</v>
      </c>
      <c r="L103" s="12">
        <v>26</v>
      </c>
      <c r="M103" s="13">
        <v>8</v>
      </c>
      <c r="N103" s="13">
        <v>2022</v>
      </c>
      <c r="O103" s="31">
        <f t="shared" si="9"/>
        <v>44799</v>
      </c>
      <c r="P103" s="13">
        <f t="shared" ca="1" si="10"/>
        <v>3</v>
      </c>
      <c r="Q103" s="29">
        <v>6260</v>
      </c>
      <c r="R103" s="30">
        <f t="shared" si="11"/>
        <v>626</v>
      </c>
      <c r="S103" s="30">
        <f t="shared" si="12"/>
        <v>187.79999999999998</v>
      </c>
      <c r="T103" s="30">
        <f t="shared" si="13"/>
        <v>5821.8</v>
      </c>
      <c r="U103" s="14" t="str">
        <f t="shared" si="14"/>
        <v>normal</v>
      </c>
      <c r="V103" s="33">
        <f t="shared" si="15"/>
        <v>0.05</v>
      </c>
    </row>
    <row r="104" spans="1:22" ht="15.75" customHeight="1" x14ac:dyDescent="0.25">
      <c r="A104" s="8">
        <v>1103</v>
      </c>
      <c r="B104" s="9" t="s">
        <v>27</v>
      </c>
      <c r="C104" s="9" t="s">
        <v>278</v>
      </c>
      <c r="D104" s="9" t="str">
        <f t="shared" si="8"/>
        <v>Ali Zyny</v>
      </c>
      <c r="E104" s="9" t="s">
        <v>34</v>
      </c>
      <c r="F104" s="9" t="s">
        <v>910</v>
      </c>
      <c r="G104" s="9" t="s">
        <v>16</v>
      </c>
      <c r="H104" s="10" t="s">
        <v>11</v>
      </c>
      <c r="I104" s="10" t="s">
        <v>9</v>
      </c>
      <c r="J104" s="11" t="s">
        <v>10</v>
      </c>
      <c r="K104" s="9" t="s">
        <v>593</v>
      </c>
      <c r="L104" s="12">
        <v>19</v>
      </c>
      <c r="M104" s="13">
        <v>7</v>
      </c>
      <c r="N104" s="13">
        <v>1995</v>
      </c>
      <c r="O104" s="31">
        <f t="shared" si="9"/>
        <v>34899</v>
      </c>
      <c r="P104" s="13">
        <f t="shared" ca="1" si="10"/>
        <v>30</v>
      </c>
      <c r="Q104" s="29">
        <v>3754</v>
      </c>
      <c r="R104" s="30">
        <f t="shared" si="11"/>
        <v>375.40000000000003</v>
      </c>
      <c r="S104" s="30">
        <f t="shared" si="12"/>
        <v>112.61999999999999</v>
      </c>
      <c r="T104" s="30">
        <f t="shared" si="13"/>
        <v>3491.22</v>
      </c>
      <c r="U104" s="14" t="str">
        <f t="shared" si="14"/>
        <v>normal</v>
      </c>
      <c r="V104" s="33">
        <f t="shared" si="15"/>
        <v>0.05</v>
      </c>
    </row>
    <row r="105" spans="1:22" ht="15.75" customHeight="1" x14ac:dyDescent="0.25">
      <c r="A105" s="8">
        <v>1104</v>
      </c>
      <c r="B105" s="9" t="s">
        <v>36</v>
      </c>
      <c r="C105" s="9" t="s">
        <v>279</v>
      </c>
      <c r="D105" s="9" t="str">
        <f t="shared" si="8"/>
        <v>Ahmad Iidlibi</v>
      </c>
      <c r="E105" s="9" t="s">
        <v>34</v>
      </c>
      <c r="F105" s="9" t="s">
        <v>911</v>
      </c>
      <c r="G105" s="9" t="s">
        <v>13</v>
      </c>
      <c r="H105" s="10" t="s">
        <v>8</v>
      </c>
      <c r="I105" s="10" t="s">
        <v>22</v>
      </c>
      <c r="J105" s="11" t="s">
        <v>10</v>
      </c>
      <c r="K105" s="9" t="s">
        <v>594</v>
      </c>
      <c r="L105" s="12">
        <v>2</v>
      </c>
      <c r="M105" s="13">
        <v>1</v>
      </c>
      <c r="N105" s="13">
        <v>2009</v>
      </c>
      <c r="O105" s="31">
        <f t="shared" si="9"/>
        <v>39815</v>
      </c>
      <c r="P105" s="13">
        <f t="shared" ca="1" si="10"/>
        <v>17</v>
      </c>
      <c r="Q105" s="29">
        <v>6579</v>
      </c>
      <c r="R105" s="30">
        <f t="shared" si="11"/>
        <v>657.90000000000009</v>
      </c>
      <c r="S105" s="30">
        <f t="shared" si="12"/>
        <v>197.37</v>
      </c>
      <c r="T105" s="30">
        <f t="shared" si="13"/>
        <v>6118.4699999999993</v>
      </c>
      <c r="U105" s="14" t="str">
        <f t="shared" si="14"/>
        <v>over</v>
      </c>
      <c r="V105" s="33">
        <f t="shared" si="15"/>
        <v>0.02</v>
      </c>
    </row>
    <row r="106" spans="1:22" ht="15.75" customHeight="1" x14ac:dyDescent="0.25">
      <c r="A106" s="8">
        <v>1105</v>
      </c>
      <c r="B106" s="9" t="s">
        <v>36</v>
      </c>
      <c r="C106" s="9" t="s">
        <v>280</v>
      </c>
      <c r="D106" s="9" t="str">
        <f t="shared" si="8"/>
        <v>Ahmad Zynu</v>
      </c>
      <c r="E106" s="9" t="s">
        <v>34</v>
      </c>
      <c r="F106" s="9" t="s">
        <v>912</v>
      </c>
      <c r="G106" s="9" t="s">
        <v>16</v>
      </c>
      <c r="H106" s="10" t="s">
        <v>8</v>
      </c>
      <c r="I106" s="10" t="s">
        <v>17</v>
      </c>
      <c r="J106" s="11" t="s">
        <v>10</v>
      </c>
      <c r="K106" s="9" t="s">
        <v>595</v>
      </c>
      <c r="L106" s="12">
        <v>20</v>
      </c>
      <c r="M106" s="13">
        <v>7</v>
      </c>
      <c r="N106" s="13">
        <v>2005</v>
      </c>
      <c r="O106" s="31">
        <f t="shared" si="9"/>
        <v>38553</v>
      </c>
      <c r="P106" s="13">
        <f t="shared" ca="1" si="10"/>
        <v>20</v>
      </c>
      <c r="Q106" s="29">
        <v>5373</v>
      </c>
      <c r="R106" s="30">
        <f t="shared" si="11"/>
        <v>537.30000000000007</v>
      </c>
      <c r="S106" s="30">
        <f t="shared" si="12"/>
        <v>161.19</v>
      </c>
      <c r="T106" s="30">
        <f t="shared" si="13"/>
        <v>4996.8899999999994</v>
      </c>
      <c r="U106" s="14" t="str">
        <f t="shared" si="14"/>
        <v>normal</v>
      </c>
      <c r="V106" s="33">
        <f t="shared" si="15"/>
        <v>0.05</v>
      </c>
    </row>
    <row r="107" spans="1:22" ht="15.75" customHeight="1" x14ac:dyDescent="0.25">
      <c r="A107" s="8">
        <v>1106</v>
      </c>
      <c r="B107" s="9" t="s">
        <v>237</v>
      </c>
      <c r="C107" s="9" t="s">
        <v>281</v>
      </c>
      <c r="D107" s="9" t="str">
        <f t="shared" si="8"/>
        <v>Rahaf Eijluni</v>
      </c>
      <c r="E107" s="9" t="s">
        <v>33</v>
      </c>
      <c r="F107" s="9" t="s">
        <v>913</v>
      </c>
      <c r="G107" s="9" t="s">
        <v>13</v>
      </c>
      <c r="H107" s="10" t="s">
        <v>8</v>
      </c>
      <c r="I107" s="10" t="s">
        <v>15</v>
      </c>
      <c r="J107" s="11" t="s">
        <v>10</v>
      </c>
      <c r="K107" s="9" t="s">
        <v>596</v>
      </c>
      <c r="L107" s="12">
        <v>5</v>
      </c>
      <c r="M107" s="13">
        <v>6</v>
      </c>
      <c r="N107" s="13">
        <v>1991</v>
      </c>
      <c r="O107" s="31">
        <f t="shared" si="9"/>
        <v>33394</v>
      </c>
      <c r="P107" s="13">
        <f t="shared" ca="1" si="10"/>
        <v>34</v>
      </c>
      <c r="Q107" s="29">
        <v>1391</v>
      </c>
      <c r="R107" s="30">
        <f t="shared" si="11"/>
        <v>139.1</v>
      </c>
      <c r="S107" s="30">
        <f t="shared" si="12"/>
        <v>41.73</v>
      </c>
      <c r="T107" s="30">
        <f t="shared" si="13"/>
        <v>1293.6300000000001</v>
      </c>
      <c r="U107" s="14" t="str">
        <f t="shared" si="14"/>
        <v>normal</v>
      </c>
      <c r="V107" s="33">
        <f t="shared" si="15"/>
        <v>0.08</v>
      </c>
    </row>
    <row r="108" spans="1:22" ht="15.75" customHeight="1" x14ac:dyDescent="0.25">
      <c r="A108" s="8">
        <v>1107</v>
      </c>
      <c r="B108" s="9" t="s">
        <v>27</v>
      </c>
      <c r="C108" s="9" t="s">
        <v>282</v>
      </c>
      <c r="D108" s="9" t="str">
        <f t="shared" si="8"/>
        <v>Ali Marwan</v>
      </c>
      <c r="E108" s="9" t="s">
        <v>34</v>
      </c>
      <c r="F108" s="9" t="s">
        <v>914</v>
      </c>
      <c r="G108" s="9" t="s">
        <v>16</v>
      </c>
      <c r="H108" s="10" t="s">
        <v>11</v>
      </c>
      <c r="I108" s="10" t="s">
        <v>198</v>
      </c>
      <c r="J108" s="11" t="s">
        <v>21</v>
      </c>
      <c r="K108" s="9" t="s">
        <v>597</v>
      </c>
      <c r="L108" s="12">
        <v>4</v>
      </c>
      <c r="M108" s="13">
        <v>1</v>
      </c>
      <c r="N108" s="13">
        <v>1990</v>
      </c>
      <c r="O108" s="31">
        <f t="shared" si="9"/>
        <v>32877</v>
      </c>
      <c r="P108" s="13">
        <f t="shared" ca="1" si="10"/>
        <v>36</v>
      </c>
      <c r="Q108" s="29">
        <v>2528</v>
      </c>
      <c r="R108" s="30">
        <f t="shared" si="11"/>
        <v>252.8</v>
      </c>
      <c r="S108" s="30">
        <f t="shared" si="12"/>
        <v>75.84</v>
      </c>
      <c r="T108" s="30">
        <f t="shared" si="13"/>
        <v>2351.04</v>
      </c>
      <c r="U108" s="14" t="str">
        <f t="shared" si="14"/>
        <v>normal</v>
      </c>
      <c r="V108" s="33">
        <f t="shared" si="15"/>
        <v>0.08</v>
      </c>
    </row>
    <row r="109" spans="1:22" ht="15.75" customHeight="1" x14ac:dyDescent="0.25">
      <c r="A109" s="8">
        <v>1108</v>
      </c>
      <c r="B109" s="9" t="s">
        <v>283</v>
      </c>
      <c r="C109" s="9" t="s">
        <v>284</v>
      </c>
      <c r="D109" s="9" t="str">
        <f t="shared" si="8"/>
        <v>Sayban Musur</v>
      </c>
      <c r="E109" s="9" t="s">
        <v>33</v>
      </c>
      <c r="F109" s="9" t="s">
        <v>915</v>
      </c>
      <c r="G109" s="9" t="s">
        <v>16</v>
      </c>
      <c r="H109" s="10" t="s">
        <v>11</v>
      </c>
      <c r="I109" s="10" t="s">
        <v>26</v>
      </c>
      <c r="J109" s="11" t="s">
        <v>10</v>
      </c>
      <c r="K109" s="9" t="s">
        <v>598</v>
      </c>
      <c r="L109" s="12">
        <v>12</v>
      </c>
      <c r="M109" s="13">
        <v>8</v>
      </c>
      <c r="N109" s="13">
        <v>2021</v>
      </c>
      <c r="O109" s="31">
        <f t="shared" si="9"/>
        <v>44420</v>
      </c>
      <c r="P109" s="13">
        <f t="shared" ca="1" si="10"/>
        <v>4</v>
      </c>
      <c r="Q109" s="29">
        <v>6040</v>
      </c>
      <c r="R109" s="30">
        <f t="shared" si="11"/>
        <v>604</v>
      </c>
      <c r="S109" s="30">
        <f t="shared" si="12"/>
        <v>181.2</v>
      </c>
      <c r="T109" s="30">
        <f t="shared" si="13"/>
        <v>5617.2</v>
      </c>
      <c r="U109" s="14" t="str">
        <f t="shared" si="14"/>
        <v>normal</v>
      </c>
      <c r="V109" s="33">
        <f t="shared" si="15"/>
        <v>0.05</v>
      </c>
    </row>
    <row r="110" spans="1:22" ht="15.75" customHeight="1" x14ac:dyDescent="0.25">
      <c r="A110" s="8">
        <v>1109</v>
      </c>
      <c r="B110" s="9" t="s">
        <v>27</v>
      </c>
      <c r="C110" s="9" t="s">
        <v>285</v>
      </c>
      <c r="D110" s="9" t="str">
        <f t="shared" si="8"/>
        <v>Ali Alnuwri</v>
      </c>
      <c r="E110" s="9" t="s">
        <v>34</v>
      </c>
      <c r="F110" s="9" t="s">
        <v>916</v>
      </c>
      <c r="G110" s="9" t="s">
        <v>795</v>
      </c>
      <c r="H110" s="10" t="s">
        <v>14</v>
      </c>
      <c r="I110" s="10" t="s">
        <v>17</v>
      </c>
      <c r="J110" s="11" t="s">
        <v>10</v>
      </c>
      <c r="K110" s="9" t="s">
        <v>599</v>
      </c>
      <c r="L110" s="12">
        <v>18</v>
      </c>
      <c r="M110" s="13">
        <v>11</v>
      </c>
      <c r="N110" s="13">
        <v>1994</v>
      </c>
      <c r="O110" s="31">
        <f t="shared" si="9"/>
        <v>34656</v>
      </c>
      <c r="P110" s="13">
        <f t="shared" ca="1" si="10"/>
        <v>31</v>
      </c>
      <c r="Q110" s="29">
        <v>3842</v>
      </c>
      <c r="R110" s="30">
        <f t="shared" si="11"/>
        <v>384.20000000000005</v>
      </c>
      <c r="S110" s="30">
        <f t="shared" si="12"/>
        <v>115.25999999999999</v>
      </c>
      <c r="T110" s="30">
        <f t="shared" si="13"/>
        <v>3573.0600000000004</v>
      </c>
      <c r="U110" s="14" t="str">
        <f t="shared" si="14"/>
        <v>normal</v>
      </c>
      <c r="V110" s="33">
        <f t="shared" si="15"/>
        <v>0.05</v>
      </c>
    </row>
    <row r="111" spans="1:22" ht="15.75" customHeight="1" x14ac:dyDescent="0.25">
      <c r="A111" s="8">
        <v>1110</v>
      </c>
      <c r="B111" s="9" t="s">
        <v>36</v>
      </c>
      <c r="C111" s="9" t="s">
        <v>286</v>
      </c>
      <c r="D111" s="9" t="str">
        <f t="shared" si="8"/>
        <v>Ahmad Shakir</v>
      </c>
      <c r="E111" s="9" t="s">
        <v>34</v>
      </c>
      <c r="F111" s="9" t="s">
        <v>917</v>
      </c>
      <c r="G111" s="9" t="s">
        <v>16</v>
      </c>
      <c r="H111" s="10" t="s">
        <v>8</v>
      </c>
      <c r="I111" s="10" t="s">
        <v>198</v>
      </c>
      <c r="J111" s="11" t="s">
        <v>21</v>
      </c>
      <c r="K111" s="9" t="s">
        <v>600</v>
      </c>
      <c r="L111" s="12">
        <v>24</v>
      </c>
      <c r="M111" s="13">
        <v>3</v>
      </c>
      <c r="N111" s="13">
        <v>1995</v>
      </c>
      <c r="O111" s="31">
        <f t="shared" si="9"/>
        <v>34782</v>
      </c>
      <c r="P111" s="13">
        <f t="shared" ca="1" si="10"/>
        <v>31</v>
      </c>
      <c r="Q111" s="29">
        <v>1542</v>
      </c>
      <c r="R111" s="30">
        <f t="shared" si="11"/>
        <v>154.20000000000002</v>
      </c>
      <c r="S111" s="30">
        <f t="shared" si="12"/>
        <v>46.26</v>
      </c>
      <c r="T111" s="30">
        <f t="shared" si="13"/>
        <v>1434.06</v>
      </c>
      <c r="U111" s="14" t="str">
        <f t="shared" si="14"/>
        <v>normal</v>
      </c>
      <c r="V111" s="33">
        <f t="shared" si="15"/>
        <v>0.08</v>
      </c>
    </row>
    <row r="112" spans="1:22" ht="15.75" customHeight="1" x14ac:dyDescent="0.25">
      <c r="A112" s="8">
        <v>1111</v>
      </c>
      <c r="B112" s="9" t="s">
        <v>58</v>
      </c>
      <c r="C112" s="9" t="s">
        <v>287</v>
      </c>
      <c r="D112" s="9" t="str">
        <f t="shared" si="8"/>
        <v>Ayham Kharbutli</v>
      </c>
      <c r="E112" s="9" t="s">
        <v>34</v>
      </c>
      <c r="F112" s="9" t="s">
        <v>918</v>
      </c>
      <c r="G112" s="9" t="s">
        <v>16</v>
      </c>
      <c r="H112" s="10" t="s">
        <v>8</v>
      </c>
      <c r="I112" s="10" t="s">
        <v>9</v>
      </c>
      <c r="J112" s="11" t="s">
        <v>21</v>
      </c>
      <c r="K112" s="9" t="s">
        <v>601</v>
      </c>
      <c r="L112" s="12">
        <v>27</v>
      </c>
      <c r="M112" s="13">
        <v>10</v>
      </c>
      <c r="N112" s="13">
        <v>1995</v>
      </c>
      <c r="O112" s="31">
        <f t="shared" si="9"/>
        <v>34999</v>
      </c>
      <c r="P112" s="13">
        <f t="shared" ca="1" si="10"/>
        <v>30</v>
      </c>
      <c r="Q112" s="29">
        <v>3134</v>
      </c>
      <c r="R112" s="30">
        <f t="shared" si="11"/>
        <v>313.40000000000003</v>
      </c>
      <c r="S112" s="30">
        <f t="shared" si="12"/>
        <v>94.02</v>
      </c>
      <c r="T112" s="30">
        <f t="shared" si="13"/>
        <v>2914.62</v>
      </c>
      <c r="U112" s="14" t="str">
        <f t="shared" si="14"/>
        <v>normal</v>
      </c>
      <c r="V112" s="33">
        <f t="shared" si="15"/>
        <v>0.08</v>
      </c>
    </row>
    <row r="113" spans="1:22" ht="15.75" customHeight="1" x14ac:dyDescent="0.25">
      <c r="A113" s="8">
        <v>1112</v>
      </c>
      <c r="B113" s="9" t="s">
        <v>288</v>
      </c>
      <c r="C113" s="9" t="s">
        <v>289</v>
      </c>
      <c r="D113" s="9" t="str">
        <f t="shared" si="8"/>
        <v>Sahar Jaridiun</v>
      </c>
      <c r="E113" s="9" t="s">
        <v>33</v>
      </c>
      <c r="F113" s="9" t="s">
        <v>919</v>
      </c>
      <c r="G113" s="9" t="s">
        <v>16</v>
      </c>
      <c r="H113" s="10" t="s">
        <v>11</v>
      </c>
      <c r="I113" s="10" t="s">
        <v>22</v>
      </c>
      <c r="J113" s="11" t="s">
        <v>10</v>
      </c>
      <c r="K113" s="9" t="s">
        <v>602</v>
      </c>
      <c r="L113" s="12">
        <v>9</v>
      </c>
      <c r="M113" s="13">
        <v>9</v>
      </c>
      <c r="N113" s="13">
        <v>2004</v>
      </c>
      <c r="O113" s="31">
        <f t="shared" si="9"/>
        <v>38239</v>
      </c>
      <c r="P113" s="13">
        <f t="shared" ca="1" si="10"/>
        <v>21</v>
      </c>
      <c r="Q113" s="29">
        <v>4921</v>
      </c>
      <c r="R113" s="30">
        <f t="shared" si="11"/>
        <v>492.1</v>
      </c>
      <c r="S113" s="30">
        <f t="shared" si="12"/>
        <v>147.63</v>
      </c>
      <c r="T113" s="30">
        <f t="shared" si="13"/>
        <v>4576.53</v>
      </c>
      <c r="U113" s="14" t="str">
        <f t="shared" si="14"/>
        <v>normal</v>
      </c>
      <c r="V113" s="33">
        <f t="shared" si="15"/>
        <v>0.05</v>
      </c>
    </row>
    <row r="114" spans="1:22" ht="15.75" customHeight="1" x14ac:dyDescent="0.25">
      <c r="A114" s="8">
        <v>1113</v>
      </c>
      <c r="B114" s="9" t="s">
        <v>290</v>
      </c>
      <c r="C114" s="9" t="s">
        <v>291</v>
      </c>
      <c r="D114" s="9" t="str">
        <f t="shared" si="8"/>
        <v>Abdalrhim Eimaruh</v>
      </c>
      <c r="E114" s="9" t="s">
        <v>34</v>
      </c>
      <c r="F114" s="9" t="s">
        <v>920</v>
      </c>
      <c r="G114" s="9" t="s">
        <v>16</v>
      </c>
      <c r="H114" s="10" t="s">
        <v>8</v>
      </c>
      <c r="I114" s="10" t="s">
        <v>198</v>
      </c>
      <c r="J114" s="11" t="s">
        <v>10</v>
      </c>
      <c r="K114" s="9" t="s">
        <v>603</v>
      </c>
      <c r="L114" s="12">
        <v>24</v>
      </c>
      <c r="M114" s="13">
        <v>2</v>
      </c>
      <c r="N114" s="13">
        <v>2001</v>
      </c>
      <c r="O114" s="31">
        <f t="shared" si="9"/>
        <v>36946</v>
      </c>
      <c r="P114" s="13">
        <f t="shared" ca="1" si="10"/>
        <v>25</v>
      </c>
      <c r="Q114" s="29">
        <v>1948</v>
      </c>
      <c r="R114" s="30">
        <f t="shared" si="11"/>
        <v>194.8</v>
      </c>
      <c r="S114" s="30">
        <f t="shared" si="12"/>
        <v>58.44</v>
      </c>
      <c r="T114" s="30">
        <f t="shared" si="13"/>
        <v>1811.64</v>
      </c>
      <c r="U114" s="14" t="str">
        <f t="shared" si="14"/>
        <v>normal</v>
      </c>
      <c r="V114" s="33">
        <f t="shared" si="15"/>
        <v>0.08</v>
      </c>
    </row>
    <row r="115" spans="1:22" ht="15.75" customHeight="1" x14ac:dyDescent="0.25">
      <c r="A115" s="8">
        <v>1114</v>
      </c>
      <c r="B115" s="9" t="s">
        <v>292</v>
      </c>
      <c r="C115" s="9" t="s">
        <v>293</v>
      </c>
      <c r="D115" s="9" t="str">
        <f t="shared" si="8"/>
        <v>Baha Aldiyn Marzuq</v>
      </c>
      <c r="E115" s="9" t="s">
        <v>34</v>
      </c>
      <c r="F115" s="9" t="s">
        <v>921</v>
      </c>
      <c r="G115" s="9" t="s">
        <v>18</v>
      </c>
      <c r="H115" s="10" t="s">
        <v>11</v>
      </c>
      <c r="I115" s="10" t="s">
        <v>22</v>
      </c>
      <c r="J115" s="11" t="s">
        <v>10</v>
      </c>
      <c r="K115" s="9" t="s">
        <v>604</v>
      </c>
      <c r="L115" s="12">
        <v>20</v>
      </c>
      <c r="M115" s="13">
        <v>12</v>
      </c>
      <c r="N115" s="13">
        <v>2021</v>
      </c>
      <c r="O115" s="31">
        <f t="shared" si="9"/>
        <v>44550</v>
      </c>
      <c r="P115" s="13">
        <f t="shared" ca="1" si="10"/>
        <v>4</v>
      </c>
      <c r="Q115" s="29">
        <v>3294</v>
      </c>
      <c r="R115" s="30">
        <f t="shared" si="11"/>
        <v>329.40000000000003</v>
      </c>
      <c r="S115" s="30">
        <f t="shared" si="12"/>
        <v>98.82</v>
      </c>
      <c r="T115" s="30">
        <f t="shared" si="13"/>
        <v>3063.42</v>
      </c>
      <c r="U115" s="14" t="str">
        <f t="shared" si="14"/>
        <v>normal</v>
      </c>
      <c r="V115" s="33">
        <f t="shared" si="15"/>
        <v>0.05</v>
      </c>
    </row>
    <row r="116" spans="1:22" ht="15.75" customHeight="1" x14ac:dyDescent="0.25">
      <c r="A116" s="8">
        <v>1115</v>
      </c>
      <c r="B116" s="9" t="s">
        <v>264</v>
      </c>
      <c r="C116" s="9" t="s">
        <v>294</v>
      </c>
      <c r="D116" s="9" t="str">
        <f t="shared" si="8"/>
        <v>Abd Alruhmin Hamj</v>
      </c>
      <c r="E116" s="9" t="s">
        <v>34</v>
      </c>
      <c r="F116" s="9" t="s">
        <v>922</v>
      </c>
      <c r="G116" s="9" t="s">
        <v>795</v>
      </c>
      <c r="H116" s="10" t="s">
        <v>14</v>
      </c>
      <c r="I116" s="10" t="s">
        <v>198</v>
      </c>
      <c r="J116" s="11" t="s">
        <v>19</v>
      </c>
      <c r="K116" s="9" t="s">
        <v>605</v>
      </c>
      <c r="L116" s="12">
        <v>14</v>
      </c>
      <c r="M116" s="13">
        <v>8</v>
      </c>
      <c r="N116" s="13">
        <v>1994</v>
      </c>
      <c r="O116" s="31">
        <f t="shared" si="9"/>
        <v>34560</v>
      </c>
      <c r="P116" s="13">
        <f t="shared" ca="1" si="10"/>
        <v>31</v>
      </c>
      <c r="Q116" s="29">
        <v>7123</v>
      </c>
      <c r="R116" s="30">
        <f t="shared" si="11"/>
        <v>712.30000000000007</v>
      </c>
      <c r="S116" s="30">
        <f t="shared" si="12"/>
        <v>213.69</v>
      </c>
      <c r="T116" s="30">
        <f t="shared" si="13"/>
        <v>6624.3899999999994</v>
      </c>
      <c r="U116" s="14" t="str">
        <f t="shared" si="14"/>
        <v>over</v>
      </c>
      <c r="V116" s="33">
        <f t="shared" si="15"/>
        <v>0.02</v>
      </c>
    </row>
    <row r="117" spans="1:22" ht="15.75" customHeight="1" x14ac:dyDescent="0.25">
      <c r="A117" s="8">
        <v>1116</v>
      </c>
      <c r="B117" s="9" t="s">
        <v>36</v>
      </c>
      <c r="C117" s="9" t="s">
        <v>295</v>
      </c>
      <c r="D117" s="9" t="str">
        <f t="shared" si="8"/>
        <v>Ahmad Bradey</v>
      </c>
      <c r="E117" s="9" t="s">
        <v>34</v>
      </c>
      <c r="F117" s="9" t="s">
        <v>923</v>
      </c>
      <c r="G117" s="9" t="s">
        <v>13</v>
      </c>
      <c r="H117" s="10" t="s">
        <v>8</v>
      </c>
      <c r="I117" s="10" t="s">
        <v>22</v>
      </c>
      <c r="J117" s="11" t="s">
        <v>10</v>
      </c>
      <c r="K117" s="9" t="s">
        <v>606</v>
      </c>
      <c r="L117" s="12">
        <v>10</v>
      </c>
      <c r="M117" s="13">
        <v>12</v>
      </c>
      <c r="N117" s="13">
        <v>1990</v>
      </c>
      <c r="O117" s="31">
        <f t="shared" si="9"/>
        <v>33217</v>
      </c>
      <c r="P117" s="13">
        <f t="shared" ca="1" si="10"/>
        <v>35</v>
      </c>
      <c r="Q117" s="29">
        <v>7236</v>
      </c>
      <c r="R117" s="30">
        <f t="shared" si="11"/>
        <v>723.6</v>
      </c>
      <c r="S117" s="30">
        <f t="shared" si="12"/>
        <v>217.07999999999998</v>
      </c>
      <c r="T117" s="30">
        <f t="shared" si="13"/>
        <v>6729.48</v>
      </c>
      <c r="U117" s="14" t="str">
        <f t="shared" si="14"/>
        <v>over</v>
      </c>
      <c r="V117" s="33">
        <f t="shared" si="15"/>
        <v>0.02</v>
      </c>
    </row>
    <row r="118" spans="1:22" ht="15.75" customHeight="1" x14ac:dyDescent="0.25">
      <c r="A118" s="8">
        <v>1117</v>
      </c>
      <c r="B118" s="9" t="s">
        <v>296</v>
      </c>
      <c r="C118" s="9" t="s">
        <v>297</v>
      </c>
      <c r="D118" s="9" t="str">
        <f t="shared" si="8"/>
        <v>Bakr Eubdallah</v>
      </c>
      <c r="E118" s="9" t="s">
        <v>34</v>
      </c>
      <c r="F118" s="9" t="s">
        <v>924</v>
      </c>
      <c r="G118" s="9" t="s">
        <v>795</v>
      </c>
      <c r="H118" s="10" t="s">
        <v>8</v>
      </c>
      <c r="I118" s="10" t="s">
        <v>22</v>
      </c>
      <c r="J118" s="11" t="s">
        <v>10</v>
      </c>
      <c r="K118" s="9" t="s">
        <v>607</v>
      </c>
      <c r="L118" s="12">
        <v>9</v>
      </c>
      <c r="M118" s="13">
        <v>11</v>
      </c>
      <c r="N118" s="13">
        <v>2010</v>
      </c>
      <c r="O118" s="31">
        <f t="shared" si="9"/>
        <v>40491</v>
      </c>
      <c r="P118" s="13">
        <f t="shared" ca="1" si="10"/>
        <v>15</v>
      </c>
      <c r="Q118" s="29">
        <v>6843</v>
      </c>
      <c r="R118" s="30">
        <f t="shared" si="11"/>
        <v>684.30000000000007</v>
      </c>
      <c r="S118" s="30">
        <f t="shared" si="12"/>
        <v>205.29</v>
      </c>
      <c r="T118" s="30">
        <f t="shared" si="13"/>
        <v>6363.99</v>
      </c>
      <c r="U118" s="14" t="str">
        <f t="shared" si="14"/>
        <v>over</v>
      </c>
      <c r="V118" s="33">
        <f t="shared" si="15"/>
        <v>0.02</v>
      </c>
    </row>
    <row r="119" spans="1:22" ht="15.75" customHeight="1" x14ac:dyDescent="0.25">
      <c r="A119" s="8">
        <v>1118</v>
      </c>
      <c r="B119" s="9" t="s">
        <v>36</v>
      </c>
      <c r="C119" s="9" t="s">
        <v>298</v>
      </c>
      <c r="D119" s="9" t="str">
        <f t="shared" si="8"/>
        <v>Ahmad Alnajar</v>
      </c>
      <c r="E119" s="9" t="s">
        <v>34</v>
      </c>
      <c r="F119" s="9" t="s">
        <v>925</v>
      </c>
      <c r="G119" s="9" t="s">
        <v>795</v>
      </c>
      <c r="H119" s="10" t="s">
        <v>8</v>
      </c>
      <c r="I119" s="10" t="s">
        <v>22</v>
      </c>
      <c r="J119" s="11" t="s">
        <v>10</v>
      </c>
      <c r="K119" s="9" t="s">
        <v>608</v>
      </c>
      <c r="L119" s="12">
        <v>18</v>
      </c>
      <c r="M119" s="13">
        <v>10</v>
      </c>
      <c r="N119" s="13">
        <v>2014</v>
      </c>
      <c r="O119" s="31">
        <f t="shared" si="9"/>
        <v>41930</v>
      </c>
      <c r="P119" s="13">
        <f t="shared" ca="1" si="10"/>
        <v>11</v>
      </c>
      <c r="Q119" s="29">
        <v>1070</v>
      </c>
      <c r="R119" s="30">
        <f t="shared" si="11"/>
        <v>107</v>
      </c>
      <c r="S119" s="30">
        <f t="shared" si="12"/>
        <v>32.1</v>
      </c>
      <c r="T119" s="30">
        <f t="shared" si="13"/>
        <v>995.09999999999991</v>
      </c>
      <c r="U119" s="14" t="str">
        <f t="shared" si="14"/>
        <v>normal</v>
      </c>
      <c r="V119" s="33">
        <f t="shared" si="15"/>
        <v>0.1</v>
      </c>
    </row>
    <row r="120" spans="1:22" ht="15.75" customHeight="1" x14ac:dyDescent="0.25">
      <c r="A120" s="8">
        <v>1119</v>
      </c>
      <c r="B120" s="9" t="s">
        <v>299</v>
      </c>
      <c r="C120" s="9" t="s">
        <v>300</v>
      </c>
      <c r="D120" s="9" t="str">
        <f t="shared" si="8"/>
        <v>Raghid Hutayniun</v>
      </c>
      <c r="E120" s="9" t="s">
        <v>34</v>
      </c>
      <c r="F120" s="9" t="s">
        <v>926</v>
      </c>
      <c r="G120" s="9" t="s">
        <v>13</v>
      </c>
      <c r="H120" s="10" t="s">
        <v>8</v>
      </c>
      <c r="I120" s="10" t="s">
        <v>22</v>
      </c>
      <c r="J120" s="11" t="s">
        <v>10</v>
      </c>
      <c r="K120" s="9" t="s">
        <v>609</v>
      </c>
      <c r="L120" s="12">
        <v>22</v>
      </c>
      <c r="M120" s="13">
        <v>11</v>
      </c>
      <c r="N120" s="13">
        <v>1995</v>
      </c>
      <c r="O120" s="31">
        <f t="shared" si="9"/>
        <v>35025</v>
      </c>
      <c r="P120" s="13">
        <f t="shared" ca="1" si="10"/>
        <v>30</v>
      </c>
      <c r="Q120" s="29">
        <v>1493</v>
      </c>
      <c r="R120" s="30">
        <f t="shared" si="11"/>
        <v>149.30000000000001</v>
      </c>
      <c r="S120" s="30">
        <f t="shared" si="12"/>
        <v>44.79</v>
      </c>
      <c r="T120" s="30">
        <f t="shared" si="13"/>
        <v>1388.49</v>
      </c>
      <c r="U120" s="14" t="str">
        <f t="shared" si="14"/>
        <v>normal</v>
      </c>
      <c r="V120" s="33">
        <f t="shared" si="15"/>
        <v>0.08</v>
      </c>
    </row>
    <row r="121" spans="1:22" ht="15.75" customHeight="1" x14ac:dyDescent="0.25">
      <c r="A121" s="8">
        <v>1120</v>
      </c>
      <c r="B121" s="9" t="s">
        <v>301</v>
      </c>
      <c r="C121" s="9" t="s">
        <v>302</v>
      </c>
      <c r="D121" s="9" t="str">
        <f t="shared" si="8"/>
        <v>Khalid Siriul</v>
      </c>
      <c r="E121" s="9" t="s">
        <v>34</v>
      </c>
      <c r="F121" s="9" t="s">
        <v>927</v>
      </c>
      <c r="G121" s="9" t="s">
        <v>18</v>
      </c>
      <c r="H121" s="10" t="s">
        <v>11</v>
      </c>
      <c r="I121" s="10" t="s">
        <v>22</v>
      </c>
      <c r="J121" s="11" t="s">
        <v>10</v>
      </c>
      <c r="K121" s="9" t="s">
        <v>610</v>
      </c>
      <c r="L121" s="12">
        <v>17</v>
      </c>
      <c r="M121" s="13">
        <v>12</v>
      </c>
      <c r="N121" s="13">
        <v>1995</v>
      </c>
      <c r="O121" s="31">
        <f t="shared" si="9"/>
        <v>35050</v>
      </c>
      <c r="P121" s="13">
        <f t="shared" ca="1" si="10"/>
        <v>30</v>
      </c>
      <c r="Q121" s="29">
        <v>5857</v>
      </c>
      <c r="R121" s="30">
        <f t="shared" si="11"/>
        <v>585.70000000000005</v>
      </c>
      <c r="S121" s="30">
        <f t="shared" si="12"/>
        <v>175.70999999999998</v>
      </c>
      <c r="T121" s="30">
        <f t="shared" si="13"/>
        <v>5447.01</v>
      </c>
      <c r="U121" s="14" t="str">
        <f t="shared" si="14"/>
        <v>normal</v>
      </c>
      <c r="V121" s="33">
        <f t="shared" si="15"/>
        <v>0.05</v>
      </c>
    </row>
    <row r="122" spans="1:22" ht="15.75" customHeight="1" x14ac:dyDescent="0.25">
      <c r="A122" s="8">
        <v>1121</v>
      </c>
      <c r="B122" s="9" t="s">
        <v>303</v>
      </c>
      <c r="C122" s="9" t="s">
        <v>304</v>
      </c>
      <c r="D122" s="9" t="str">
        <f t="shared" si="8"/>
        <v>Bashshar Mareiun</v>
      </c>
      <c r="E122" s="9" t="s">
        <v>34</v>
      </c>
      <c r="F122" s="9" t="s">
        <v>928</v>
      </c>
      <c r="G122" s="9" t="s">
        <v>18</v>
      </c>
      <c r="H122" s="10" t="s">
        <v>14</v>
      </c>
      <c r="I122" s="10" t="s">
        <v>198</v>
      </c>
      <c r="J122" s="11" t="s">
        <v>10</v>
      </c>
      <c r="K122" s="9" t="s">
        <v>611</v>
      </c>
      <c r="L122" s="12">
        <v>26</v>
      </c>
      <c r="M122" s="13">
        <v>1</v>
      </c>
      <c r="N122" s="13">
        <v>1991</v>
      </c>
      <c r="O122" s="31">
        <f t="shared" si="9"/>
        <v>33264</v>
      </c>
      <c r="P122" s="13">
        <f t="shared" ca="1" si="10"/>
        <v>35</v>
      </c>
      <c r="Q122" s="29">
        <v>5278</v>
      </c>
      <c r="R122" s="30">
        <f t="shared" si="11"/>
        <v>527.80000000000007</v>
      </c>
      <c r="S122" s="30">
        <f t="shared" si="12"/>
        <v>158.34</v>
      </c>
      <c r="T122" s="30">
        <f t="shared" si="13"/>
        <v>4908.54</v>
      </c>
      <c r="U122" s="14" t="str">
        <f t="shared" si="14"/>
        <v>normal</v>
      </c>
      <c r="V122" s="33">
        <f t="shared" si="15"/>
        <v>0.05</v>
      </c>
    </row>
    <row r="123" spans="1:22" ht="15.75" customHeight="1" x14ac:dyDescent="0.25">
      <c r="A123" s="8">
        <v>1122</v>
      </c>
      <c r="B123" s="9" t="s">
        <v>305</v>
      </c>
      <c r="C123" s="9" t="s">
        <v>306</v>
      </c>
      <c r="D123" s="9" t="str">
        <f t="shared" si="8"/>
        <v>Akram Alhulwanii</v>
      </c>
      <c r="E123" s="9" t="s">
        <v>34</v>
      </c>
      <c r="F123" s="9" t="s">
        <v>929</v>
      </c>
      <c r="G123" s="9" t="s">
        <v>795</v>
      </c>
      <c r="H123" s="10" t="s">
        <v>8</v>
      </c>
      <c r="I123" s="10" t="s">
        <v>23</v>
      </c>
      <c r="J123" s="11" t="s">
        <v>21</v>
      </c>
      <c r="K123" s="9" t="s">
        <v>612</v>
      </c>
      <c r="L123" s="12">
        <v>24</v>
      </c>
      <c r="M123" s="13">
        <v>9</v>
      </c>
      <c r="N123" s="13">
        <v>2020</v>
      </c>
      <c r="O123" s="31">
        <f t="shared" si="9"/>
        <v>44098</v>
      </c>
      <c r="P123" s="13">
        <f t="shared" ca="1" si="10"/>
        <v>5</v>
      </c>
      <c r="Q123" s="29">
        <v>5710</v>
      </c>
      <c r="R123" s="30">
        <f t="shared" si="11"/>
        <v>571</v>
      </c>
      <c r="S123" s="30">
        <f t="shared" si="12"/>
        <v>171.29999999999998</v>
      </c>
      <c r="T123" s="30">
        <f t="shared" si="13"/>
        <v>5310.3</v>
      </c>
      <c r="U123" s="14" t="str">
        <f t="shared" si="14"/>
        <v>normal</v>
      </c>
      <c r="V123" s="33">
        <f t="shared" si="15"/>
        <v>0.05</v>
      </c>
    </row>
    <row r="124" spans="1:22" ht="15.75" customHeight="1" x14ac:dyDescent="0.25">
      <c r="A124" s="8">
        <v>1123</v>
      </c>
      <c r="B124" s="9" t="s">
        <v>247</v>
      </c>
      <c r="C124" s="9" t="s">
        <v>307</v>
      </c>
      <c r="D124" s="9" t="str">
        <f t="shared" si="8"/>
        <v>Lama Alhasan</v>
      </c>
      <c r="E124" s="9" t="s">
        <v>33</v>
      </c>
      <c r="F124" s="9" t="s">
        <v>930</v>
      </c>
      <c r="G124" s="9" t="s">
        <v>13</v>
      </c>
      <c r="H124" s="10" t="s">
        <v>8</v>
      </c>
      <c r="I124" s="10" t="s">
        <v>15</v>
      </c>
      <c r="J124" s="11" t="s">
        <v>21</v>
      </c>
      <c r="K124" s="9" t="s">
        <v>613</v>
      </c>
      <c r="L124" s="12">
        <v>26</v>
      </c>
      <c r="M124" s="13">
        <v>4</v>
      </c>
      <c r="N124" s="13">
        <v>2018</v>
      </c>
      <c r="O124" s="31">
        <f t="shared" si="9"/>
        <v>43216</v>
      </c>
      <c r="P124" s="13">
        <f t="shared" ca="1" si="10"/>
        <v>7</v>
      </c>
      <c r="Q124" s="29">
        <v>6145</v>
      </c>
      <c r="R124" s="30">
        <f t="shared" si="11"/>
        <v>614.5</v>
      </c>
      <c r="S124" s="30">
        <f t="shared" si="12"/>
        <v>184.35</v>
      </c>
      <c r="T124" s="30">
        <f t="shared" si="13"/>
        <v>5714.85</v>
      </c>
      <c r="U124" s="14" t="str">
        <f t="shared" si="14"/>
        <v>normal</v>
      </c>
      <c r="V124" s="33">
        <f t="shared" si="15"/>
        <v>0.05</v>
      </c>
    </row>
    <row r="125" spans="1:22" ht="15.75" customHeight="1" x14ac:dyDescent="0.25">
      <c r="A125" s="8">
        <v>1124</v>
      </c>
      <c r="B125" s="9" t="s">
        <v>308</v>
      </c>
      <c r="C125" s="9" t="s">
        <v>309</v>
      </c>
      <c r="D125" s="9" t="str">
        <f t="shared" si="8"/>
        <v>Abdallah Zakariaa</v>
      </c>
      <c r="E125" s="9" t="s">
        <v>34</v>
      </c>
      <c r="F125" s="9" t="s">
        <v>931</v>
      </c>
      <c r="G125" s="9" t="s">
        <v>16</v>
      </c>
      <c r="H125" s="10" t="s">
        <v>11</v>
      </c>
      <c r="I125" s="10" t="s">
        <v>23</v>
      </c>
      <c r="J125" s="11" t="s">
        <v>10</v>
      </c>
      <c r="K125" s="9" t="s">
        <v>614</v>
      </c>
      <c r="L125" s="12">
        <v>10</v>
      </c>
      <c r="M125" s="13">
        <v>11</v>
      </c>
      <c r="N125" s="13">
        <v>2019</v>
      </c>
      <c r="O125" s="31">
        <f t="shared" si="9"/>
        <v>43779</v>
      </c>
      <c r="P125" s="13">
        <f t="shared" ca="1" si="10"/>
        <v>6</v>
      </c>
      <c r="Q125" s="29">
        <v>5278</v>
      </c>
      <c r="R125" s="30">
        <f t="shared" si="11"/>
        <v>527.80000000000007</v>
      </c>
      <c r="S125" s="30">
        <f t="shared" si="12"/>
        <v>158.34</v>
      </c>
      <c r="T125" s="30">
        <f t="shared" si="13"/>
        <v>4908.54</v>
      </c>
      <c r="U125" s="14" t="str">
        <f t="shared" si="14"/>
        <v>normal</v>
      </c>
      <c r="V125" s="33">
        <f t="shared" si="15"/>
        <v>0.05</v>
      </c>
    </row>
    <row r="126" spans="1:22" ht="15.75" customHeight="1" x14ac:dyDescent="0.25">
      <c r="A126" s="8">
        <v>1125</v>
      </c>
      <c r="B126" s="9" t="s">
        <v>62</v>
      </c>
      <c r="C126" s="9" t="s">
        <v>310</v>
      </c>
      <c r="D126" s="9" t="str">
        <f t="shared" si="8"/>
        <v>Bilal Aywbi</v>
      </c>
      <c r="E126" s="9" t="s">
        <v>34</v>
      </c>
      <c r="F126" s="9" t="s">
        <v>932</v>
      </c>
      <c r="G126" s="9" t="s">
        <v>795</v>
      </c>
      <c r="H126" s="10" t="s">
        <v>8</v>
      </c>
      <c r="I126" s="10" t="s">
        <v>9</v>
      </c>
      <c r="J126" s="11" t="s">
        <v>10</v>
      </c>
      <c r="K126" s="9" t="s">
        <v>615</v>
      </c>
      <c r="L126" s="12">
        <v>2</v>
      </c>
      <c r="M126" s="13">
        <v>5</v>
      </c>
      <c r="N126" s="13">
        <v>2002</v>
      </c>
      <c r="O126" s="31">
        <f t="shared" si="9"/>
        <v>37378</v>
      </c>
      <c r="P126" s="13">
        <f t="shared" ca="1" si="10"/>
        <v>23</v>
      </c>
      <c r="Q126" s="29">
        <v>6548</v>
      </c>
      <c r="R126" s="30">
        <f t="shared" si="11"/>
        <v>654.80000000000007</v>
      </c>
      <c r="S126" s="30">
        <f t="shared" si="12"/>
        <v>196.44</v>
      </c>
      <c r="T126" s="30">
        <f t="shared" si="13"/>
        <v>6089.6399999999994</v>
      </c>
      <c r="U126" s="14" t="str">
        <f t="shared" si="14"/>
        <v>over</v>
      </c>
      <c r="V126" s="33">
        <f t="shared" si="15"/>
        <v>0.02</v>
      </c>
    </row>
    <row r="127" spans="1:22" ht="15.75" customHeight="1" x14ac:dyDescent="0.25">
      <c r="A127" s="8">
        <v>1126</v>
      </c>
      <c r="B127" s="9" t="s">
        <v>311</v>
      </c>
      <c r="C127" s="9" t="s">
        <v>312</v>
      </c>
      <c r="D127" s="9" t="str">
        <f t="shared" si="8"/>
        <v>Madlin Alsaed</v>
      </c>
      <c r="E127" s="9" t="s">
        <v>33</v>
      </c>
      <c r="F127" s="9" t="s">
        <v>933</v>
      </c>
      <c r="G127" s="9" t="s">
        <v>7</v>
      </c>
      <c r="H127" s="10" t="s">
        <v>14</v>
      </c>
      <c r="I127" s="10" t="s">
        <v>22</v>
      </c>
      <c r="J127" s="11" t="s">
        <v>10</v>
      </c>
      <c r="K127" s="9" t="s">
        <v>616</v>
      </c>
      <c r="L127" s="12">
        <v>28</v>
      </c>
      <c r="M127" s="13">
        <v>11</v>
      </c>
      <c r="N127" s="13">
        <v>2023</v>
      </c>
      <c r="O127" s="31">
        <f t="shared" si="9"/>
        <v>45258</v>
      </c>
      <c r="P127" s="13">
        <f t="shared" ca="1" si="10"/>
        <v>2</v>
      </c>
      <c r="Q127" s="29">
        <v>7175</v>
      </c>
      <c r="R127" s="30">
        <f t="shared" si="11"/>
        <v>717.5</v>
      </c>
      <c r="S127" s="30">
        <f t="shared" si="12"/>
        <v>215.25</v>
      </c>
      <c r="T127" s="30">
        <f t="shared" si="13"/>
        <v>6672.75</v>
      </c>
      <c r="U127" s="14" t="str">
        <f t="shared" si="14"/>
        <v>over</v>
      </c>
      <c r="V127" s="33">
        <f t="shared" si="15"/>
        <v>0.02</v>
      </c>
    </row>
    <row r="128" spans="1:22" ht="15.75" customHeight="1" x14ac:dyDescent="0.25">
      <c r="A128" s="8">
        <v>1127</v>
      </c>
      <c r="B128" s="9" t="s">
        <v>313</v>
      </c>
      <c r="C128" s="9" t="s">
        <v>314</v>
      </c>
      <c r="D128" s="9" t="str">
        <f t="shared" si="8"/>
        <v>Adnan Aleaqla</v>
      </c>
      <c r="E128" s="9" t="s">
        <v>34</v>
      </c>
      <c r="F128" s="9" t="s">
        <v>934</v>
      </c>
      <c r="G128" s="9" t="s">
        <v>13</v>
      </c>
      <c r="H128" s="10" t="s">
        <v>11</v>
      </c>
      <c r="I128" s="10" t="s">
        <v>9</v>
      </c>
      <c r="J128" s="11" t="s">
        <v>21</v>
      </c>
      <c r="K128" s="9" t="s">
        <v>617</v>
      </c>
      <c r="L128" s="12">
        <v>8</v>
      </c>
      <c r="M128" s="13">
        <v>6</v>
      </c>
      <c r="N128" s="13">
        <v>1997</v>
      </c>
      <c r="O128" s="31">
        <f t="shared" si="9"/>
        <v>35589</v>
      </c>
      <c r="P128" s="13">
        <f t="shared" ca="1" si="10"/>
        <v>28</v>
      </c>
      <c r="Q128" s="29">
        <v>4070</v>
      </c>
      <c r="R128" s="30">
        <f t="shared" si="11"/>
        <v>407</v>
      </c>
      <c r="S128" s="30">
        <f t="shared" si="12"/>
        <v>122.1</v>
      </c>
      <c r="T128" s="30">
        <f t="shared" si="13"/>
        <v>3785.1000000000004</v>
      </c>
      <c r="U128" s="14" t="str">
        <f t="shared" si="14"/>
        <v>normal</v>
      </c>
      <c r="V128" s="33">
        <f t="shared" si="15"/>
        <v>0.05</v>
      </c>
    </row>
    <row r="129" spans="1:22" ht="15.75" customHeight="1" x14ac:dyDescent="0.25">
      <c r="A129" s="8">
        <v>1128</v>
      </c>
      <c r="B129" s="9" t="s">
        <v>32</v>
      </c>
      <c r="C129" s="9" t="s">
        <v>315</v>
      </c>
      <c r="D129" s="9" t="str">
        <f t="shared" si="8"/>
        <v>Sarah Haydar</v>
      </c>
      <c r="E129" s="9" t="s">
        <v>33</v>
      </c>
      <c r="F129" s="9" t="s">
        <v>935</v>
      </c>
      <c r="G129" s="9" t="s">
        <v>795</v>
      </c>
      <c r="H129" s="10" t="s">
        <v>8</v>
      </c>
      <c r="I129" s="10" t="s">
        <v>15</v>
      </c>
      <c r="J129" s="11" t="s">
        <v>10</v>
      </c>
      <c r="K129" s="9" t="s">
        <v>618</v>
      </c>
      <c r="L129" s="12">
        <v>1</v>
      </c>
      <c r="M129" s="13">
        <v>4</v>
      </c>
      <c r="N129" s="13">
        <v>2001</v>
      </c>
      <c r="O129" s="31">
        <f t="shared" si="9"/>
        <v>36982</v>
      </c>
      <c r="P129" s="13">
        <f t="shared" ca="1" si="10"/>
        <v>25</v>
      </c>
      <c r="Q129" s="29">
        <v>1906</v>
      </c>
      <c r="R129" s="30">
        <f t="shared" si="11"/>
        <v>190.60000000000002</v>
      </c>
      <c r="S129" s="30">
        <f t="shared" si="12"/>
        <v>57.18</v>
      </c>
      <c r="T129" s="30">
        <f t="shared" si="13"/>
        <v>1772.58</v>
      </c>
      <c r="U129" s="14" t="str">
        <f t="shared" si="14"/>
        <v>normal</v>
      </c>
      <c r="V129" s="33">
        <f t="shared" si="15"/>
        <v>0.08</v>
      </c>
    </row>
    <row r="130" spans="1:22" ht="15.75" customHeight="1" x14ac:dyDescent="0.25">
      <c r="A130" s="8">
        <v>1129</v>
      </c>
      <c r="B130" s="9" t="s">
        <v>316</v>
      </c>
      <c r="C130" s="9" t="s">
        <v>317</v>
      </c>
      <c r="D130" s="9" t="str">
        <f t="shared" si="8"/>
        <v>Abdalkarim Shueayb</v>
      </c>
      <c r="E130" s="9" t="s">
        <v>34</v>
      </c>
      <c r="F130" s="9" t="s">
        <v>936</v>
      </c>
      <c r="G130" s="9" t="s">
        <v>16</v>
      </c>
      <c r="H130" s="10" t="s">
        <v>11</v>
      </c>
      <c r="I130" s="10" t="s">
        <v>15</v>
      </c>
      <c r="J130" s="11" t="s">
        <v>10</v>
      </c>
      <c r="K130" s="9" t="s">
        <v>619</v>
      </c>
      <c r="L130" s="12">
        <v>25</v>
      </c>
      <c r="M130" s="13">
        <v>6</v>
      </c>
      <c r="N130" s="13">
        <v>2018</v>
      </c>
      <c r="O130" s="31">
        <f t="shared" si="9"/>
        <v>43276</v>
      </c>
      <c r="P130" s="13">
        <f t="shared" ca="1" si="10"/>
        <v>7</v>
      </c>
      <c r="Q130" s="29">
        <v>2600</v>
      </c>
      <c r="R130" s="30">
        <f t="shared" si="11"/>
        <v>260</v>
      </c>
      <c r="S130" s="30">
        <f t="shared" si="12"/>
        <v>78</v>
      </c>
      <c r="T130" s="30">
        <f t="shared" si="13"/>
        <v>2418</v>
      </c>
      <c r="U130" s="14" t="str">
        <f t="shared" si="14"/>
        <v>normal</v>
      </c>
      <c r="V130" s="33">
        <f t="shared" si="15"/>
        <v>0.08</v>
      </c>
    </row>
    <row r="131" spans="1:22" ht="15.75" customHeight="1" x14ac:dyDescent="0.25">
      <c r="A131" s="8">
        <v>1130</v>
      </c>
      <c r="B131" s="9" t="s">
        <v>36</v>
      </c>
      <c r="C131" s="9" t="s">
        <v>318</v>
      </c>
      <c r="D131" s="9" t="str">
        <f t="shared" ref="D131:D194" si="16">PROPER(TRIM((B131 &amp;" "&amp; C131)))</f>
        <v>Ahmad Dahman</v>
      </c>
      <c r="E131" s="9" t="s">
        <v>34</v>
      </c>
      <c r="F131" s="9" t="s">
        <v>937</v>
      </c>
      <c r="G131" s="9" t="s">
        <v>13</v>
      </c>
      <c r="H131" s="10" t="s">
        <v>11</v>
      </c>
      <c r="I131" s="10" t="s">
        <v>17</v>
      </c>
      <c r="J131" s="11" t="s">
        <v>19</v>
      </c>
      <c r="K131" s="9" t="s">
        <v>620</v>
      </c>
      <c r="L131" s="12">
        <v>22</v>
      </c>
      <c r="M131" s="13">
        <v>5</v>
      </c>
      <c r="N131" s="13">
        <v>1993</v>
      </c>
      <c r="O131" s="31">
        <f t="shared" ref="O131:O194" si="17">DATE(N131,M131,L131)</f>
        <v>34111</v>
      </c>
      <c r="P131" s="13">
        <f t="shared" ref="P131:P194" ca="1" si="18">DATEDIF(O131,TODAY(),"y")</f>
        <v>32</v>
      </c>
      <c r="Q131" s="29">
        <v>3753</v>
      </c>
      <c r="R131" s="30">
        <f t="shared" ref="R131:R194" si="19">Q131*0.1</f>
        <v>375.3</v>
      </c>
      <c r="S131" s="30">
        <f t="shared" ref="S131:S194" si="20">Q131*0.03</f>
        <v>112.58999999999999</v>
      </c>
      <c r="T131" s="30">
        <f t="shared" ref="T131:T194" si="21">Q131+S131-R131</f>
        <v>3490.29</v>
      </c>
      <c r="U131" s="14" t="str">
        <f t="shared" ref="U131:U194" si="22">IF(T131&gt;=6000,"over","normal")</f>
        <v>normal</v>
      </c>
      <c r="V131" s="33">
        <f t="shared" ref="V131:V194" si="23">VLOOKUP(T131,$Y$6:$Z$10,2,TRUE)</f>
        <v>0.05</v>
      </c>
    </row>
    <row r="132" spans="1:22" ht="15.75" customHeight="1" x14ac:dyDescent="0.25">
      <c r="A132" s="8">
        <v>1131</v>
      </c>
      <c r="B132" s="9" t="s">
        <v>319</v>
      </c>
      <c r="C132" s="9" t="s">
        <v>320</v>
      </c>
      <c r="D132" s="9" t="str">
        <f t="shared" si="16"/>
        <v>Zaynab Eirat</v>
      </c>
      <c r="E132" s="9" t="s">
        <v>33</v>
      </c>
      <c r="F132" s="9" t="s">
        <v>938</v>
      </c>
      <c r="G132" s="9" t="s">
        <v>18</v>
      </c>
      <c r="H132" s="10" t="s">
        <v>8</v>
      </c>
      <c r="I132" s="10" t="s">
        <v>198</v>
      </c>
      <c r="J132" s="11" t="s">
        <v>10</v>
      </c>
      <c r="K132" s="9" t="s">
        <v>621</v>
      </c>
      <c r="L132" s="12">
        <v>15</v>
      </c>
      <c r="M132" s="13">
        <v>8</v>
      </c>
      <c r="N132" s="13">
        <v>2022</v>
      </c>
      <c r="O132" s="31">
        <f t="shared" si="17"/>
        <v>44788</v>
      </c>
      <c r="P132" s="13">
        <f t="shared" ca="1" si="18"/>
        <v>3</v>
      </c>
      <c r="Q132" s="29">
        <v>5086</v>
      </c>
      <c r="R132" s="30">
        <f t="shared" si="19"/>
        <v>508.6</v>
      </c>
      <c r="S132" s="30">
        <f t="shared" si="20"/>
        <v>152.57999999999998</v>
      </c>
      <c r="T132" s="30">
        <f t="shared" si="21"/>
        <v>4729.9799999999996</v>
      </c>
      <c r="U132" s="14" t="str">
        <f t="shared" si="22"/>
        <v>normal</v>
      </c>
      <c r="V132" s="33">
        <f t="shared" si="23"/>
        <v>0.05</v>
      </c>
    </row>
    <row r="133" spans="1:22" ht="15.75" customHeight="1" x14ac:dyDescent="0.25">
      <c r="A133" s="8">
        <v>1132</v>
      </c>
      <c r="B133" s="9" t="s">
        <v>46</v>
      </c>
      <c r="C133" s="9" t="s">
        <v>321</v>
      </c>
      <c r="D133" s="9" t="str">
        <f t="shared" si="16"/>
        <v>Iad Badran</v>
      </c>
      <c r="E133" s="9" t="s">
        <v>34</v>
      </c>
      <c r="F133" s="9" t="s">
        <v>939</v>
      </c>
      <c r="G133" s="9" t="s">
        <v>13</v>
      </c>
      <c r="H133" s="10" t="s">
        <v>20</v>
      </c>
      <c r="I133" s="10" t="s">
        <v>9</v>
      </c>
      <c r="J133" s="11" t="s">
        <v>19</v>
      </c>
      <c r="K133" s="9" t="s">
        <v>622</v>
      </c>
      <c r="L133" s="12">
        <v>25</v>
      </c>
      <c r="M133" s="13">
        <v>10</v>
      </c>
      <c r="N133" s="13">
        <v>2021</v>
      </c>
      <c r="O133" s="31">
        <f t="shared" si="17"/>
        <v>44494</v>
      </c>
      <c r="P133" s="13">
        <f t="shared" ca="1" si="18"/>
        <v>4</v>
      </c>
      <c r="Q133" s="29">
        <v>2431</v>
      </c>
      <c r="R133" s="30">
        <f t="shared" si="19"/>
        <v>243.10000000000002</v>
      </c>
      <c r="S133" s="30">
        <f t="shared" si="20"/>
        <v>72.929999999999993</v>
      </c>
      <c r="T133" s="30">
        <f t="shared" si="21"/>
        <v>2260.83</v>
      </c>
      <c r="U133" s="14" t="str">
        <f t="shared" si="22"/>
        <v>normal</v>
      </c>
      <c r="V133" s="33">
        <f t="shared" si="23"/>
        <v>0.08</v>
      </c>
    </row>
    <row r="134" spans="1:22" ht="15.75" customHeight="1" x14ac:dyDescent="0.25">
      <c r="A134" s="8">
        <v>1133</v>
      </c>
      <c r="B134" s="9" t="s">
        <v>322</v>
      </c>
      <c r="C134" s="9" t="s">
        <v>323</v>
      </c>
      <c r="D134" s="9" t="str">
        <f t="shared" si="16"/>
        <v>Zahir Aleitar</v>
      </c>
      <c r="E134" s="9" t="s">
        <v>34</v>
      </c>
      <c r="F134" s="9" t="s">
        <v>940</v>
      </c>
      <c r="G134" s="9" t="s">
        <v>16</v>
      </c>
      <c r="H134" s="10" t="s">
        <v>8</v>
      </c>
      <c r="I134" s="10" t="s">
        <v>9</v>
      </c>
      <c r="J134" s="11" t="s">
        <v>10</v>
      </c>
      <c r="K134" s="9" t="s">
        <v>623</v>
      </c>
      <c r="L134" s="12">
        <v>8</v>
      </c>
      <c r="M134" s="13">
        <v>3</v>
      </c>
      <c r="N134" s="13">
        <v>2014</v>
      </c>
      <c r="O134" s="31">
        <f t="shared" si="17"/>
        <v>41706</v>
      </c>
      <c r="P134" s="13">
        <f t="shared" ca="1" si="18"/>
        <v>12</v>
      </c>
      <c r="Q134" s="29">
        <v>2955</v>
      </c>
      <c r="R134" s="30">
        <f t="shared" si="19"/>
        <v>295.5</v>
      </c>
      <c r="S134" s="30">
        <f t="shared" si="20"/>
        <v>88.649999999999991</v>
      </c>
      <c r="T134" s="30">
        <f t="shared" si="21"/>
        <v>2748.15</v>
      </c>
      <c r="U134" s="14" t="str">
        <f t="shared" si="22"/>
        <v>normal</v>
      </c>
      <c r="V134" s="33">
        <f t="shared" si="23"/>
        <v>0.08</v>
      </c>
    </row>
    <row r="135" spans="1:22" ht="15.75" customHeight="1" x14ac:dyDescent="0.25">
      <c r="A135" s="8">
        <v>1134</v>
      </c>
      <c r="B135" s="9" t="s">
        <v>324</v>
      </c>
      <c r="C135" s="9" t="s">
        <v>325</v>
      </c>
      <c r="D135" s="9" t="str">
        <f t="shared" si="16"/>
        <v>Hamzaa Astitih</v>
      </c>
      <c r="E135" s="9" t="s">
        <v>34</v>
      </c>
      <c r="F135" s="9" t="s">
        <v>941</v>
      </c>
      <c r="G135" s="9" t="s">
        <v>16</v>
      </c>
      <c r="H135" s="10" t="s">
        <v>14</v>
      </c>
      <c r="I135" s="10" t="s">
        <v>198</v>
      </c>
      <c r="J135" s="11" t="s">
        <v>21</v>
      </c>
      <c r="K135" s="9" t="s">
        <v>624</v>
      </c>
      <c r="L135" s="12">
        <v>3</v>
      </c>
      <c r="M135" s="13">
        <v>7</v>
      </c>
      <c r="N135" s="13">
        <v>1996</v>
      </c>
      <c r="O135" s="31">
        <f t="shared" si="17"/>
        <v>35249</v>
      </c>
      <c r="P135" s="13">
        <f t="shared" ca="1" si="18"/>
        <v>29</v>
      </c>
      <c r="Q135" s="29">
        <v>1948</v>
      </c>
      <c r="R135" s="30">
        <f t="shared" si="19"/>
        <v>194.8</v>
      </c>
      <c r="S135" s="30">
        <f t="shared" si="20"/>
        <v>58.44</v>
      </c>
      <c r="T135" s="30">
        <f t="shared" si="21"/>
        <v>1811.64</v>
      </c>
      <c r="U135" s="14" t="str">
        <f t="shared" si="22"/>
        <v>normal</v>
      </c>
      <c r="V135" s="33">
        <f t="shared" si="23"/>
        <v>0.08</v>
      </c>
    </row>
    <row r="136" spans="1:22" ht="15.75" customHeight="1" x14ac:dyDescent="0.25">
      <c r="A136" s="8">
        <v>1135</v>
      </c>
      <c r="B136" s="9" t="s">
        <v>326</v>
      </c>
      <c r="C136" s="9" t="s">
        <v>327</v>
      </c>
      <c r="D136" s="9" t="str">
        <f t="shared" si="16"/>
        <v>Omar Shawqi</v>
      </c>
      <c r="E136" s="9" t="s">
        <v>34</v>
      </c>
      <c r="F136" s="9" t="s">
        <v>942</v>
      </c>
      <c r="G136" s="9" t="s">
        <v>18</v>
      </c>
      <c r="H136" s="10" t="s">
        <v>8</v>
      </c>
      <c r="I136" s="10" t="s">
        <v>22</v>
      </c>
      <c r="J136" s="11" t="s">
        <v>10</v>
      </c>
      <c r="K136" s="9" t="s">
        <v>625</v>
      </c>
      <c r="L136" s="12">
        <v>24</v>
      </c>
      <c r="M136" s="13">
        <v>9</v>
      </c>
      <c r="N136" s="13">
        <v>1992</v>
      </c>
      <c r="O136" s="31">
        <f t="shared" si="17"/>
        <v>33871</v>
      </c>
      <c r="P136" s="13">
        <f t="shared" ca="1" si="18"/>
        <v>33</v>
      </c>
      <c r="Q136" s="29">
        <v>3294</v>
      </c>
      <c r="R136" s="30">
        <f t="shared" si="19"/>
        <v>329.40000000000003</v>
      </c>
      <c r="S136" s="30">
        <f t="shared" si="20"/>
        <v>98.82</v>
      </c>
      <c r="T136" s="30">
        <f t="shared" si="21"/>
        <v>3063.42</v>
      </c>
      <c r="U136" s="14" t="str">
        <f t="shared" si="22"/>
        <v>normal</v>
      </c>
      <c r="V136" s="33">
        <f t="shared" si="23"/>
        <v>0.05</v>
      </c>
    </row>
    <row r="137" spans="1:22" ht="15.75" customHeight="1" x14ac:dyDescent="0.25">
      <c r="A137" s="8">
        <v>1136</v>
      </c>
      <c r="B137" s="9" t="s">
        <v>326</v>
      </c>
      <c r="C137" s="9" t="s">
        <v>328</v>
      </c>
      <c r="D137" s="9" t="str">
        <f t="shared" si="16"/>
        <v>Omar Zaqzuq</v>
      </c>
      <c r="E137" s="9" t="s">
        <v>34</v>
      </c>
      <c r="F137" s="9" t="s">
        <v>943</v>
      </c>
      <c r="G137" s="9" t="s">
        <v>795</v>
      </c>
      <c r="H137" s="10" t="s">
        <v>14</v>
      </c>
      <c r="I137" s="10" t="s">
        <v>198</v>
      </c>
      <c r="J137" s="11" t="s">
        <v>12</v>
      </c>
      <c r="K137" s="9" t="s">
        <v>626</v>
      </c>
      <c r="L137" s="12">
        <v>17</v>
      </c>
      <c r="M137" s="13">
        <v>6</v>
      </c>
      <c r="N137" s="13">
        <v>2014</v>
      </c>
      <c r="O137" s="31">
        <f t="shared" si="17"/>
        <v>41807</v>
      </c>
      <c r="P137" s="13">
        <f t="shared" ca="1" si="18"/>
        <v>11</v>
      </c>
      <c r="Q137" s="29">
        <v>7123</v>
      </c>
      <c r="R137" s="30">
        <f t="shared" si="19"/>
        <v>712.30000000000007</v>
      </c>
      <c r="S137" s="30">
        <f t="shared" si="20"/>
        <v>213.69</v>
      </c>
      <c r="T137" s="30">
        <f t="shared" si="21"/>
        <v>6624.3899999999994</v>
      </c>
      <c r="U137" s="14" t="str">
        <f t="shared" si="22"/>
        <v>over</v>
      </c>
      <c r="V137" s="33">
        <f t="shared" si="23"/>
        <v>0.02</v>
      </c>
    </row>
    <row r="138" spans="1:22" ht="15.75" customHeight="1" x14ac:dyDescent="0.25">
      <c r="A138" s="8">
        <v>1137</v>
      </c>
      <c r="B138" s="9" t="s">
        <v>329</v>
      </c>
      <c r="C138" s="9" t="s">
        <v>330</v>
      </c>
      <c r="D138" s="9" t="str">
        <f t="shared" si="16"/>
        <v>Yasmin Eamir</v>
      </c>
      <c r="E138" s="9" t="s">
        <v>33</v>
      </c>
      <c r="F138" s="9" t="s">
        <v>944</v>
      </c>
      <c r="G138" s="9" t="s">
        <v>13</v>
      </c>
      <c r="H138" s="10" t="s">
        <v>8</v>
      </c>
      <c r="I138" s="10" t="s">
        <v>22</v>
      </c>
      <c r="J138" s="11" t="s">
        <v>19</v>
      </c>
      <c r="K138" s="9" t="s">
        <v>627</v>
      </c>
      <c r="L138" s="12">
        <v>12</v>
      </c>
      <c r="M138" s="13">
        <v>5</v>
      </c>
      <c r="N138" s="13">
        <v>1992</v>
      </c>
      <c r="O138" s="31">
        <f t="shared" si="17"/>
        <v>33736</v>
      </c>
      <c r="P138" s="13">
        <f t="shared" ca="1" si="18"/>
        <v>33</v>
      </c>
      <c r="Q138" s="29">
        <v>7236</v>
      </c>
      <c r="R138" s="30">
        <f t="shared" si="19"/>
        <v>723.6</v>
      </c>
      <c r="S138" s="30">
        <f t="shared" si="20"/>
        <v>217.07999999999998</v>
      </c>
      <c r="T138" s="30">
        <f t="shared" si="21"/>
        <v>6729.48</v>
      </c>
      <c r="U138" s="14" t="str">
        <f t="shared" si="22"/>
        <v>over</v>
      </c>
      <c r="V138" s="33">
        <f t="shared" si="23"/>
        <v>0.02</v>
      </c>
    </row>
    <row r="139" spans="1:22" ht="15.75" customHeight="1" x14ac:dyDescent="0.25">
      <c r="A139" s="8">
        <v>1138</v>
      </c>
      <c r="B139" s="9" t="s">
        <v>331</v>
      </c>
      <c r="C139" s="9" t="s">
        <v>332</v>
      </c>
      <c r="D139" s="9" t="str">
        <f t="shared" si="16"/>
        <v>Muayid Siedih</v>
      </c>
      <c r="E139" s="9" t="s">
        <v>34</v>
      </c>
      <c r="F139" s="9" t="s">
        <v>945</v>
      </c>
      <c r="G139" s="9" t="s">
        <v>795</v>
      </c>
      <c r="H139" s="10" t="s">
        <v>20</v>
      </c>
      <c r="I139" s="10" t="s">
        <v>22</v>
      </c>
      <c r="J139" s="11" t="s">
        <v>12</v>
      </c>
      <c r="K139" s="9" t="s">
        <v>628</v>
      </c>
      <c r="L139" s="12">
        <v>18</v>
      </c>
      <c r="M139" s="13">
        <v>7</v>
      </c>
      <c r="N139" s="13">
        <v>2009</v>
      </c>
      <c r="O139" s="31">
        <f t="shared" si="17"/>
        <v>40012</v>
      </c>
      <c r="P139" s="13">
        <f t="shared" ca="1" si="18"/>
        <v>16</v>
      </c>
      <c r="Q139" s="29">
        <v>6843</v>
      </c>
      <c r="R139" s="30">
        <f t="shared" si="19"/>
        <v>684.30000000000007</v>
      </c>
      <c r="S139" s="30">
        <f t="shared" si="20"/>
        <v>205.29</v>
      </c>
      <c r="T139" s="30">
        <f t="shared" si="21"/>
        <v>6363.99</v>
      </c>
      <c r="U139" s="14" t="str">
        <f t="shared" si="22"/>
        <v>over</v>
      </c>
      <c r="V139" s="33">
        <f t="shared" si="23"/>
        <v>0.02</v>
      </c>
    </row>
    <row r="140" spans="1:22" ht="15.75" customHeight="1" x14ac:dyDescent="0.25">
      <c r="A140" s="8">
        <v>1139</v>
      </c>
      <c r="B140" s="9" t="s">
        <v>288</v>
      </c>
      <c r="C140" s="9" t="s">
        <v>333</v>
      </c>
      <c r="D140" s="9" t="str">
        <f t="shared" si="16"/>
        <v>Sahar Qisam</v>
      </c>
      <c r="E140" s="9" t="s">
        <v>33</v>
      </c>
      <c r="F140" s="9" t="s">
        <v>946</v>
      </c>
      <c r="G140" s="9" t="s">
        <v>795</v>
      </c>
      <c r="H140" s="10" t="s">
        <v>11</v>
      </c>
      <c r="I140" s="10" t="s">
        <v>22</v>
      </c>
      <c r="J140" s="11" t="s">
        <v>12</v>
      </c>
      <c r="K140" s="9" t="s">
        <v>629</v>
      </c>
      <c r="L140" s="12">
        <v>9</v>
      </c>
      <c r="M140" s="13">
        <v>4</v>
      </c>
      <c r="N140" s="13">
        <v>2001</v>
      </c>
      <c r="O140" s="31">
        <f t="shared" si="17"/>
        <v>36990</v>
      </c>
      <c r="P140" s="13">
        <f t="shared" ca="1" si="18"/>
        <v>25</v>
      </c>
      <c r="Q140" s="29">
        <v>1070</v>
      </c>
      <c r="R140" s="30">
        <f t="shared" si="19"/>
        <v>107</v>
      </c>
      <c r="S140" s="30">
        <f t="shared" si="20"/>
        <v>32.1</v>
      </c>
      <c r="T140" s="30">
        <f t="shared" si="21"/>
        <v>995.09999999999991</v>
      </c>
      <c r="U140" s="14" t="str">
        <f t="shared" si="22"/>
        <v>normal</v>
      </c>
      <c r="V140" s="33">
        <f t="shared" si="23"/>
        <v>0.1</v>
      </c>
    </row>
    <row r="141" spans="1:22" ht="15.75" customHeight="1" x14ac:dyDescent="0.25">
      <c r="A141" s="8">
        <v>1140</v>
      </c>
      <c r="B141" s="9" t="s">
        <v>334</v>
      </c>
      <c r="C141" s="9" t="s">
        <v>335</v>
      </c>
      <c r="D141" s="9" t="str">
        <f t="shared" si="16"/>
        <v>Hind Almueasaeas</v>
      </c>
      <c r="E141" s="9" t="s">
        <v>33</v>
      </c>
      <c r="F141" s="9" t="s">
        <v>947</v>
      </c>
      <c r="G141" s="9" t="s">
        <v>13</v>
      </c>
      <c r="H141" s="10" t="s">
        <v>20</v>
      </c>
      <c r="I141" s="10" t="s">
        <v>22</v>
      </c>
      <c r="J141" s="11" t="s">
        <v>21</v>
      </c>
      <c r="K141" s="9" t="s">
        <v>630</v>
      </c>
      <c r="L141" s="12">
        <v>23</v>
      </c>
      <c r="M141" s="13">
        <v>3</v>
      </c>
      <c r="N141" s="13">
        <v>2011</v>
      </c>
      <c r="O141" s="31">
        <f t="shared" si="17"/>
        <v>40625</v>
      </c>
      <c r="P141" s="13">
        <f t="shared" ca="1" si="18"/>
        <v>15</v>
      </c>
      <c r="Q141" s="29">
        <v>1493</v>
      </c>
      <c r="R141" s="30">
        <f t="shared" si="19"/>
        <v>149.30000000000001</v>
      </c>
      <c r="S141" s="30">
        <f t="shared" si="20"/>
        <v>44.79</v>
      </c>
      <c r="T141" s="30">
        <f t="shared" si="21"/>
        <v>1388.49</v>
      </c>
      <c r="U141" s="14" t="str">
        <f t="shared" si="22"/>
        <v>normal</v>
      </c>
      <c r="V141" s="33">
        <f t="shared" si="23"/>
        <v>0.08</v>
      </c>
    </row>
    <row r="142" spans="1:22" ht="15.75" customHeight="1" x14ac:dyDescent="0.25">
      <c r="A142" s="8">
        <v>1141</v>
      </c>
      <c r="B142" s="9" t="s">
        <v>336</v>
      </c>
      <c r="C142" s="9" t="s">
        <v>337</v>
      </c>
      <c r="D142" s="9" t="str">
        <f t="shared" si="16"/>
        <v>Ghassan Aljamal</v>
      </c>
      <c r="E142" s="9" t="s">
        <v>34</v>
      </c>
      <c r="F142" s="9" t="s">
        <v>948</v>
      </c>
      <c r="G142" s="9" t="s">
        <v>18</v>
      </c>
      <c r="H142" s="10" t="s">
        <v>11</v>
      </c>
      <c r="I142" s="10" t="s">
        <v>22</v>
      </c>
      <c r="J142" s="11" t="s">
        <v>12</v>
      </c>
      <c r="K142" s="9" t="s">
        <v>631</v>
      </c>
      <c r="L142" s="12">
        <v>3</v>
      </c>
      <c r="M142" s="13">
        <v>7</v>
      </c>
      <c r="N142" s="13">
        <v>2020</v>
      </c>
      <c r="O142" s="31">
        <f t="shared" si="17"/>
        <v>44015</v>
      </c>
      <c r="P142" s="13">
        <f t="shared" ca="1" si="18"/>
        <v>5</v>
      </c>
      <c r="Q142" s="29">
        <v>5857</v>
      </c>
      <c r="R142" s="30">
        <f t="shared" si="19"/>
        <v>585.70000000000005</v>
      </c>
      <c r="S142" s="30">
        <f t="shared" si="20"/>
        <v>175.70999999999998</v>
      </c>
      <c r="T142" s="30">
        <f t="shared" si="21"/>
        <v>5447.01</v>
      </c>
      <c r="U142" s="14" t="str">
        <f t="shared" si="22"/>
        <v>normal</v>
      </c>
      <c r="V142" s="33">
        <f t="shared" si="23"/>
        <v>0.05</v>
      </c>
    </row>
    <row r="143" spans="1:22" ht="15.75" customHeight="1" x14ac:dyDescent="0.25">
      <c r="A143" s="8">
        <v>1142</v>
      </c>
      <c r="B143" s="9" t="s">
        <v>326</v>
      </c>
      <c r="C143" s="9" t="s">
        <v>338</v>
      </c>
      <c r="D143" s="9" t="str">
        <f t="shared" si="16"/>
        <v>Omar Kahulus</v>
      </c>
      <c r="E143" s="9" t="s">
        <v>34</v>
      </c>
      <c r="F143" s="9" t="s">
        <v>949</v>
      </c>
      <c r="G143" s="9" t="s">
        <v>18</v>
      </c>
      <c r="H143" s="10" t="s">
        <v>8</v>
      </c>
      <c r="I143" s="10" t="s">
        <v>198</v>
      </c>
      <c r="J143" s="11" t="s">
        <v>12</v>
      </c>
      <c r="K143" s="9" t="s">
        <v>632</v>
      </c>
      <c r="L143" s="12">
        <v>4</v>
      </c>
      <c r="M143" s="13">
        <v>3</v>
      </c>
      <c r="N143" s="13">
        <v>1991</v>
      </c>
      <c r="O143" s="31">
        <f t="shared" si="17"/>
        <v>33301</v>
      </c>
      <c r="P143" s="13">
        <f t="shared" ca="1" si="18"/>
        <v>35</v>
      </c>
      <c r="Q143" s="29">
        <v>5278</v>
      </c>
      <c r="R143" s="30">
        <f t="shared" si="19"/>
        <v>527.80000000000007</v>
      </c>
      <c r="S143" s="30">
        <f t="shared" si="20"/>
        <v>158.34</v>
      </c>
      <c r="T143" s="30">
        <f t="shared" si="21"/>
        <v>4908.54</v>
      </c>
      <c r="U143" s="14" t="str">
        <f t="shared" si="22"/>
        <v>normal</v>
      </c>
      <c r="V143" s="33">
        <f t="shared" si="23"/>
        <v>0.05</v>
      </c>
    </row>
    <row r="144" spans="1:22" ht="15.75" customHeight="1" x14ac:dyDescent="0.25">
      <c r="A144" s="8">
        <v>1143</v>
      </c>
      <c r="B144" s="9" t="s">
        <v>339</v>
      </c>
      <c r="C144" s="9" t="s">
        <v>340</v>
      </c>
      <c r="D144" s="9" t="str">
        <f t="shared" si="16"/>
        <v>Alysia Alyaghshiu</v>
      </c>
      <c r="E144" s="9" t="s">
        <v>33</v>
      </c>
      <c r="F144" s="9" t="s">
        <v>950</v>
      </c>
      <c r="G144" s="9" t="s">
        <v>795</v>
      </c>
      <c r="H144" s="10" t="s">
        <v>8</v>
      </c>
      <c r="I144" s="10" t="s">
        <v>23</v>
      </c>
      <c r="J144" s="11" t="s">
        <v>10</v>
      </c>
      <c r="K144" s="9" t="s">
        <v>633</v>
      </c>
      <c r="L144" s="12">
        <v>18</v>
      </c>
      <c r="M144" s="13">
        <v>9</v>
      </c>
      <c r="N144" s="13">
        <v>2015</v>
      </c>
      <c r="O144" s="31">
        <f t="shared" si="17"/>
        <v>42265</v>
      </c>
      <c r="P144" s="13">
        <f t="shared" ca="1" si="18"/>
        <v>10</v>
      </c>
      <c r="Q144" s="29">
        <v>5710</v>
      </c>
      <c r="R144" s="30">
        <f t="shared" si="19"/>
        <v>571</v>
      </c>
      <c r="S144" s="30">
        <f t="shared" si="20"/>
        <v>171.29999999999998</v>
      </c>
      <c r="T144" s="30">
        <f t="shared" si="21"/>
        <v>5310.3</v>
      </c>
      <c r="U144" s="14" t="str">
        <f t="shared" si="22"/>
        <v>normal</v>
      </c>
      <c r="V144" s="33">
        <f t="shared" si="23"/>
        <v>0.05</v>
      </c>
    </row>
    <row r="145" spans="1:22" ht="15.75" customHeight="1" x14ac:dyDescent="0.25">
      <c r="A145" s="8">
        <v>1144</v>
      </c>
      <c r="B145" s="9" t="s">
        <v>36</v>
      </c>
      <c r="C145" s="9" t="s">
        <v>341</v>
      </c>
      <c r="D145" s="9" t="str">
        <f t="shared" si="16"/>
        <v>Ahmad Zayd</v>
      </c>
      <c r="E145" s="9" t="s">
        <v>34</v>
      </c>
      <c r="F145" s="9" t="s">
        <v>951</v>
      </c>
      <c r="G145" s="9" t="s">
        <v>13</v>
      </c>
      <c r="H145" s="10" t="s">
        <v>8</v>
      </c>
      <c r="I145" s="10" t="s">
        <v>15</v>
      </c>
      <c r="J145" s="11" t="s">
        <v>21</v>
      </c>
      <c r="K145" s="9" t="s">
        <v>634</v>
      </c>
      <c r="L145" s="12">
        <v>8</v>
      </c>
      <c r="M145" s="13">
        <v>12</v>
      </c>
      <c r="N145" s="13">
        <v>1998</v>
      </c>
      <c r="O145" s="31">
        <f t="shared" si="17"/>
        <v>36137</v>
      </c>
      <c r="P145" s="13">
        <f t="shared" ca="1" si="18"/>
        <v>27</v>
      </c>
      <c r="Q145" s="29">
        <v>6145</v>
      </c>
      <c r="R145" s="30">
        <f t="shared" si="19"/>
        <v>614.5</v>
      </c>
      <c r="S145" s="30">
        <f t="shared" si="20"/>
        <v>184.35</v>
      </c>
      <c r="T145" s="30">
        <f t="shared" si="21"/>
        <v>5714.85</v>
      </c>
      <c r="U145" s="14" t="str">
        <f t="shared" si="22"/>
        <v>normal</v>
      </c>
      <c r="V145" s="33">
        <f t="shared" si="23"/>
        <v>0.05</v>
      </c>
    </row>
    <row r="146" spans="1:22" ht="15.75" customHeight="1" x14ac:dyDescent="0.25">
      <c r="A146" s="8">
        <v>1145</v>
      </c>
      <c r="B146" s="9" t="s">
        <v>342</v>
      </c>
      <c r="C146" s="9" t="s">
        <v>343</v>
      </c>
      <c r="D146" s="9" t="str">
        <f t="shared" si="16"/>
        <v>Darin Ghunum</v>
      </c>
      <c r="E146" s="9" t="s">
        <v>33</v>
      </c>
      <c r="F146" s="9" t="s">
        <v>952</v>
      </c>
      <c r="G146" s="9" t="s">
        <v>16</v>
      </c>
      <c r="H146" s="10" t="s">
        <v>11</v>
      </c>
      <c r="I146" s="10" t="s">
        <v>23</v>
      </c>
      <c r="J146" s="11" t="s">
        <v>10</v>
      </c>
      <c r="K146" s="9" t="s">
        <v>635</v>
      </c>
      <c r="L146" s="12">
        <v>23</v>
      </c>
      <c r="M146" s="13">
        <v>11</v>
      </c>
      <c r="N146" s="13">
        <v>2018</v>
      </c>
      <c r="O146" s="31">
        <f t="shared" si="17"/>
        <v>43427</v>
      </c>
      <c r="P146" s="13">
        <f t="shared" ca="1" si="18"/>
        <v>7</v>
      </c>
      <c r="Q146" s="29">
        <v>5278</v>
      </c>
      <c r="R146" s="30">
        <f t="shared" si="19"/>
        <v>527.80000000000007</v>
      </c>
      <c r="S146" s="30">
        <f t="shared" si="20"/>
        <v>158.34</v>
      </c>
      <c r="T146" s="30">
        <f t="shared" si="21"/>
        <v>4908.54</v>
      </c>
      <c r="U146" s="14" t="str">
        <f t="shared" si="22"/>
        <v>normal</v>
      </c>
      <c r="V146" s="33">
        <f t="shared" si="23"/>
        <v>0.05</v>
      </c>
    </row>
    <row r="147" spans="1:22" ht="15.75" customHeight="1" x14ac:dyDescent="0.25">
      <c r="A147" s="8">
        <v>1146</v>
      </c>
      <c r="B147" s="9" t="s">
        <v>344</v>
      </c>
      <c r="C147" s="9" t="s">
        <v>345</v>
      </c>
      <c r="D147" s="9" t="str">
        <f t="shared" si="16"/>
        <v>Tariq Bryghl</v>
      </c>
      <c r="E147" s="9" t="s">
        <v>34</v>
      </c>
      <c r="F147" s="9" t="s">
        <v>953</v>
      </c>
      <c r="G147" s="9" t="s">
        <v>16</v>
      </c>
      <c r="H147" s="10" t="s">
        <v>20</v>
      </c>
      <c r="I147" s="10" t="s">
        <v>9</v>
      </c>
      <c r="J147" s="11" t="s">
        <v>12</v>
      </c>
      <c r="K147" s="9" t="s">
        <v>636</v>
      </c>
      <c r="L147" s="12">
        <v>21</v>
      </c>
      <c r="M147" s="13">
        <v>9</v>
      </c>
      <c r="N147" s="13">
        <v>2018</v>
      </c>
      <c r="O147" s="31">
        <f t="shared" si="17"/>
        <v>43364</v>
      </c>
      <c r="P147" s="13">
        <f t="shared" ca="1" si="18"/>
        <v>7</v>
      </c>
      <c r="Q147" s="29">
        <v>6409</v>
      </c>
      <c r="R147" s="30">
        <f t="shared" si="19"/>
        <v>640.90000000000009</v>
      </c>
      <c r="S147" s="30">
        <f t="shared" si="20"/>
        <v>192.26999999999998</v>
      </c>
      <c r="T147" s="30">
        <f t="shared" si="21"/>
        <v>5960.3700000000008</v>
      </c>
      <c r="U147" s="14" t="str">
        <f t="shared" si="22"/>
        <v>normal</v>
      </c>
      <c r="V147" s="33">
        <f t="shared" si="23"/>
        <v>0.05</v>
      </c>
    </row>
    <row r="148" spans="1:22" ht="15.75" customHeight="1" x14ac:dyDescent="0.25">
      <c r="A148" s="8">
        <v>1147</v>
      </c>
      <c r="B148" s="9" t="s">
        <v>74</v>
      </c>
      <c r="C148" s="9" t="s">
        <v>346</v>
      </c>
      <c r="D148" s="9" t="str">
        <f t="shared" si="16"/>
        <v>Rami Abu Adhan</v>
      </c>
      <c r="E148" s="9" t="s">
        <v>34</v>
      </c>
      <c r="F148" s="9" t="s">
        <v>954</v>
      </c>
      <c r="G148" s="9" t="s">
        <v>13</v>
      </c>
      <c r="H148" s="10" t="s">
        <v>8</v>
      </c>
      <c r="I148" s="10" t="s">
        <v>9</v>
      </c>
      <c r="J148" s="11" t="s">
        <v>12</v>
      </c>
      <c r="K148" s="9" t="s">
        <v>637</v>
      </c>
      <c r="L148" s="12">
        <v>4</v>
      </c>
      <c r="M148" s="13">
        <v>12</v>
      </c>
      <c r="N148" s="13">
        <v>1994</v>
      </c>
      <c r="O148" s="31">
        <f t="shared" si="17"/>
        <v>34672</v>
      </c>
      <c r="P148" s="13">
        <f t="shared" ca="1" si="18"/>
        <v>31</v>
      </c>
      <c r="Q148" s="29">
        <v>7478</v>
      </c>
      <c r="R148" s="30">
        <f t="shared" si="19"/>
        <v>747.80000000000007</v>
      </c>
      <c r="S148" s="30">
        <f t="shared" si="20"/>
        <v>224.34</v>
      </c>
      <c r="T148" s="30">
        <f t="shared" si="21"/>
        <v>6954.54</v>
      </c>
      <c r="U148" s="14" t="str">
        <f t="shared" si="22"/>
        <v>over</v>
      </c>
      <c r="V148" s="33">
        <f t="shared" si="23"/>
        <v>0.02</v>
      </c>
    </row>
    <row r="149" spans="1:22" ht="15.75" customHeight="1" x14ac:dyDescent="0.25">
      <c r="A149" s="8">
        <v>1148</v>
      </c>
      <c r="B149" s="9" t="s">
        <v>347</v>
      </c>
      <c r="C149" s="9" t="s">
        <v>348</v>
      </c>
      <c r="D149" s="9" t="str">
        <f t="shared" si="16"/>
        <v>Ehab Alkhibaz</v>
      </c>
      <c r="E149" s="9" t="s">
        <v>34</v>
      </c>
      <c r="F149" s="9" t="s">
        <v>955</v>
      </c>
      <c r="G149" s="9" t="s">
        <v>795</v>
      </c>
      <c r="H149" s="10" t="s">
        <v>8</v>
      </c>
      <c r="I149" s="10" t="s">
        <v>9</v>
      </c>
      <c r="J149" s="11" t="s">
        <v>21</v>
      </c>
      <c r="K149" s="9" t="s">
        <v>638</v>
      </c>
      <c r="L149" s="12">
        <v>2</v>
      </c>
      <c r="M149" s="13">
        <v>6</v>
      </c>
      <c r="N149" s="13">
        <v>2019</v>
      </c>
      <c r="O149" s="31">
        <f t="shared" si="17"/>
        <v>43618</v>
      </c>
      <c r="P149" s="13">
        <f t="shared" ca="1" si="18"/>
        <v>6</v>
      </c>
      <c r="Q149" s="29">
        <v>4621</v>
      </c>
      <c r="R149" s="30">
        <f t="shared" si="19"/>
        <v>462.1</v>
      </c>
      <c r="S149" s="30">
        <f t="shared" si="20"/>
        <v>138.63</v>
      </c>
      <c r="T149" s="30">
        <f t="shared" si="21"/>
        <v>4297.53</v>
      </c>
      <c r="U149" s="14" t="str">
        <f t="shared" si="22"/>
        <v>normal</v>
      </c>
      <c r="V149" s="33">
        <f t="shared" si="23"/>
        <v>0.05</v>
      </c>
    </row>
    <row r="150" spans="1:22" ht="15.75" customHeight="1" x14ac:dyDescent="0.25">
      <c r="A150" s="8">
        <v>1149</v>
      </c>
      <c r="B150" s="9" t="s">
        <v>349</v>
      </c>
      <c r="C150" s="9" t="s">
        <v>350</v>
      </c>
      <c r="D150" s="9" t="str">
        <f t="shared" si="16"/>
        <v>Rym Alsydawi</v>
      </c>
      <c r="E150" s="9" t="s">
        <v>33</v>
      </c>
      <c r="F150" s="9" t="s">
        <v>956</v>
      </c>
      <c r="G150" s="9" t="s">
        <v>16</v>
      </c>
      <c r="H150" s="10" t="s">
        <v>11</v>
      </c>
      <c r="I150" s="10" t="s">
        <v>24</v>
      </c>
      <c r="J150" s="11" t="s">
        <v>12</v>
      </c>
      <c r="K150" s="9" t="s">
        <v>639</v>
      </c>
      <c r="L150" s="12">
        <v>6</v>
      </c>
      <c r="M150" s="13">
        <v>8</v>
      </c>
      <c r="N150" s="13">
        <v>2019</v>
      </c>
      <c r="O150" s="31">
        <f t="shared" si="17"/>
        <v>43683</v>
      </c>
      <c r="P150" s="13">
        <f t="shared" ca="1" si="18"/>
        <v>6</v>
      </c>
      <c r="Q150" s="29">
        <v>2093</v>
      </c>
      <c r="R150" s="30">
        <f t="shared" si="19"/>
        <v>209.3</v>
      </c>
      <c r="S150" s="30">
        <f t="shared" si="20"/>
        <v>62.79</v>
      </c>
      <c r="T150" s="30">
        <f t="shared" si="21"/>
        <v>1946.49</v>
      </c>
      <c r="U150" s="14" t="str">
        <f t="shared" si="22"/>
        <v>normal</v>
      </c>
      <c r="V150" s="33">
        <f t="shared" si="23"/>
        <v>0.08</v>
      </c>
    </row>
    <row r="151" spans="1:22" ht="15.75" customHeight="1" x14ac:dyDescent="0.25">
      <c r="A151" s="8">
        <v>1150</v>
      </c>
      <c r="B151" s="9" t="s">
        <v>52</v>
      </c>
      <c r="C151" s="9" t="s">
        <v>351</v>
      </c>
      <c r="D151" s="9" t="str">
        <f t="shared" si="16"/>
        <v>Alaa Almunzilijiu</v>
      </c>
      <c r="E151" s="9" t="s">
        <v>34</v>
      </c>
      <c r="F151" s="9" t="s">
        <v>957</v>
      </c>
      <c r="G151" s="9" t="s">
        <v>795</v>
      </c>
      <c r="H151" s="10" t="s">
        <v>14</v>
      </c>
      <c r="I151" s="10" t="s">
        <v>198</v>
      </c>
      <c r="J151" s="11" t="s">
        <v>12</v>
      </c>
      <c r="K151" s="9" t="s">
        <v>640</v>
      </c>
      <c r="L151" s="12">
        <v>10</v>
      </c>
      <c r="M151" s="13">
        <v>2</v>
      </c>
      <c r="N151" s="13">
        <v>1992</v>
      </c>
      <c r="O151" s="31">
        <f t="shared" si="17"/>
        <v>33644</v>
      </c>
      <c r="P151" s="13">
        <f t="shared" ca="1" si="18"/>
        <v>34</v>
      </c>
      <c r="Q151" s="29">
        <v>7333</v>
      </c>
      <c r="R151" s="30">
        <f t="shared" si="19"/>
        <v>733.30000000000007</v>
      </c>
      <c r="S151" s="30">
        <f t="shared" si="20"/>
        <v>219.98999999999998</v>
      </c>
      <c r="T151" s="30">
        <f t="shared" si="21"/>
        <v>6819.69</v>
      </c>
      <c r="U151" s="14" t="str">
        <f t="shared" si="22"/>
        <v>over</v>
      </c>
      <c r="V151" s="33">
        <f t="shared" si="23"/>
        <v>0.02</v>
      </c>
    </row>
    <row r="152" spans="1:22" ht="15.75" customHeight="1" x14ac:dyDescent="0.25">
      <c r="A152" s="8">
        <v>1151</v>
      </c>
      <c r="B152" s="9" t="s">
        <v>326</v>
      </c>
      <c r="C152" s="9" t="s">
        <v>352</v>
      </c>
      <c r="D152" s="9" t="str">
        <f t="shared" si="16"/>
        <v>Omar Milatu</v>
      </c>
      <c r="E152" s="9" t="s">
        <v>34</v>
      </c>
      <c r="F152" s="9" t="s">
        <v>958</v>
      </c>
      <c r="G152" s="9" t="s">
        <v>16</v>
      </c>
      <c r="H152" s="10" t="s">
        <v>14</v>
      </c>
      <c r="I152" s="10" t="s">
        <v>15</v>
      </c>
      <c r="J152" s="11" t="s">
        <v>10</v>
      </c>
      <c r="K152" s="9" t="s">
        <v>641</v>
      </c>
      <c r="L152" s="12">
        <v>22</v>
      </c>
      <c r="M152" s="13">
        <v>10</v>
      </c>
      <c r="N152" s="13">
        <v>1992</v>
      </c>
      <c r="O152" s="31">
        <f t="shared" si="17"/>
        <v>33899</v>
      </c>
      <c r="P152" s="13">
        <f t="shared" ca="1" si="18"/>
        <v>33</v>
      </c>
      <c r="Q152" s="29">
        <v>1194</v>
      </c>
      <c r="R152" s="30">
        <f t="shared" si="19"/>
        <v>119.4</v>
      </c>
      <c r="S152" s="30">
        <f t="shared" si="20"/>
        <v>35.82</v>
      </c>
      <c r="T152" s="30">
        <f t="shared" si="21"/>
        <v>1110.4199999999998</v>
      </c>
      <c r="U152" s="14" t="str">
        <f t="shared" si="22"/>
        <v>normal</v>
      </c>
      <c r="V152" s="33">
        <f t="shared" si="23"/>
        <v>0.08</v>
      </c>
    </row>
    <row r="153" spans="1:22" ht="15.75" customHeight="1" x14ac:dyDescent="0.25">
      <c r="A153" s="8">
        <v>1152</v>
      </c>
      <c r="B153" s="9" t="s">
        <v>353</v>
      </c>
      <c r="C153" s="9" t="s">
        <v>354</v>
      </c>
      <c r="D153" s="9" t="str">
        <f t="shared" si="16"/>
        <v>Zunar Eali</v>
      </c>
      <c r="E153" s="9" t="s">
        <v>34</v>
      </c>
      <c r="F153" s="9" t="s">
        <v>959</v>
      </c>
      <c r="G153" s="9" t="s">
        <v>7</v>
      </c>
      <c r="H153" s="10" t="s">
        <v>11</v>
      </c>
      <c r="I153" s="10" t="s">
        <v>15</v>
      </c>
      <c r="J153" s="11" t="s">
        <v>10</v>
      </c>
      <c r="K153" s="9" t="s">
        <v>642</v>
      </c>
      <c r="L153" s="12">
        <v>8</v>
      </c>
      <c r="M153" s="13">
        <v>2</v>
      </c>
      <c r="N153" s="13">
        <v>1991</v>
      </c>
      <c r="O153" s="31">
        <f t="shared" si="17"/>
        <v>33277</v>
      </c>
      <c r="P153" s="13">
        <f t="shared" ca="1" si="18"/>
        <v>35</v>
      </c>
      <c r="Q153" s="29">
        <v>5118</v>
      </c>
      <c r="R153" s="30">
        <f t="shared" si="19"/>
        <v>511.8</v>
      </c>
      <c r="S153" s="30">
        <f t="shared" si="20"/>
        <v>153.54</v>
      </c>
      <c r="T153" s="30">
        <f t="shared" si="21"/>
        <v>4759.74</v>
      </c>
      <c r="U153" s="14" t="str">
        <f t="shared" si="22"/>
        <v>normal</v>
      </c>
      <c r="V153" s="33">
        <f t="shared" si="23"/>
        <v>0.05</v>
      </c>
    </row>
    <row r="154" spans="1:22" ht="15.75" customHeight="1" x14ac:dyDescent="0.25">
      <c r="A154" s="8">
        <v>1153</v>
      </c>
      <c r="B154" s="9" t="s">
        <v>355</v>
      </c>
      <c r="C154" s="9" t="s">
        <v>356</v>
      </c>
      <c r="D154" s="9" t="str">
        <f t="shared" si="16"/>
        <v>Ghazal Hisan</v>
      </c>
      <c r="E154" s="9" t="s">
        <v>33</v>
      </c>
      <c r="F154" s="9" t="s">
        <v>960</v>
      </c>
      <c r="G154" s="9" t="s">
        <v>16</v>
      </c>
      <c r="H154" s="10" t="s">
        <v>11</v>
      </c>
      <c r="I154" s="10" t="s">
        <v>25</v>
      </c>
      <c r="J154" s="11" t="s">
        <v>21</v>
      </c>
      <c r="K154" s="9" t="s">
        <v>643</v>
      </c>
      <c r="L154" s="12">
        <v>15</v>
      </c>
      <c r="M154" s="13">
        <v>3</v>
      </c>
      <c r="N154" s="13">
        <v>2023</v>
      </c>
      <c r="O154" s="31">
        <f t="shared" si="17"/>
        <v>45000</v>
      </c>
      <c r="P154" s="13">
        <f t="shared" ca="1" si="18"/>
        <v>3</v>
      </c>
      <c r="Q154" s="29">
        <v>5373</v>
      </c>
      <c r="R154" s="30">
        <f t="shared" si="19"/>
        <v>537.30000000000007</v>
      </c>
      <c r="S154" s="30">
        <f t="shared" si="20"/>
        <v>161.19</v>
      </c>
      <c r="T154" s="30">
        <f t="shared" si="21"/>
        <v>4996.8899999999994</v>
      </c>
      <c r="U154" s="14" t="str">
        <f t="shared" si="22"/>
        <v>normal</v>
      </c>
      <c r="V154" s="33">
        <f t="shared" si="23"/>
        <v>0.05</v>
      </c>
    </row>
    <row r="155" spans="1:22" ht="15.75" customHeight="1" x14ac:dyDescent="0.25">
      <c r="A155" s="8">
        <v>1154</v>
      </c>
      <c r="B155" s="9" t="s">
        <v>357</v>
      </c>
      <c r="C155" s="9" t="s">
        <v>358</v>
      </c>
      <c r="D155" s="9" t="str">
        <f t="shared" si="16"/>
        <v>Majd Yasin</v>
      </c>
      <c r="E155" s="9" t="s">
        <v>33</v>
      </c>
      <c r="F155" s="9" t="s">
        <v>961</v>
      </c>
      <c r="G155" s="9" t="s">
        <v>16</v>
      </c>
      <c r="H155" s="10" t="s">
        <v>8</v>
      </c>
      <c r="I155" s="10" t="s">
        <v>26</v>
      </c>
      <c r="J155" s="11" t="s">
        <v>12</v>
      </c>
      <c r="K155" s="9" t="s">
        <v>644</v>
      </c>
      <c r="L155" s="12">
        <v>20</v>
      </c>
      <c r="M155" s="13">
        <v>8</v>
      </c>
      <c r="N155" s="13">
        <v>2004</v>
      </c>
      <c r="O155" s="31">
        <f t="shared" si="17"/>
        <v>38219</v>
      </c>
      <c r="P155" s="13">
        <f t="shared" ca="1" si="18"/>
        <v>21</v>
      </c>
      <c r="Q155" s="29">
        <v>1708</v>
      </c>
      <c r="R155" s="30">
        <f t="shared" si="19"/>
        <v>170.8</v>
      </c>
      <c r="S155" s="30">
        <f t="shared" si="20"/>
        <v>51.239999999999995</v>
      </c>
      <c r="T155" s="30">
        <f t="shared" si="21"/>
        <v>1588.44</v>
      </c>
      <c r="U155" s="14" t="str">
        <f t="shared" si="22"/>
        <v>normal</v>
      </c>
      <c r="V155" s="33">
        <f t="shared" si="23"/>
        <v>0.08</v>
      </c>
    </row>
    <row r="156" spans="1:22" ht="15.75" customHeight="1" x14ac:dyDescent="0.25">
      <c r="A156" s="8">
        <v>1155</v>
      </c>
      <c r="B156" s="9" t="s">
        <v>359</v>
      </c>
      <c r="C156" s="9" t="s">
        <v>360</v>
      </c>
      <c r="D156" s="9" t="str">
        <f t="shared" si="16"/>
        <v>Muwmin Ewad</v>
      </c>
      <c r="E156" s="9" t="s">
        <v>34</v>
      </c>
      <c r="F156" s="9" t="s">
        <v>962</v>
      </c>
      <c r="G156" s="9" t="s">
        <v>18</v>
      </c>
      <c r="H156" s="10" t="s">
        <v>8</v>
      </c>
      <c r="I156" s="10" t="s">
        <v>198</v>
      </c>
      <c r="J156" s="11" t="s">
        <v>10</v>
      </c>
      <c r="K156" s="9" t="s">
        <v>645</v>
      </c>
      <c r="L156" s="12">
        <v>10</v>
      </c>
      <c r="M156" s="13">
        <v>1</v>
      </c>
      <c r="N156" s="13">
        <v>1996</v>
      </c>
      <c r="O156" s="31">
        <f t="shared" si="17"/>
        <v>35074</v>
      </c>
      <c r="P156" s="13">
        <f t="shared" ca="1" si="18"/>
        <v>30</v>
      </c>
      <c r="Q156" s="29">
        <v>2898</v>
      </c>
      <c r="R156" s="30">
        <f t="shared" si="19"/>
        <v>289.8</v>
      </c>
      <c r="S156" s="30">
        <f t="shared" si="20"/>
        <v>86.94</v>
      </c>
      <c r="T156" s="30">
        <f t="shared" si="21"/>
        <v>2695.14</v>
      </c>
      <c r="U156" s="14" t="str">
        <f t="shared" si="22"/>
        <v>normal</v>
      </c>
      <c r="V156" s="33">
        <f t="shared" si="23"/>
        <v>0.08</v>
      </c>
    </row>
    <row r="157" spans="1:22" ht="15.75" customHeight="1" x14ac:dyDescent="0.25">
      <c r="A157" s="8">
        <v>1156</v>
      </c>
      <c r="B157" s="9" t="s">
        <v>361</v>
      </c>
      <c r="C157" s="9" t="s">
        <v>362</v>
      </c>
      <c r="D157" s="9" t="str">
        <f t="shared" si="16"/>
        <v>Samiah Alsaedi</v>
      </c>
      <c r="E157" s="9" t="s">
        <v>33</v>
      </c>
      <c r="F157" s="9" t="s">
        <v>963</v>
      </c>
      <c r="G157" s="9" t="s">
        <v>7</v>
      </c>
      <c r="H157" s="10" t="s">
        <v>8</v>
      </c>
      <c r="I157" s="10" t="s">
        <v>23</v>
      </c>
      <c r="J157" s="11" t="s">
        <v>19</v>
      </c>
      <c r="K157" s="9" t="s">
        <v>646</v>
      </c>
      <c r="L157" s="12">
        <v>17</v>
      </c>
      <c r="M157" s="13">
        <v>3</v>
      </c>
      <c r="N157" s="13">
        <v>2008</v>
      </c>
      <c r="O157" s="31">
        <f t="shared" si="17"/>
        <v>39524</v>
      </c>
      <c r="P157" s="13">
        <f t="shared" ca="1" si="18"/>
        <v>18</v>
      </c>
      <c r="Q157" s="29">
        <v>6211</v>
      </c>
      <c r="R157" s="30">
        <f t="shared" si="19"/>
        <v>621.1</v>
      </c>
      <c r="S157" s="30">
        <f t="shared" si="20"/>
        <v>186.32999999999998</v>
      </c>
      <c r="T157" s="30">
        <f t="shared" si="21"/>
        <v>5776.23</v>
      </c>
      <c r="U157" s="14" t="str">
        <f t="shared" si="22"/>
        <v>normal</v>
      </c>
      <c r="V157" s="33">
        <f t="shared" si="23"/>
        <v>0.05</v>
      </c>
    </row>
    <row r="158" spans="1:22" ht="15.75" customHeight="1" x14ac:dyDescent="0.25">
      <c r="A158" s="8">
        <v>1157</v>
      </c>
      <c r="B158" s="9" t="s">
        <v>363</v>
      </c>
      <c r="C158" s="9" t="s">
        <v>126</v>
      </c>
      <c r="D158" s="9" t="str">
        <f t="shared" si="16"/>
        <v>Bisam Almisri</v>
      </c>
      <c r="E158" s="9" t="s">
        <v>33</v>
      </c>
      <c r="F158" s="9" t="s">
        <v>964</v>
      </c>
      <c r="G158" s="9" t="s">
        <v>18</v>
      </c>
      <c r="H158" s="10" t="s">
        <v>11</v>
      </c>
      <c r="I158" s="10" t="s">
        <v>9</v>
      </c>
      <c r="J158" s="11" t="s">
        <v>12</v>
      </c>
      <c r="K158" s="9" t="s">
        <v>647</v>
      </c>
      <c r="L158" s="12">
        <v>4</v>
      </c>
      <c r="M158" s="13">
        <v>9</v>
      </c>
      <c r="N158" s="13">
        <v>2020</v>
      </c>
      <c r="O158" s="31">
        <f t="shared" si="17"/>
        <v>44078</v>
      </c>
      <c r="P158" s="13">
        <f t="shared" ca="1" si="18"/>
        <v>5</v>
      </c>
      <c r="Q158" s="29">
        <v>5976</v>
      </c>
      <c r="R158" s="30">
        <f t="shared" si="19"/>
        <v>597.6</v>
      </c>
      <c r="S158" s="30">
        <f t="shared" si="20"/>
        <v>179.28</v>
      </c>
      <c r="T158" s="30">
        <f t="shared" si="21"/>
        <v>5557.6799999999994</v>
      </c>
      <c r="U158" s="14" t="str">
        <f t="shared" si="22"/>
        <v>normal</v>
      </c>
      <c r="V158" s="33">
        <f t="shared" si="23"/>
        <v>0.05</v>
      </c>
    </row>
    <row r="159" spans="1:22" ht="15.75" customHeight="1" x14ac:dyDescent="0.25">
      <c r="A159" s="8">
        <v>1158</v>
      </c>
      <c r="B159" s="9" t="s">
        <v>264</v>
      </c>
      <c r="C159" s="9" t="s">
        <v>364</v>
      </c>
      <c r="D159" s="9" t="str">
        <f t="shared" si="16"/>
        <v>Abd Alruhmin Alnasar</v>
      </c>
      <c r="E159" s="9" t="s">
        <v>34</v>
      </c>
      <c r="F159" s="9" t="s">
        <v>965</v>
      </c>
      <c r="G159" s="9" t="s">
        <v>18</v>
      </c>
      <c r="H159" s="10" t="s">
        <v>11</v>
      </c>
      <c r="I159" s="10" t="s">
        <v>9</v>
      </c>
      <c r="J159" s="11" t="s">
        <v>10</v>
      </c>
      <c r="K159" s="9" t="s">
        <v>648</v>
      </c>
      <c r="L159" s="12">
        <v>20</v>
      </c>
      <c r="M159" s="13">
        <v>6</v>
      </c>
      <c r="N159" s="13">
        <v>2013</v>
      </c>
      <c r="O159" s="31">
        <f t="shared" si="17"/>
        <v>41445</v>
      </c>
      <c r="P159" s="13">
        <f t="shared" ca="1" si="18"/>
        <v>12</v>
      </c>
      <c r="Q159" s="29">
        <v>742</v>
      </c>
      <c r="R159" s="30">
        <f t="shared" si="19"/>
        <v>74.2</v>
      </c>
      <c r="S159" s="30">
        <f t="shared" si="20"/>
        <v>22.259999999999998</v>
      </c>
      <c r="T159" s="30">
        <f t="shared" si="21"/>
        <v>690.06</v>
      </c>
      <c r="U159" s="14" t="str">
        <f t="shared" si="22"/>
        <v>normal</v>
      </c>
      <c r="V159" s="33">
        <f t="shared" si="23"/>
        <v>0.1</v>
      </c>
    </row>
    <row r="160" spans="1:22" ht="15.75" customHeight="1" x14ac:dyDescent="0.25">
      <c r="A160" s="8">
        <v>1159</v>
      </c>
      <c r="B160" s="9" t="s">
        <v>85</v>
      </c>
      <c r="C160" s="9" t="s">
        <v>365</v>
      </c>
      <c r="D160" s="9" t="str">
        <f t="shared" si="16"/>
        <v>Rima Dwalyby</v>
      </c>
      <c r="E160" s="9" t="s">
        <v>33</v>
      </c>
      <c r="F160" s="9" t="s">
        <v>966</v>
      </c>
      <c r="G160" s="9" t="s">
        <v>13</v>
      </c>
      <c r="H160" s="10" t="s">
        <v>8</v>
      </c>
      <c r="I160" s="10" t="s">
        <v>24</v>
      </c>
      <c r="J160" s="11" t="s">
        <v>10</v>
      </c>
      <c r="K160" s="9" t="s">
        <v>649</v>
      </c>
      <c r="L160" s="12">
        <v>13</v>
      </c>
      <c r="M160" s="13">
        <v>1</v>
      </c>
      <c r="N160" s="13">
        <v>2021</v>
      </c>
      <c r="O160" s="31">
        <f t="shared" si="17"/>
        <v>44209</v>
      </c>
      <c r="P160" s="13">
        <f t="shared" ca="1" si="18"/>
        <v>5</v>
      </c>
      <c r="Q160" s="29">
        <v>5918</v>
      </c>
      <c r="R160" s="30">
        <f t="shared" si="19"/>
        <v>591.80000000000007</v>
      </c>
      <c r="S160" s="30">
        <f t="shared" si="20"/>
        <v>177.54</v>
      </c>
      <c r="T160" s="30">
        <f t="shared" si="21"/>
        <v>5503.74</v>
      </c>
      <c r="U160" s="14" t="str">
        <f t="shared" si="22"/>
        <v>normal</v>
      </c>
      <c r="V160" s="33">
        <f t="shared" si="23"/>
        <v>0.05</v>
      </c>
    </row>
    <row r="161" spans="1:22" ht="15.75" customHeight="1" x14ac:dyDescent="0.25">
      <c r="A161" s="8">
        <v>1160</v>
      </c>
      <c r="B161" s="9" t="s">
        <v>366</v>
      </c>
      <c r="C161" s="9" t="s">
        <v>367</v>
      </c>
      <c r="D161" s="9" t="str">
        <f t="shared" si="16"/>
        <v>Rashad Iidris</v>
      </c>
      <c r="E161" s="9" t="s">
        <v>34</v>
      </c>
      <c r="F161" s="9" t="s">
        <v>967</v>
      </c>
      <c r="G161" s="9" t="s">
        <v>13</v>
      </c>
      <c r="H161" s="10" t="s">
        <v>20</v>
      </c>
      <c r="I161" s="10" t="s">
        <v>15</v>
      </c>
      <c r="J161" s="11" t="s">
        <v>21</v>
      </c>
      <c r="K161" s="9" t="s">
        <v>650</v>
      </c>
      <c r="L161" s="12">
        <v>25</v>
      </c>
      <c r="M161" s="13">
        <v>9</v>
      </c>
      <c r="N161" s="13">
        <v>2008</v>
      </c>
      <c r="O161" s="31">
        <f t="shared" si="17"/>
        <v>39716</v>
      </c>
      <c r="P161" s="13">
        <f t="shared" ca="1" si="18"/>
        <v>17</v>
      </c>
      <c r="Q161" s="29">
        <v>3074</v>
      </c>
      <c r="R161" s="30">
        <f t="shared" si="19"/>
        <v>307.40000000000003</v>
      </c>
      <c r="S161" s="30">
        <f t="shared" si="20"/>
        <v>92.22</v>
      </c>
      <c r="T161" s="30">
        <f t="shared" si="21"/>
        <v>2858.8199999999997</v>
      </c>
      <c r="U161" s="14" t="str">
        <f t="shared" si="22"/>
        <v>normal</v>
      </c>
      <c r="V161" s="33">
        <f t="shared" si="23"/>
        <v>0.08</v>
      </c>
    </row>
    <row r="162" spans="1:22" ht="15.75" customHeight="1" x14ac:dyDescent="0.25">
      <c r="A162" s="8">
        <v>1161</v>
      </c>
      <c r="B162" s="9" t="s">
        <v>368</v>
      </c>
      <c r="C162" s="9" t="s">
        <v>369</v>
      </c>
      <c r="D162" s="9" t="str">
        <f t="shared" si="16"/>
        <v>Fuad Alsyqly</v>
      </c>
      <c r="E162" s="9" t="s">
        <v>34</v>
      </c>
      <c r="F162" s="9" t="s">
        <v>968</v>
      </c>
      <c r="G162" s="9" t="s">
        <v>18</v>
      </c>
      <c r="H162" s="10" t="s">
        <v>8</v>
      </c>
      <c r="I162" s="10" t="s">
        <v>9</v>
      </c>
      <c r="J162" s="11" t="s">
        <v>21</v>
      </c>
      <c r="K162" s="9" t="s">
        <v>651</v>
      </c>
      <c r="L162" s="12">
        <v>11</v>
      </c>
      <c r="M162" s="13">
        <v>2</v>
      </c>
      <c r="N162" s="13">
        <v>1994</v>
      </c>
      <c r="O162" s="31">
        <f t="shared" si="17"/>
        <v>34376</v>
      </c>
      <c r="P162" s="13">
        <f t="shared" ca="1" si="18"/>
        <v>32</v>
      </c>
      <c r="Q162" s="29">
        <v>5688</v>
      </c>
      <c r="R162" s="30">
        <f t="shared" si="19"/>
        <v>568.80000000000007</v>
      </c>
      <c r="S162" s="30">
        <f t="shared" si="20"/>
        <v>170.64</v>
      </c>
      <c r="T162" s="30">
        <f t="shared" si="21"/>
        <v>5289.84</v>
      </c>
      <c r="U162" s="14" t="str">
        <f t="shared" si="22"/>
        <v>normal</v>
      </c>
      <c r="V162" s="33">
        <f t="shared" si="23"/>
        <v>0.05</v>
      </c>
    </row>
    <row r="163" spans="1:22" ht="15.75" customHeight="1" x14ac:dyDescent="0.25">
      <c r="A163" s="8">
        <v>1162</v>
      </c>
      <c r="B163" s="9" t="s">
        <v>31</v>
      </c>
      <c r="C163" s="9" t="s">
        <v>370</v>
      </c>
      <c r="D163" s="9" t="str">
        <f t="shared" si="16"/>
        <v>Ibrahim Alyasin</v>
      </c>
      <c r="E163" s="9" t="s">
        <v>34</v>
      </c>
      <c r="F163" s="9" t="s">
        <v>969</v>
      </c>
      <c r="G163" s="9" t="s">
        <v>13</v>
      </c>
      <c r="H163" s="10" t="s">
        <v>11</v>
      </c>
      <c r="I163" s="10" t="s">
        <v>9</v>
      </c>
      <c r="J163" s="11" t="s">
        <v>19</v>
      </c>
      <c r="K163" s="9" t="s">
        <v>652</v>
      </c>
      <c r="L163" s="12">
        <v>22</v>
      </c>
      <c r="M163" s="13">
        <v>3</v>
      </c>
      <c r="N163" s="13">
        <v>2022</v>
      </c>
      <c r="O163" s="31">
        <f t="shared" si="17"/>
        <v>44642</v>
      </c>
      <c r="P163" s="13">
        <f t="shared" ca="1" si="18"/>
        <v>4</v>
      </c>
      <c r="Q163" s="29">
        <v>3362</v>
      </c>
      <c r="R163" s="30">
        <f t="shared" si="19"/>
        <v>336.20000000000005</v>
      </c>
      <c r="S163" s="30">
        <f t="shared" si="20"/>
        <v>100.86</v>
      </c>
      <c r="T163" s="30">
        <f t="shared" si="21"/>
        <v>3126.66</v>
      </c>
      <c r="U163" s="14" t="str">
        <f t="shared" si="22"/>
        <v>normal</v>
      </c>
      <c r="V163" s="33">
        <f t="shared" si="23"/>
        <v>0.05</v>
      </c>
    </row>
    <row r="164" spans="1:22" ht="15.75" customHeight="1" x14ac:dyDescent="0.25">
      <c r="A164" s="8">
        <v>1163</v>
      </c>
      <c r="B164" s="9" t="s">
        <v>39</v>
      </c>
      <c r="C164" s="9" t="s">
        <v>371</v>
      </c>
      <c r="D164" s="9" t="str">
        <f t="shared" si="16"/>
        <v>Iin Mulaliyun</v>
      </c>
      <c r="E164" s="9" t="s">
        <v>33</v>
      </c>
      <c r="F164" s="9" t="s">
        <v>970</v>
      </c>
      <c r="G164" s="9" t="s">
        <v>16</v>
      </c>
      <c r="H164" s="10" t="s">
        <v>14</v>
      </c>
      <c r="I164" s="10" t="s">
        <v>9</v>
      </c>
      <c r="J164" s="11" t="s">
        <v>10</v>
      </c>
      <c r="K164" s="9" t="s">
        <v>653</v>
      </c>
      <c r="L164" s="12">
        <v>4</v>
      </c>
      <c r="M164" s="13">
        <v>9</v>
      </c>
      <c r="N164" s="13">
        <v>2016</v>
      </c>
      <c r="O164" s="31">
        <f t="shared" si="17"/>
        <v>42617</v>
      </c>
      <c r="P164" s="13">
        <f t="shared" ca="1" si="18"/>
        <v>9</v>
      </c>
      <c r="Q164" s="29">
        <v>6043</v>
      </c>
      <c r="R164" s="30">
        <f t="shared" si="19"/>
        <v>604.30000000000007</v>
      </c>
      <c r="S164" s="30">
        <f t="shared" si="20"/>
        <v>181.29</v>
      </c>
      <c r="T164" s="30">
        <f t="shared" si="21"/>
        <v>5619.99</v>
      </c>
      <c r="U164" s="14" t="str">
        <f t="shared" si="22"/>
        <v>normal</v>
      </c>
      <c r="V164" s="33">
        <f t="shared" si="23"/>
        <v>0.05</v>
      </c>
    </row>
    <row r="165" spans="1:22" ht="15.75" customHeight="1" x14ac:dyDescent="0.25">
      <c r="A165" s="8">
        <v>1164</v>
      </c>
      <c r="B165" s="9" t="s">
        <v>372</v>
      </c>
      <c r="C165" s="9" t="s">
        <v>373</v>
      </c>
      <c r="D165" s="9" t="str">
        <f t="shared" si="16"/>
        <v>Khadijah Abu Taqih</v>
      </c>
      <c r="E165" s="9" t="s">
        <v>33</v>
      </c>
      <c r="F165" s="9" t="s">
        <v>971</v>
      </c>
      <c r="G165" s="9" t="s">
        <v>16</v>
      </c>
      <c r="H165" s="10" t="s">
        <v>11</v>
      </c>
      <c r="I165" s="10" t="s">
        <v>9</v>
      </c>
      <c r="J165" s="11" t="s">
        <v>12</v>
      </c>
      <c r="K165" s="9" t="s">
        <v>654</v>
      </c>
      <c r="L165" s="12">
        <v>28</v>
      </c>
      <c r="M165" s="13">
        <v>1</v>
      </c>
      <c r="N165" s="13">
        <v>1998</v>
      </c>
      <c r="O165" s="31">
        <f t="shared" si="17"/>
        <v>35823</v>
      </c>
      <c r="P165" s="13">
        <f t="shared" ca="1" si="18"/>
        <v>28</v>
      </c>
      <c r="Q165" s="29">
        <v>6260</v>
      </c>
      <c r="R165" s="30">
        <f t="shared" si="19"/>
        <v>626</v>
      </c>
      <c r="S165" s="30">
        <f t="shared" si="20"/>
        <v>187.79999999999998</v>
      </c>
      <c r="T165" s="30">
        <f t="shared" si="21"/>
        <v>5821.8</v>
      </c>
      <c r="U165" s="14" t="str">
        <f t="shared" si="22"/>
        <v>normal</v>
      </c>
      <c r="V165" s="33">
        <f t="shared" si="23"/>
        <v>0.05</v>
      </c>
    </row>
    <row r="166" spans="1:22" ht="15.75" customHeight="1" x14ac:dyDescent="0.25">
      <c r="A166" s="8">
        <v>1165</v>
      </c>
      <c r="B166" s="9" t="s">
        <v>374</v>
      </c>
      <c r="C166" s="9" t="s">
        <v>375</v>
      </c>
      <c r="D166" s="9" t="str">
        <f t="shared" si="16"/>
        <v>Sandurana Antun</v>
      </c>
      <c r="E166" s="9" t="s">
        <v>33</v>
      </c>
      <c r="F166" s="9" t="s">
        <v>972</v>
      </c>
      <c r="G166" s="9" t="s">
        <v>16</v>
      </c>
      <c r="H166" s="10" t="s">
        <v>20</v>
      </c>
      <c r="I166" s="10" t="s">
        <v>9</v>
      </c>
      <c r="J166" s="11" t="s">
        <v>21</v>
      </c>
      <c r="K166" s="9" t="s">
        <v>655</v>
      </c>
      <c r="L166" s="12">
        <v>15</v>
      </c>
      <c r="M166" s="13">
        <v>1</v>
      </c>
      <c r="N166" s="13">
        <v>2023</v>
      </c>
      <c r="O166" s="31">
        <f t="shared" si="17"/>
        <v>44941</v>
      </c>
      <c r="P166" s="13">
        <f t="shared" ca="1" si="18"/>
        <v>3</v>
      </c>
      <c r="Q166" s="29">
        <v>3754</v>
      </c>
      <c r="R166" s="30">
        <f t="shared" si="19"/>
        <v>375.40000000000003</v>
      </c>
      <c r="S166" s="30">
        <f t="shared" si="20"/>
        <v>112.61999999999999</v>
      </c>
      <c r="T166" s="30">
        <f t="shared" si="21"/>
        <v>3491.22</v>
      </c>
      <c r="U166" s="14" t="str">
        <f t="shared" si="22"/>
        <v>normal</v>
      </c>
      <c r="V166" s="33">
        <f t="shared" si="23"/>
        <v>0.05</v>
      </c>
    </row>
    <row r="167" spans="1:22" ht="15.75" customHeight="1" x14ac:dyDescent="0.25">
      <c r="A167" s="8">
        <v>1166</v>
      </c>
      <c r="B167" s="9" t="s">
        <v>344</v>
      </c>
      <c r="C167" s="9" t="s">
        <v>376</v>
      </c>
      <c r="D167" s="9" t="str">
        <f t="shared" si="16"/>
        <v>Tariq Alkinaya</v>
      </c>
      <c r="E167" s="9" t="s">
        <v>34</v>
      </c>
      <c r="F167" s="9" t="s">
        <v>973</v>
      </c>
      <c r="G167" s="9" t="s">
        <v>13</v>
      </c>
      <c r="H167" s="10" t="s">
        <v>14</v>
      </c>
      <c r="I167" s="10" t="s">
        <v>22</v>
      </c>
      <c r="J167" s="11" t="s">
        <v>19</v>
      </c>
      <c r="K167" s="9" t="s">
        <v>656</v>
      </c>
      <c r="L167" s="12">
        <v>1</v>
      </c>
      <c r="M167" s="13">
        <v>12</v>
      </c>
      <c r="N167" s="13">
        <v>2010</v>
      </c>
      <c r="O167" s="31">
        <f t="shared" si="17"/>
        <v>40513</v>
      </c>
      <c r="P167" s="13">
        <f t="shared" ca="1" si="18"/>
        <v>15</v>
      </c>
      <c r="Q167" s="29">
        <v>6579</v>
      </c>
      <c r="R167" s="30">
        <f t="shared" si="19"/>
        <v>657.90000000000009</v>
      </c>
      <c r="S167" s="30">
        <f t="shared" si="20"/>
        <v>197.37</v>
      </c>
      <c r="T167" s="30">
        <f t="shared" si="21"/>
        <v>6118.4699999999993</v>
      </c>
      <c r="U167" s="14" t="str">
        <f t="shared" si="22"/>
        <v>over</v>
      </c>
      <c r="V167" s="33">
        <f t="shared" si="23"/>
        <v>0.02</v>
      </c>
    </row>
    <row r="168" spans="1:22" ht="15.75" customHeight="1" x14ac:dyDescent="0.25">
      <c r="A168" s="8">
        <v>1167</v>
      </c>
      <c r="B168" s="9" t="s">
        <v>101</v>
      </c>
      <c r="C168" s="9" t="s">
        <v>377</v>
      </c>
      <c r="D168" s="9" t="str">
        <f t="shared" si="16"/>
        <v>Sami Qareush</v>
      </c>
      <c r="E168" s="9" t="s">
        <v>34</v>
      </c>
      <c r="F168" s="9" t="s">
        <v>974</v>
      </c>
      <c r="G168" s="9" t="s">
        <v>16</v>
      </c>
      <c r="H168" s="10" t="s">
        <v>8</v>
      </c>
      <c r="I168" s="10" t="s">
        <v>17</v>
      </c>
      <c r="J168" s="11" t="s">
        <v>12</v>
      </c>
      <c r="K168" s="9" t="s">
        <v>657</v>
      </c>
      <c r="L168" s="12">
        <v>25</v>
      </c>
      <c r="M168" s="13">
        <v>2</v>
      </c>
      <c r="N168" s="13">
        <v>2004</v>
      </c>
      <c r="O168" s="31">
        <f t="shared" si="17"/>
        <v>38042</v>
      </c>
      <c r="P168" s="13">
        <f t="shared" ca="1" si="18"/>
        <v>22</v>
      </c>
      <c r="Q168" s="29">
        <v>5373</v>
      </c>
      <c r="R168" s="30">
        <f t="shared" si="19"/>
        <v>537.30000000000007</v>
      </c>
      <c r="S168" s="30">
        <f t="shared" si="20"/>
        <v>161.19</v>
      </c>
      <c r="T168" s="30">
        <f t="shared" si="21"/>
        <v>4996.8899999999994</v>
      </c>
      <c r="U168" s="14" t="str">
        <f t="shared" si="22"/>
        <v>normal</v>
      </c>
      <c r="V168" s="33">
        <f t="shared" si="23"/>
        <v>0.05</v>
      </c>
    </row>
    <row r="169" spans="1:22" ht="15.75" customHeight="1" x14ac:dyDescent="0.25">
      <c r="A169" s="8">
        <v>1168</v>
      </c>
      <c r="B169" s="9" t="s">
        <v>378</v>
      </c>
      <c r="C169" s="9" t="s">
        <v>379</v>
      </c>
      <c r="D169" s="9" t="str">
        <f t="shared" si="16"/>
        <v>Kholoud Khayti</v>
      </c>
      <c r="E169" s="9" t="s">
        <v>33</v>
      </c>
      <c r="F169" s="9" t="s">
        <v>975</v>
      </c>
      <c r="G169" s="9" t="s">
        <v>13</v>
      </c>
      <c r="H169" s="10" t="s">
        <v>8</v>
      </c>
      <c r="I169" s="10" t="s">
        <v>15</v>
      </c>
      <c r="J169" s="11" t="s">
        <v>12</v>
      </c>
      <c r="K169" s="9" t="s">
        <v>658</v>
      </c>
      <c r="L169" s="12">
        <v>6</v>
      </c>
      <c r="M169" s="13">
        <v>10</v>
      </c>
      <c r="N169" s="13">
        <v>1990</v>
      </c>
      <c r="O169" s="31">
        <f t="shared" si="17"/>
        <v>33152</v>
      </c>
      <c r="P169" s="13">
        <f t="shared" ca="1" si="18"/>
        <v>35</v>
      </c>
      <c r="Q169" s="29">
        <v>1391</v>
      </c>
      <c r="R169" s="30">
        <f t="shared" si="19"/>
        <v>139.1</v>
      </c>
      <c r="S169" s="30">
        <f t="shared" si="20"/>
        <v>41.73</v>
      </c>
      <c r="T169" s="30">
        <f t="shared" si="21"/>
        <v>1293.6300000000001</v>
      </c>
      <c r="U169" s="14" t="str">
        <f t="shared" si="22"/>
        <v>normal</v>
      </c>
      <c r="V169" s="33">
        <f t="shared" si="23"/>
        <v>0.08</v>
      </c>
    </row>
    <row r="170" spans="1:22" ht="15.75" customHeight="1" x14ac:dyDescent="0.25">
      <c r="A170" s="8">
        <v>1169</v>
      </c>
      <c r="B170" s="9" t="s">
        <v>380</v>
      </c>
      <c r="C170" s="9" t="s">
        <v>381</v>
      </c>
      <c r="D170" s="9" t="str">
        <f t="shared" si="16"/>
        <v>Kinda Alaqre</v>
      </c>
      <c r="E170" s="9" t="s">
        <v>33</v>
      </c>
      <c r="F170" s="9" t="s">
        <v>976</v>
      </c>
      <c r="G170" s="9" t="s">
        <v>16</v>
      </c>
      <c r="H170" s="10" t="s">
        <v>11</v>
      </c>
      <c r="I170" s="10" t="s">
        <v>198</v>
      </c>
      <c r="J170" s="11" t="s">
        <v>12</v>
      </c>
      <c r="K170" s="9" t="s">
        <v>659</v>
      </c>
      <c r="L170" s="12">
        <v>23</v>
      </c>
      <c r="M170" s="13">
        <v>10</v>
      </c>
      <c r="N170" s="13">
        <v>1992</v>
      </c>
      <c r="O170" s="31">
        <f t="shared" si="17"/>
        <v>33900</v>
      </c>
      <c r="P170" s="13">
        <f t="shared" ca="1" si="18"/>
        <v>33</v>
      </c>
      <c r="Q170" s="29">
        <v>2528</v>
      </c>
      <c r="R170" s="30">
        <f t="shared" si="19"/>
        <v>252.8</v>
      </c>
      <c r="S170" s="30">
        <f t="shared" si="20"/>
        <v>75.84</v>
      </c>
      <c r="T170" s="30">
        <f t="shared" si="21"/>
        <v>2351.04</v>
      </c>
      <c r="U170" s="14" t="str">
        <f t="shared" si="22"/>
        <v>normal</v>
      </c>
      <c r="V170" s="33">
        <f t="shared" si="23"/>
        <v>0.08</v>
      </c>
    </row>
    <row r="171" spans="1:22" ht="15.75" customHeight="1" x14ac:dyDescent="0.25">
      <c r="A171" s="8">
        <v>1170</v>
      </c>
      <c r="B171" s="9" t="s">
        <v>36</v>
      </c>
      <c r="C171" s="9" t="s">
        <v>382</v>
      </c>
      <c r="D171" s="9" t="str">
        <f t="shared" si="16"/>
        <v>Ahmad Eurman</v>
      </c>
      <c r="E171" s="9" t="s">
        <v>34</v>
      </c>
      <c r="F171" s="9" t="s">
        <v>977</v>
      </c>
      <c r="G171" s="9" t="s">
        <v>16</v>
      </c>
      <c r="H171" s="10" t="s">
        <v>11</v>
      </c>
      <c r="I171" s="10" t="s">
        <v>26</v>
      </c>
      <c r="J171" s="11" t="s">
        <v>10</v>
      </c>
      <c r="K171" s="9" t="s">
        <v>660</v>
      </c>
      <c r="L171" s="12">
        <v>9</v>
      </c>
      <c r="M171" s="13">
        <v>11</v>
      </c>
      <c r="N171" s="13">
        <v>2020</v>
      </c>
      <c r="O171" s="31">
        <f t="shared" si="17"/>
        <v>44144</v>
      </c>
      <c r="P171" s="13">
        <f t="shared" ca="1" si="18"/>
        <v>5</v>
      </c>
      <c r="Q171" s="29">
        <v>6040</v>
      </c>
      <c r="R171" s="30">
        <f t="shared" si="19"/>
        <v>604</v>
      </c>
      <c r="S171" s="30">
        <f t="shared" si="20"/>
        <v>181.2</v>
      </c>
      <c r="T171" s="30">
        <f t="shared" si="21"/>
        <v>5617.2</v>
      </c>
      <c r="U171" s="14" t="str">
        <f t="shared" si="22"/>
        <v>normal</v>
      </c>
      <c r="V171" s="33">
        <f t="shared" si="23"/>
        <v>0.05</v>
      </c>
    </row>
    <row r="172" spans="1:22" ht="15.75" customHeight="1" x14ac:dyDescent="0.25">
      <c r="A172" s="8">
        <v>1171</v>
      </c>
      <c r="B172" s="9" t="s">
        <v>383</v>
      </c>
      <c r="C172" s="9" t="s">
        <v>57</v>
      </c>
      <c r="D172" s="9" t="str">
        <f t="shared" si="16"/>
        <v>Abdalhadi Salim</v>
      </c>
      <c r="E172" s="9" t="s">
        <v>34</v>
      </c>
      <c r="F172" s="9" t="s">
        <v>978</v>
      </c>
      <c r="G172" s="9" t="s">
        <v>795</v>
      </c>
      <c r="H172" s="10" t="s">
        <v>20</v>
      </c>
      <c r="I172" s="10" t="s">
        <v>17</v>
      </c>
      <c r="J172" s="11" t="s">
        <v>21</v>
      </c>
      <c r="K172" s="9" t="s">
        <v>156</v>
      </c>
      <c r="L172" s="12">
        <v>15</v>
      </c>
      <c r="M172" s="13">
        <v>12</v>
      </c>
      <c r="N172" s="13">
        <v>2009</v>
      </c>
      <c r="O172" s="31">
        <f t="shared" si="17"/>
        <v>40162</v>
      </c>
      <c r="P172" s="13">
        <f t="shared" ca="1" si="18"/>
        <v>16</v>
      </c>
      <c r="Q172" s="29">
        <v>3842</v>
      </c>
      <c r="R172" s="30">
        <f t="shared" si="19"/>
        <v>384.20000000000005</v>
      </c>
      <c r="S172" s="30">
        <f t="shared" si="20"/>
        <v>115.25999999999999</v>
      </c>
      <c r="T172" s="30">
        <f t="shared" si="21"/>
        <v>3573.0600000000004</v>
      </c>
      <c r="U172" s="14" t="str">
        <f t="shared" si="22"/>
        <v>normal</v>
      </c>
      <c r="V172" s="33">
        <f t="shared" si="23"/>
        <v>0.05</v>
      </c>
    </row>
    <row r="173" spans="1:22" ht="15.75" customHeight="1" x14ac:dyDescent="0.25">
      <c r="A173" s="8">
        <v>1172</v>
      </c>
      <c r="B173" s="9" t="s">
        <v>52</v>
      </c>
      <c r="C173" s="9" t="s">
        <v>384</v>
      </c>
      <c r="D173" s="9" t="str">
        <f t="shared" si="16"/>
        <v>Alaa Altahhan</v>
      </c>
      <c r="E173" s="9" t="s">
        <v>33</v>
      </c>
      <c r="F173" s="9" t="s">
        <v>979</v>
      </c>
      <c r="G173" s="9" t="s">
        <v>16</v>
      </c>
      <c r="H173" s="10" t="s">
        <v>8</v>
      </c>
      <c r="I173" s="10" t="s">
        <v>198</v>
      </c>
      <c r="J173" s="11" t="s">
        <v>12</v>
      </c>
      <c r="K173" s="9" t="s">
        <v>661</v>
      </c>
      <c r="L173" s="12">
        <v>6</v>
      </c>
      <c r="M173" s="13">
        <v>12</v>
      </c>
      <c r="N173" s="13">
        <v>1992</v>
      </c>
      <c r="O173" s="31">
        <f t="shared" si="17"/>
        <v>33944</v>
      </c>
      <c r="P173" s="13">
        <f t="shared" ca="1" si="18"/>
        <v>33</v>
      </c>
      <c r="Q173" s="29">
        <v>1542</v>
      </c>
      <c r="R173" s="30">
        <f t="shared" si="19"/>
        <v>154.20000000000002</v>
      </c>
      <c r="S173" s="30">
        <f t="shared" si="20"/>
        <v>46.26</v>
      </c>
      <c r="T173" s="30">
        <f t="shared" si="21"/>
        <v>1434.06</v>
      </c>
      <c r="U173" s="14" t="str">
        <f t="shared" si="22"/>
        <v>normal</v>
      </c>
      <c r="V173" s="33">
        <f t="shared" si="23"/>
        <v>0.08</v>
      </c>
    </row>
    <row r="174" spans="1:22" ht="15.75" customHeight="1" x14ac:dyDescent="0.25">
      <c r="A174" s="8">
        <v>1173</v>
      </c>
      <c r="B174" s="9" t="s">
        <v>385</v>
      </c>
      <c r="C174" s="9" t="s">
        <v>386</v>
      </c>
      <c r="D174" s="9" t="str">
        <f t="shared" si="16"/>
        <v>Fadi Shakur</v>
      </c>
      <c r="E174" s="9" t="s">
        <v>34</v>
      </c>
      <c r="F174" s="9" t="s">
        <v>980</v>
      </c>
      <c r="G174" s="9" t="s">
        <v>16</v>
      </c>
      <c r="H174" s="10" t="s">
        <v>14</v>
      </c>
      <c r="I174" s="10" t="s">
        <v>9</v>
      </c>
      <c r="J174" s="11" t="s">
        <v>10</v>
      </c>
      <c r="K174" s="9" t="s">
        <v>662</v>
      </c>
      <c r="L174" s="12">
        <v>8</v>
      </c>
      <c r="M174" s="13">
        <v>10</v>
      </c>
      <c r="N174" s="13">
        <v>2011</v>
      </c>
      <c r="O174" s="31">
        <f t="shared" si="17"/>
        <v>40824</v>
      </c>
      <c r="P174" s="13">
        <f t="shared" ca="1" si="18"/>
        <v>14</v>
      </c>
      <c r="Q174" s="29">
        <v>3134</v>
      </c>
      <c r="R174" s="30">
        <f t="shared" si="19"/>
        <v>313.40000000000003</v>
      </c>
      <c r="S174" s="30">
        <f t="shared" si="20"/>
        <v>94.02</v>
      </c>
      <c r="T174" s="30">
        <f t="shared" si="21"/>
        <v>2914.62</v>
      </c>
      <c r="U174" s="14" t="str">
        <f t="shared" si="22"/>
        <v>normal</v>
      </c>
      <c r="V174" s="33">
        <f t="shared" si="23"/>
        <v>0.08</v>
      </c>
    </row>
    <row r="175" spans="1:22" ht="15.75" customHeight="1" x14ac:dyDescent="0.25">
      <c r="A175" s="8">
        <v>1174</v>
      </c>
      <c r="B175" s="9" t="s">
        <v>387</v>
      </c>
      <c r="C175" s="9" t="s">
        <v>388</v>
      </c>
      <c r="D175" s="9" t="str">
        <f t="shared" si="16"/>
        <v>Anas Eabidin</v>
      </c>
      <c r="E175" s="9" t="s">
        <v>34</v>
      </c>
      <c r="F175" s="9" t="s">
        <v>981</v>
      </c>
      <c r="G175" s="9" t="s">
        <v>16</v>
      </c>
      <c r="H175" s="10" t="s">
        <v>11</v>
      </c>
      <c r="I175" s="10" t="s">
        <v>22</v>
      </c>
      <c r="J175" s="11" t="s">
        <v>12</v>
      </c>
      <c r="K175" s="9" t="s">
        <v>663</v>
      </c>
      <c r="L175" s="12">
        <v>24</v>
      </c>
      <c r="M175" s="13">
        <v>4</v>
      </c>
      <c r="N175" s="13">
        <v>1993</v>
      </c>
      <c r="O175" s="31">
        <f t="shared" si="17"/>
        <v>34083</v>
      </c>
      <c r="P175" s="13">
        <f t="shared" ca="1" si="18"/>
        <v>33</v>
      </c>
      <c r="Q175" s="29">
        <v>4921</v>
      </c>
      <c r="R175" s="30">
        <f t="shared" si="19"/>
        <v>492.1</v>
      </c>
      <c r="S175" s="30">
        <f t="shared" si="20"/>
        <v>147.63</v>
      </c>
      <c r="T175" s="30">
        <f t="shared" si="21"/>
        <v>4576.53</v>
      </c>
      <c r="U175" s="14" t="str">
        <f t="shared" si="22"/>
        <v>normal</v>
      </c>
      <c r="V175" s="33">
        <f t="shared" si="23"/>
        <v>0.05</v>
      </c>
    </row>
    <row r="176" spans="1:22" ht="15.75" customHeight="1" x14ac:dyDescent="0.25">
      <c r="A176" s="8">
        <v>1175</v>
      </c>
      <c r="B176" s="9" t="s">
        <v>389</v>
      </c>
      <c r="C176" s="9" t="s">
        <v>390</v>
      </c>
      <c r="D176" s="9" t="str">
        <f t="shared" si="16"/>
        <v>Asma Sadqawi</v>
      </c>
      <c r="E176" s="9" t="s">
        <v>33</v>
      </c>
      <c r="F176" s="9" t="s">
        <v>982</v>
      </c>
      <c r="G176" s="9" t="s">
        <v>16</v>
      </c>
      <c r="H176" s="10" t="s">
        <v>11</v>
      </c>
      <c r="I176" s="10" t="s">
        <v>198</v>
      </c>
      <c r="J176" s="11" t="s">
        <v>10</v>
      </c>
      <c r="K176" s="9" t="s">
        <v>664</v>
      </c>
      <c r="L176" s="12">
        <v>21</v>
      </c>
      <c r="M176" s="13">
        <v>5</v>
      </c>
      <c r="N176" s="13">
        <v>2008</v>
      </c>
      <c r="O176" s="31">
        <f t="shared" si="17"/>
        <v>39589</v>
      </c>
      <c r="P176" s="13">
        <f t="shared" ca="1" si="18"/>
        <v>17</v>
      </c>
      <c r="Q176" s="29">
        <v>1948</v>
      </c>
      <c r="R176" s="30">
        <f t="shared" si="19"/>
        <v>194.8</v>
      </c>
      <c r="S176" s="30">
        <f t="shared" si="20"/>
        <v>58.44</v>
      </c>
      <c r="T176" s="30">
        <f t="shared" si="21"/>
        <v>1811.64</v>
      </c>
      <c r="U176" s="14" t="str">
        <f t="shared" si="22"/>
        <v>normal</v>
      </c>
      <c r="V176" s="33">
        <f t="shared" si="23"/>
        <v>0.08</v>
      </c>
    </row>
    <row r="177" spans="1:22" ht="15.75" customHeight="1" x14ac:dyDescent="0.25">
      <c r="A177" s="8">
        <v>1176</v>
      </c>
      <c r="B177" s="9" t="s">
        <v>60</v>
      </c>
      <c r="C177" s="9" t="s">
        <v>391</v>
      </c>
      <c r="D177" s="9" t="str">
        <f t="shared" si="16"/>
        <v>Samir Altaynawi</v>
      </c>
      <c r="E177" s="9" t="s">
        <v>34</v>
      </c>
      <c r="F177" s="9" t="s">
        <v>983</v>
      </c>
      <c r="G177" s="9" t="s">
        <v>18</v>
      </c>
      <c r="H177" s="10" t="s">
        <v>11</v>
      </c>
      <c r="I177" s="10" t="s">
        <v>22</v>
      </c>
      <c r="J177" s="11" t="s">
        <v>19</v>
      </c>
      <c r="K177" s="9" t="s">
        <v>665</v>
      </c>
      <c r="L177" s="12">
        <v>23</v>
      </c>
      <c r="M177" s="13">
        <v>6</v>
      </c>
      <c r="N177" s="13">
        <v>2004</v>
      </c>
      <c r="O177" s="31">
        <f t="shared" si="17"/>
        <v>38161</v>
      </c>
      <c r="P177" s="13">
        <f t="shared" ca="1" si="18"/>
        <v>21</v>
      </c>
      <c r="Q177" s="29">
        <v>3294</v>
      </c>
      <c r="R177" s="30">
        <f t="shared" si="19"/>
        <v>329.40000000000003</v>
      </c>
      <c r="S177" s="30">
        <f t="shared" si="20"/>
        <v>98.82</v>
      </c>
      <c r="T177" s="30">
        <f t="shared" si="21"/>
        <v>3063.42</v>
      </c>
      <c r="U177" s="14" t="str">
        <f t="shared" si="22"/>
        <v>normal</v>
      </c>
      <c r="V177" s="33">
        <f t="shared" si="23"/>
        <v>0.05</v>
      </c>
    </row>
    <row r="178" spans="1:22" ht="15.75" customHeight="1" x14ac:dyDescent="0.25">
      <c r="A178" s="8">
        <v>1177</v>
      </c>
      <c r="B178" s="9" t="s">
        <v>392</v>
      </c>
      <c r="C178" s="9" t="s">
        <v>393</v>
      </c>
      <c r="D178" s="9" t="str">
        <f t="shared" si="16"/>
        <v>Lbyb Fahd</v>
      </c>
      <c r="E178" s="9" t="s">
        <v>34</v>
      </c>
      <c r="F178" s="9" t="s">
        <v>984</v>
      </c>
      <c r="G178" s="9" t="s">
        <v>795</v>
      </c>
      <c r="H178" s="10" t="s">
        <v>20</v>
      </c>
      <c r="I178" s="10" t="s">
        <v>198</v>
      </c>
      <c r="J178" s="11" t="s">
        <v>10</v>
      </c>
      <c r="K178" s="9" t="s">
        <v>666</v>
      </c>
      <c r="L178" s="12">
        <v>26</v>
      </c>
      <c r="M178" s="13">
        <v>7</v>
      </c>
      <c r="N178" s="13">
        <v>2010</v>
      </c>
      <c r="O178" s="31">
        <f t="shared" si="17"/>
        <v>40385</v>
      </c>
      <c r="P178" s="13">
        <f t="shared" ca="1" si="18"/>
        <v>15</v>
      </c>
      <c r="Q178" s="29">
        <v>7123</v>
      </c>
      <c r="R178" s="30">
        <f t="shared" si="19"/>
        <v>712.30000000000007</v>
      </c>
      <c r="S178" s="30">
        <f t="shared" si="20"/>
        <v>213.69</v>
      </c>
      <c r="T178" s="30">
        <f t="shared" si="21"/>
        <v>6624.3899999999994</v>
      </c>
      <c r="U178" s="14" t="str">
        <f t="shared" si="22"/>
        <v>over</v>
      </c>
      <c r="V178" s="33">
        <f t="shared" si="23"/>
        <v>0.02</v>
      </c>
    </row>
    <row r="179" spans="1:22" ht="15.75" customHeight="1" x14ac:dyDescent="0.25">
      <c r="A179" s="8">
        <v>1178</v>
      </c>
      <c r="B179" s="9" t="s">
        <v>57</v>
      </c>
      <c r="C179" s="9" t="s">
        <v>394</v>
      </c>
      <c r="D179" s="9" t="str">
        <f t="shared" si="16"/>
        <v>Salim Aleabd</v>
      </c>
      <c r="E179" s="9" t="s">
        <v>34</v>
      </c>
      <c r="F179" s="9" t="s">
        <v>985</v>
      </c>
      <c r="G179" s="9" t="s">
        <v>13</v>
      </c>
      <c r="H179" s="10" t="s">
        <v>14</v>
      </c>
      <c r="I179" s="10" t="s">
        <v>22</v>
      </c>
      <c r="J179" s="11" t="s">
        <v>21</v>
      </c>
      <c r="K179" s="9" t="s">
        <v>667</v>
      </c>
      <c r="L179" s="12">
        <v>24</v>
      </c>
      <c r="M179" s="13">
        <v>6</v>
      </c>
      <c r="N179" s="13">
        <v>2015</v>
      </c>
      <c r="O179" s="31">
        <f t="shared" si="17"/>
        <v>42179</v>
      </c>
      <c r="P179" s="13">
        <f t="shared" ca="1" si="18"/>
        <v>10</v>
      </c>
      <c r="Q179" s="29">
        <v>7236</v>
      </c>
      <c r="R179" s="30">
        <f t="shared" si="19"/>
        <v>723.6</v>
      </c>
      <c r="S179" s="30">
        <f t="shared" si="20"/>
        <v>217.07999999999998</v>
      </c>
      <c r="T179" s="30">
        <f t="shared" si="21"/>
        <v>6729.48</v>
      </c>
      <c r="U179" s="14" t="str">
        <f t="shared" si="22"/>
        <v>over</v>
      </c>
      <c r="V179" s="33">
        <f t="shared" si="23"/>
        <v>0.02</v>
      </c>
    </row>
    <row r="180" spans="1:22" ht="15.75" customHeight="1" x14ac:dyDescent="0.25">
      <c r="A180" s="8">
        <v>1179</v>
      </c>
      <c r="B180" s="9" t="s">
        <v>264</v>
      </c>
      <c r="C180" s="9" t="s">
        <v>395</v>
      </c>
      <c r="D180" s="9" t="str">
        <f t="shared" si="16"/>
        <v>Abd Alruhmin Allaham</v>
      </c>
      <c r="E180" s="9" t="s">
        <v>34</v>
      </c>
      <c r="F180" s="9" t="s">
        <v>986</v>
      </c>
      <c r="G180" s="9" t="s">
        <v>795</v>
      </c>
      <c r="H180" s="10" t="s">
        <v>11</v>
      </c>
      <c r="I180" s="10" t="s">
        <v>22</v>
      </c>
      <c r="J180" s="11" t="s">
        <v>12</v>
      </c>
      <c r="K180" s="9" t="s">
        <v>668</v>
      </c>
      <c r="L180" s="12">
        <v>4</v>
      </c>
      <c r="M180" s="13">
        <v>8</v>
      </c>
      <c r="N180" s="13">
        <v>2004</v>
      </c>
      <c r="O180" s="31">
        <f t="shared" si="17"/>
        <v>38203</v>
      </c>
      <c r="P180" s="13">
        <f t="shared" ca="1" si="18"/>
        <v>21</v>
      </c>
      <c r="Q180" s="29">
        <v>6843</v>
      </c>
      <c r="R180" s="30">
        <f t="shared" si="19"/>
        <v>684.30000000000007</v>
      </c>
      <c r="S180" s="30">
        <f t="shared" si="20"/>
        <v>205.29</v>
      </c>
      <c r="T180" s="30">
        <f t="shared" si="21"/>
        <v>6363.99</v>
      </c>
      <c r="U180" s="14" t="str">
        <f t="shared" si="22"/>
        <v>over</v>
      </c>
      <c r="V180" s="33">
        <f t="shared" si="23"/>
        <v>0.02</v>
      </c>
    </row>
    <row r="181" spans="1:22" ht="15.75" customHeight="1" x14ac:dyDescent="0.25">
      <c r="A181" s="8">
        <v>1180</v>
      </c>
      <c r="B181" s="9" t="s">
        <v>396</v>
      </c>
      <c r="C181" s="9" t="s">
        <v>397</v>
      </c>
      <c r="D181" s="9" t="str">
        <f t="shared" si="16"/>
        <v>Emar Eisaf</v>
      </c>
      <c r="E181" s="9" t="s">
        <v>33</v>
      </c>
      <c r="F181" s="9" t="s">
        <v>987</v>
      </c>
      <c r="G181" s="9" t="s">
        <v>795</v>
      </c>
      <c r="H181" s="10" t="s">
        <v>11</v>
      </c>
      <c r="I181" s="10" t="s">
        <v>22</v>
      </c>
      <c r="J181" s="11" t="s">
        <v>10</v>
      </c>
      <c r="K181" s="9" t="s">
        <v>669</v>
      </c>
      <c r="L181" s="12">
        <v>26</v>
      </c>
      <c r="M181" s="13">
        <v>3</v>
      </c>
      <c r="N181" s="13">
        <v>2014</v>
      </c>
      <c r="O181" s="31">
        <f t="shared" si="17"/>
        <v>41724</v>
      </c>
      <c r="P181" s="13">
        <f t="shared" ca="1" si="18"/>
        <v>12</v>
      </c>
      <c r="Q181" s="29">
        <v>1070</v>
      </c>
      <c r="R181" s="30">
        <f t="shared" si="19"/>
        <v>107</v>
      </c>
      <c r="S181" s="30">
        <f t="shared" si="20"/>
        <v>32.1</v>
      </c>
      <c r="T181" s="30">
        <f t="shared" si="21"/>
        <v>995.09999999999991</v>
      </c>
      <c r="U181" s="14" t="str">
        <f t="shared" si="22"/>
        <v>normal</v>
      </c>
      <c r="V181" s="33">
        <f t="shared" si="23"/>
        <v>0.1</v>
      </c>
    </row>
    <row r="182" spans="1:22" ht="15.75" customHeight="1" x14ac:dyDescent="0.25">
      <c r="A182" s="8">
        <v>1181</v>
      </c>
      <c r="B182" s="9" t="s">
        <v>398</v>
      </c>
      <c r="C182" s="9" t="s">
        <v>399</v>
      </c>
      <c r="D182" s="9" t="str">
        <f t="shared" si="16"/>
        <v>Sabah Qadish</v>
      </c>
      <c r="E182" s="9" t="s">
        <v>33</v>
      </c>
      <c r="F182" s="9" t="s">
        <v>988</v>
      </c>
      <c r="G182" s="9" t="s">
        <v>13</v>
      </c>
      <c r="H182" s="10" t="s">
        <v>8</v>
      </c>
      <c r="I182" s="10" t="s">
        <v>22</v>
      </c>
      <c r="J182" s="11" t="s">
        <v>19</v>
      </c>
      <c r="K182" s="9" t="s">
        <v>670</v>
      </c>
      <c r="L182" s="12">
        <v>27</v>
      </c>
      <c r="M182" s="13">
        <v>5</v>
      </c>
      <c r="N182" s="13">
        <v>2013</v>
      </c>
      <c r="O182" s="31">
        <f t="shared" si="17"/>
        <v>41421</v>
      </c>
      <c r="P182" s="13">
        <f t="shared" ca="1" si="18"/>
        <v>12</v>
      </c>
      <c r="Q182" s="29">
        <v>1493</v>
      </c>
      <c r="R182" s="30">
        <f t="shared" si="19"/>
        <v>149.30000000000001</v>
      </c>
      <c r="S182" s="30">
        <f t="shared" si="20"/>
        <v>44.79</v>
      </c>
      <c r="T182" s="30">
        <f t="shared" si="21"/>
        <v>1388.49</v>
      </c>
      <c r="U182" s="14" t="str">
        <f t="shared" si="22"/>
        <v>normal</v>
      </c>
      <c r="V182" s="33">
        <f t="shared" si="23"/>
        <v>0.08</v>
      </c>
    </row>
    <row r="183" spans="1:22" ht="15.75" customHeight="1" x14ac:dyDescent="0.25">
      <c r="A183" s="8">
        <v>1182</v>
      </c>
      <c r="B183" s="9" t="s">
        <v>400</v>
      </c>
      <c r="C183" s="9" t="s">
        <v>126</v>
      </c>
      <c r="D183" s="9" t="str">
        <f t="shared" si="16"/>
        <v>Asra Almisri</v>
      </c>
      <c r="E183" s="9" t="s">
        <v>33</v>
      </c>
      <c r="F183" s="9" t="s">
        <v>989</v>
      </c>
      <c r="G183" s="9" t="s">
        <v>18</v>
      </c>
      <c r="H183" s="10" t="s">
        <v>11</v>
      </c>
      <c r="I183" s="10" t="s">
        <v>22</v>
      </c>
      <c r="J183" s="11" t="s">
        <v>12</v>
      </c>
      <c r="K183" s="9" t="s">
        <v>671</v>
      </c>
      <c r="L183" s="12">
        <v>25</v>
      </c>
      <c r="M183" s="13">
        <v>3</v>
      </c>
      <c r="N183" s="13">
        <v>2012</v>
      </c>
      <c r="O183" s="31">
        <f t="shared" si="17"/>
        <v>40993</v>
      </c>
      <c r="P183" s="13">
        <f t="shared" ca="1" si="18"/>
        <v>14</v>
      </c>
      <c r="Q183" s="29">
        <v>5857</v>
      </c>
      <c r="R183" s="30">
        <f t="shared" si="19"/>
        <v>585.70000000000005</v>
      </c>
      <c r="S183" s="30">
        <f t="shared" si="20"/>
        <v>175.70999999999998</v>
      </c>
      <c r="T183" s="30">
        <f t="shared" si="21"/>
        <v>5447.01</v>
      </c>
      <c r="U183" s="14" t="str">
        <f t="shared" si="22"/>
        <v>normal</v>
      </c>
      <c r="V183" s="33">
        <f t="shared" si="23"/>
        <v>0.05</v>
      </c>
    </row>
    <row r="184" spans="1:22" ht="15.75" customHeight="1" x14ac:dyDescent="0.25">
      <c r="A184" s="8">
        <v>1183</v>
      </c>
      <c r="B184" s="9" t="s">
        <v>380</v>
      </c>
      <c r="C184" s="9" t="s">
        <v>401</v>
      </c>
      <c r="D184" s="9" t="str">
        <f t="shared" si="16"/>
        <v>Kinda Zaki</v>
      </c>
      <c r="E184" s="9" t="s">
        <v>33</v>
      </c>
      <c r="F184" s="9" t="s">
        <v>990</v>
      </c>
      <c r="G184" s="9" t="s">
        <v>18</v>
      </c>
      <c r="H184" s="10" t="s">
        <v>8</v>
      </c>
      <c r="I184" s="10" t="s">
        <v>198</v>
      </c>
      <c r="J184" s="11" t="s">
        <v>10</v>
      </c>
      <c r="K184" s="9" t="s">
        <v>672</v>
      </c>
      <c r="L184" s="12">
        <v>22</v>
      </c>
      <c r="M184" s="13">
        <v>9</v>
      </c>
      <c r="N184" s="13">
        <v>2004</v>
      </c>
      <c r="O184" s="31">
        <f t="shared" si="17"/>
        <v>38252</v>
      </c>
      <c r="P184" s="13">
        <f t="shared" ca="1" si="18"/>
        <v>21</v>
      </c>
      <c r="Q184" s="29">
        <v>5278</v>
      </c>
      <c r="R184" s="30">
        <f t="shared" si="19"/>
        <v>527.80000000000007</v>
      </c>
      <c r="S184" s="30">
        <f t="shared" si="20"/>
        <v>158.34</v>
      </c>
      <c r="T184" s="30">
        <f t="shared" si="21"/>
        <v>4908.54</v>
      </c>
      <c r="U184" s="14" t="str">
        <f t="shared" si="22"/>
        <v>normal</v>
      </c>
      <c r="V184" s="33">
        <f t="shared" si="23"/>
        <v>0.05</v>
      </c>
    </row>
    <row r="185" spans="1:22" ht="15.75" customHeight="1" x14ac:dyDescent="0.25">
      <c r="A185" s="8">
        <v>1184</v>
      </c>
      <c r="B185" s="9" t="s">
        <v>322</v>
      </c>
      <c r="C185" s="9" t="s">
        <v>402</v>
      </c>
      <c r="D185" s="9" t="str">
        <f t="shared" si="16"/>
        <v>Zahir Zarie</v>
      </c>
      <c r="E185" s="9" t="s">
        <v>34</v>
      </c>
      <c r="F185" s="9" t="s">
        <v>991</v>
      </c>
      <c r="G185" s="9" t="s">
        <v>795</v>
      </c>
      <c r="H185" s="10" t="s">
        <v>11</v>
      </c>
      <c r="I185" s="10" t="s">
        <v>23</v>
      </c>
      <c r="J185" s="11" t="s">
        <v>12</v>
      </c>
      <c r="K185" s="9" t="s">
        <v>673</v>
      </c>
      <c r="L185" s="12">
        <v>21</v>
      </c>
      <c r="M185" s="13">
        <v>11</v>
      </c>
      <c r="N185" s="13">
        <v>2018</v>
      </c>
      <c r="O185" s="31">
        <f t="shared" si="17"/>
        <v>43425</v>
      </c>
      <c r="P185" s="13">
        <f t="shared" ca="1" si="18"/>
        <v>7</v>
      </c>
      <c r="Q185" s="29">
        <v>5710</v>
      </c>
      <c r="R185" s="30">
        <f t="shared" si="19"/>
        <v>571</v>
      </c>
      <c r="S185" s="30">
        <f t="shared" si="20"/>
        <v>171.29999999999998</v>
      </c>
      <c r="T185" s="30">
        <f t="shared" si="21"/>
        <v>5310.3</v>
      </c>
      <c r="U185" s="14" t="str">
        <f t="shared" si="22"/>
        <v>normal</v>
      </c>
      <c r="V185" s="33">
        <f t="shared" si="23"/>
        <v>0.05</v>
      </c>
    </row>
    <row r="186" spans="1:22" ht="15.75" customHeight="1" x14ac:dyDescent="0.25">
      <c r="A186" s="8">
        <v>1185</v>
      </c>
      <c r="B186" s="9" t="s">
        <v>62</v>
      </c>
      <c r="C186" s="9" t="s">
        <v>403</v>
      </c>
      <c r="D186" s="9" t="str">
        <f t="shared" si="16"/>
        <v>Bilal Einziin</v>
      </c>
      <c r="E186" s="9" t="s">
        <v>34</v>
      </c>
      <c r="F186" s="9" t="s">
        <v>992</v>
      </c>
      <c r="G186" s="9" t="s">
        <v>13</v>
      </c>
      <c r="H186" s="10" t="s">
        <v>11</v>
      </c>
      <c r="I186" s="10" t="s">
        <v>15</v>
      </c>
      <c r="J186" s="11" t="s">
        <v>12</v>
      </c>
      <c r="K186" s="9" t="s">
        <v>674</v>
      </c>
      <c r="L186" s="12">
        <v>12</v>
      </c>
      <c r="M186" s="13">
        <v>2</v>
      </c>
      <c r="N186" s="13">
        <v>2018</v>
      </c>
      <c r="O186" s="31">
        <f t="shared" si="17"/>
        <v>43143</v>
      </c>
      <c r="P186" s="13">
        <f t="shared" ca="1" si="18"/>
        <v>8</v>
      </c>
      <c r="Q186" s="29">
        <v>6145</v>
      </c>
      <c r="R186" s="30">
        <f t="shared" si="19"/>
        <v>614.5</v>
      </c>
      <c r="S186" s="30">
        <f t="shared" si="20"/>
        <v>184.35</v>
      </c>
      <c r="T186" s="30">
        <f t="shared" si="21"/>
        <v>5714.85</v>
      </c>
      <c r="U186" s="14" t="str">
        <f t="shared" si="22"/>
        <v>normal</v>
      </c>
      <c r="V186" s="33">
        <f t="shared" si="23"/>
        <v>0.05</v>
      </c>
    </row>
    <row r="187" spans="1:22" ht="15.75" customHeight="1" x14ac:dyDescent="0.25">
      <c r="A187" s="8">
        <v>1186</v>
      </c>
      <c r="B187" s="9" t="s">
        <v>404</v>
      </c>
      <c r="C187" s="9" t="s">
        <v>405</v>
      </c>
      <c r="D187" s="9" t="str">
        <f t="shared" si="16"/>
        <v>Abdaleziz Eiwad</v>
      </c>
      <c r="E187" s="9" t="s">
        <v>34</v>
      </c>
      <c r="F187" s="9" t="s">
        <v>993</v>
      </c>
      <c r="G187" s="9" t="s">
        <v>16</v>
      </c>
      <c r="H187" s="10" t="s">
        <v>14</v>
      </c>
      <c r="I187" s="10" t="s">
        <v>23</v>
      </c>
      <c r="J187" s="11" t="s">
        <v>10</v>
      </c>
      <c r="K187" s="9" t="s">
        <v>675</v>
      </c>
      <c r="L187" s="12">
        <v>16</v>
      </c>
      <c r="M187" s="13">
        <v>8</v>
      </c>
      <c r="N187" s="13">
        <v>1991</v>
      </c>
      <c r="O187" s="31">
        <f t="shared" si="17"/>
        <v>33466</v>
      </c>
      <c r="P187" s="13">
        <f t="shared" ca="1" si="18"/>
        <v>34</v>
      </c>
      <c r="Q187" s="29">
        <v>5278</v>
      </c>
      <c r="R187" s="30">
        <f t="shared" si="19"/>
        <v>527.80000000000007</v>
      </c>
      <c r="S187" s="30">
        <f t="shared" si="20"/>
        <v>158.34</v>
      </c>
      <c r="T187" s="30">
        <f t="shared" si="21"/>
        <v>4908.54</v>
      </c>
      <c r="U187" s="14" t="str">
        <f t="shared" si="22"/>
        <v>normal</v>
      </c>
      <c r="V187" s="33">
        <f t="shared" si="23"/>
        <v>0.05</v>
      </c>
    </row>
    <row r="188" spans="1:22" ht="15.75" customHeight="1" x14ac:dyDescent="0.25">
      <c r="A188" s="8">
        <v>1187</v>
      </c>
      <c r="B188" s="9" t="s">
        <v>406</v>
      </c>
      <c r="C188" s="9" t="s">
        <v>407</v>
      </c>
      <c r="D188" s="9" t="str">
        <f t="shared" si="16"/>
        <v>Alia Maseud</v>
      </c>
      <c r="E188" s="9" t="s">
        <v>34</v>
      </c>
      <c r="F188" s="9" t="s">
        <v>994</v>
      </c>
      <c r="G188" s="9" t="s">
        <v>795</v>
      </c>
      <c r="H188" s="10" t="s">
        <v>8</v>
      </c>
      <c r="I188" s="10" t="s">
        <v>9</v>
      </c>
      <c r="J188" s="11" t="s">
        <v>10</v>
      </c>
      <c r="K188" s="9" t="s">
        <v>676</v>
      </c>
      <c r="L188" s="12">
        <v>17</v>
      </c>
      <c r="M188" s="13">
        <v>1</v>
      </c>
      <c r="N188" s="13">
        <v>1992</v>
      </c>
      <c r="O188" s="31">
        <f t="shared" si="17"/>
        <v>33620</v>
      </c>
      <c r="P188" s="13">
        <f t="shared" ca="1" si="18"/>
        <v>34</v>
      </c>
      <c r="Q188" s="29">
        <v>6548</v>
      </c>
      <c r="R188" s="30">
        <f t="shared" si="19"/>
        <v>654.80000000000007</v>
      </c>
      <c r="S188" s="30">
        <f t="shared" si="20"/>
        <v>196.44</v>
      </c>
      <c r="T188" s="30">
        <f t="shared" si="21"/>
        <v>6089.6399999999994</v>
      </c>
      <c r="U188" s="14" t="str">
        <f t="shared" si="22"/>
        <v>over</v>
      </c>
      <c r="V188" s="33">
        <f t="shared" si="23"/>
        <v>0.02</v>
      </c>
    </row>
    <row r="189" spans="1:22" ht="15.75" customHeight="1" x14ac:dyDescent="0.25">
      <c r="A189" s="8">
        <v>1188</v>
      </c>
      <c r="B189" s="9" t="s">
        <v>36</v>
      </c>
      <c r="C189" s="9" t="s">
        <v>367</v>
      </c>
      <c r="D189" s="9" t="str">
        <f t="shared" si="16"/>
        <v>Ahmad Iidris</v>
      </c>
      <c r="E189" s="9" t="s">
        <v>34</v>
      </c>
      <c r="F189" s="9" t="s">
        <v>995</v>
      </c>
      <c r="G189" s="9" t="s">
        <v>7</v>
      </c>
      <c r="H189" s="10" t="s">
        <v>11</v>
      </c>
      <c r="I189" s="10" t="s">
        <v>22</v>
      </c>
      <c r="J189" s="11" t="s">
        <v>10</v>
      </c>
      <c r="K189" s="9" t="s">
        <v>677</v>
      </c>
      <c r="L189" s="12">
        <v>3</v>
      </c>
      <c r="M189" s="13">
        <v>10</v>
      </c>
      <c r="N189" s="13">
        <v>1998</v>
      </c>
      <c r="O189" s="31">
        <f t="shared" si="17"/>
        <v>36071</v>
      </c>
      <c r="P189" s="13">
        <f t="shared" ca="1" si="18"/>
        <v>27</v>
      </c>
      <c r="Q189" s="29">
        <v>7175</v>
      </c>
      <c r="R189" s="30">
        <f t="shared" si="19"/>
        <v>717.5</v>
      </c>
      <c r="S189" s="30">
        <f t="shared" si="20"/>
        <v>215.25</v>
      </c>
      <c r="T189" s="30">
        <f t="shared" si="21"/>
        <v>6672.75</v>
      </c>
      <c r="U189" s="14" t="str">
        <f t="shared" si="22"/>
        <v>over</v>
      </c>
      <c r="V189" s="33">
        <f t="shared" si="23"/>
        <v>0.02</v>
      </c>
    </row>
    <row r="190" spans="1:22" ht="15.75" customHeight="1" x14ac:dyDescent="0.25">
      <c r="A190" s="8">
        <v>1189</v>
      </c>
      <c r="B190" s="9" t="s">
        <v>408</v>
      </c>
      <c r="C190" s="9" t="s">
        <v>409</v>
      </c>
      <c r="D190" s="9" t="str">
        <f t="shared" si="16"/>
        <v>Sultan Taysir</v>
      </c>
      <c r="E190" s="9" t="s">
        <v>34</v>
      </c>
      <c r="F190" s="9" t="s">
        <v>996</v>
      </c>
      <c r="G190" s="9" t="s">
        <v>13</v>
      </c>
      <c r="H190" s="10" t="s">
        <v>8</v>
      </c>
      <c r="I190" s="10" t="s">
        <v>9</v>
      </c>
      <c r="J190" s="11" t="s">
        <v>19</v>
      </c>
      <c r="K190" s="9" t="s">
        <v>678</v>
      </c>
      <c r="L190" s="12">
        <v>26</v>
      </c>
      <c r="M190" s="13">
        <v>9</v>
      </c>
      <c r="N190" s="13">
        <v>2017</v>
      </c>
      <c r="O190" s="31">
        <f t="shared" si="17"/>
        <v>43004</v>
      </c>
      <c r="P190" s="13">
        <f t="shared" ca="1" si="18"/>
        <v>8</v>
      </c>
      <c r="Q190" s="29">
        <v>4070</v>
      </c>
      <c r="R190" s="30">
        <f t="shared" si="19"/>
        <v>407</v>
      </c>
      <c r="S190" s="30">
        <f t="shared" si="20"/>
        <v>122.1</v>
      </c>
      <c r="T190" s="30">
        <f t="shared" si="21"/>
        <v>3785.1000000000004</v>
      </c>
      <c r="U190" s="14" t="str">
        <f t="shared" si="22"/>
        <v>normal</v>
      </c>
      <c r="V190" s="33">
        <f t="shared" si="23"/>
        <v>0.05</v>
      </c>
    </row>
    <row r="191" spans="1:22" ht="15.75" customHeight="1" x14ac:dyDescent="0.25">
      <c r="A191" s="8">
        <v>1190</v>
      </c>
      <c r="B191" s="9" t="s">
        <v>58</v>
      </c>
      <c r="C191" s="9" t="s">
        <v>410</v>
      </c>
      <c r="D191" s="9" t="str">
        <f t="shared" si="16"/>
        <v>Ayham Sharfah</v>
      </c>
      <c r="E191" s="9" t="s">
        <v>34</v>
      </c>
      <c r="F191" s="9" t="s">
        <v>997</v>
      </c>
      <c r="G191" s="9" t="s">
        <v>795</v>
      </c>
      <c r="H191" s="10" t="s">
        <v>8</v>
      </c>
      <c r="I191" s="10" t="s">
        <v>15</v>
      </c>
      <c r="J191" s="11" t="s">
        <v>19</v>
      </c>
      <c r="K191" s="9" t="s">
        <v>679</v>
      </c>
      <c r="L191" s="12">
        <v>22</v>
      </c>
      <c r="M191" s="13">
        <v>10</v>
      </c>
      <c r="N191" s="13">
        <v>1997</v>
      </c>
      <c r="O191" s="31">
        <f t="shared" si="17"/>
        <v>35725</v>
      </c>
      <c r="P191" s="13">
        <f t="shared" ca="1" si="18"/>
        <v>28</v>
      </c>
      <c r="Q191" s="29">
        <v>1906</v>
      </c>
      <c r="R191" s="30">
        <f t="shared" si="19"/>
        <v>190.60000000000002</v>
      </c>
      <c r="S191" s="30">
        <f t="shared" si="20"/>
        <v>57.18</v>
      </c>
      <c r="T191" s="30">
        <f t="shared" si="21"/>
        <v>1772.58</v>
      </c>
      <c r="U191" s="14" t="str">
        <f t="shared" si="22"/>
        <v>normal</v>
      </c>
      <c r="V191" s="33">
        <f t="shared" si="23"/>
        <v>0.08</v>
      </c>
    </row>
    <row r="192" spans="1:22" ht="15.75" customHeight="1" x14ac:dyDescent="0.25">
      <c r="A192" s="8">
        <v>1191</v>
      </c>
      <c r="B192" s="9" t="s">
        <v>247</v>
      </c>
      <c r="C192" s="9" t="s">
        <v>126</v>
      </c>
      <c r="D192" s="9" t="str">
        <f t="shared" si="16"/>
        <v>Lama Almisri</v>
      </c>
      <c r="E192" s="9" t="s">
        <v>33</v>
      </c>
      <c r="F192" s="9" t="s">
        <v>998</v>
      </c>
      <c r="G192" s="9" t="s">
        <v>16</v>
      </c>
      <c r="H192" s="10" t="s">
        <v>8</v>
      </c>
      <c r="I192" s="10" t="s">
        <v>15</v>
      </c>
      <c r="J192" s="11" t="s">
        <v>12</v>
      </c>
      <c r="K192" s="9" t="s">
        <v>680</v>
      </c>
      <c r="L192" s="12">
        <v>2</v>
      </c>
      <c r="M192" s="13">
        <v>4</v>
      </c>
      <c r="N192" s="13">
        <v>2000</v>
      </c>
      <c r="O192" s="31">
        <f t="shared" si="17"/>
        <v>36618</v>
      </c>
      <c r="P192" s="13">
        <f t="shared" ca="1" si="18"/>
        <v>26</v>
      </c>
      <c r="Q192" s="29">
        <v>2600</v>
      </c>
      <c r="R192" s="30">
        <f t="shared" si="19"/>
        <v>260</v>
      </c>
      <c r="S192" s="30">
        <f t="shared" si="20"/>
        <v>78</v>
      </c>
      <c r="T192" s="30">
        <f t="shared" si="21"/>
        <v>2418</v>
      </c>
      <c r="U192" s="14" t="str">
        <f t="shared" si="22"/>
        <v>normal</v>
      </c>
      <c r="V192" s="33">
        <f t="shared" si="23"/>
        <v>0.08</v>
      </c>
    </row>
    <row r="193" spans="1:22" ht="15.75" customHeight="1" x14ac:dyDescent="0.25">
      <c r="A193" s="8">
        <v>1192</v>
      </c>
      <c r="B193" s="9" t="s">
        <v>411</v>
      </c>
      <c r="C193" s="9" t="s">
        <v>412</v>
      </c>
      <c r="D193" s="9" t="str">
        <f t="shared" si="16"/>
        <v>Thayir Hamuwda</v>
      </c>
      <c r="E193" s="9" t="s">
        <v>34</v>
      </c>
      <c r="F193" s="9" t="s">
        <v>999</v>
      </c>
      <c r="G193" s="9" t="s">
        <v>13</v>
      </c>
      <c r="H193" s="10" t="s">
        <v>20</v>
      </c>
      <c r="I193" s="10" t="s">
        <v>17</v>
      </c>
      <c r="J193" s="11" t="s">
        <v>21</v>
      </c>
      <c r="K193" s="9" t="s">
        <v>681</v>
      </c>
      <c r="L193" s="12">
        <v>25</v>
      </c>
      <c r="M193" s="13">
        <v>10</v>
      </c>
      <c r="N193" s="13">
        <v>1997</v>
      </c>
      <c r="O193" s="31">
        <f t="shared" si="17"/>
        <v>35728</v>
      </c>
      <c r="P193" s="13">
        <f t="shared" ca="1" si="18"/>
        <v>28</v>
      </c>
      <c r="Q193" s="29">
        <v>3753</v>
      </c>
      <c r="R193" s="30">
        <f t="shared" si="19"/>
        <v>375.3</v>
      </c>
      <c r="S193" s="30">
        <f t="shared" si="20"/>
        <v>112.58999999999999</v>
      </c>
      <c r="T193" s="30">
        <f t="shared" si="21"/>
        <v>3490.29</v>
      </c>
      <c r="U193" s="14" t="str">
        <f t="shared" si="22"/>
        <v>normal</v>
      </c>
      <c r="V193" s="33">
        <f t="shared" si="23"/>
        <v>0.05</v>
      </c>
    </row>
    <row r="194" spans="1:22" ht="15.75" customHeight="1" x14ac:dyDescent="0.25">
      <c r="A194" s="8">
        <v>1193</v>
      </c>
      <c r="B194" s="9" t="s">
        <v>406</v>
      </c>
      <c r="C194" s="9" t="s">
        <v>68</v>
      </c>
      <c r="D194" s="9" t="str">
        <f t="shared" si="16"/>
        <v>Alia Abu</v>
      </c>
      <c r="E194" s="9" t="s">
        <v>33</v>
      </c>
      <c r="F194" s="9" t="s">
        <v>1000</v>
      </c>
      <c r="G194" s="9" t="s">
        <v>18</v>
      </c>
      <c r="H194" s="10" t="s">
        <v>11</v>
      </c>
      <c r="I194" s="10" t="s">
        <v>198</v>
      </c>
      <c r="J194" s="11" t="s">
        <v>10</v>
      </c>
      <c r="K194" s="9" t="s">
        <v>682</v>
      </c>
      <c r="L194" s="12">
        <v>4</v>
      </c>
      <c r="M194" s="13">
        <v>7</v>
      </c>
      <c r="N194" s="13">
        <v>2013</v>
      </c>
      <c r="O194" s="31">
        <f t="shared" si="17"/>
        <v>41459</v>
      </c>
      <c r="P194" s="13">
        <f t="shared" ca="1" si="18"/>
        <v>12</v>
      </c>
      <c r="Q194" s="29">
        <v>5086</v>
      </c>
      <c r="R194" s="30">
        <f t="shared" si="19"/>
        <v>508.6</v>
      </c>
      <c r="S194" s="30">
        <f t="shared" si="20"/>
        <v>152.57999999999998</v>
      </c>
      <c r="T194" s="30">
        <f t="shared" si="21"/>
        <v>4729.9799999999996</v>
      </c>
      <c r="U194" s="14" t="str">
        <f t="shared" si="22"/>
        <v>normal</v>
      </c>
      <c r="V194" s="33">
        <f t="shared" si="23"/>
        <v>0.05</v>
      </c>
    </row>
    <row r="195" spans="1:22" ht="15.75" customHeight="1" x14ac:dyDescent="0.25">
      <c r="A195" s="8">
        <v>1194</v>
      </c>
      <c r="B195" s="9" t="s">
        <v>413</v>
      </c>
      <c r="C195" s="9" t="s">
        <v>414</v>
      </c>
      <c r="D195" s="9" t="str">
        <f t="shared" ref="D195:D258" si="24">PROPER(TRIM((B195 &amp;" "&amp; C195)))</f>
        <v>Lilas Nafae</v>
      </c>
      <c r="E195" s="9" t="s">
        <v>33</v>
      </c>
      <c r="F195" s="9" t="s">
        <v>1001</v>
      </c>
      <c r="G195" s="9" t="s">
        <v>13</v>
      </c>
      <c r="H195" s="10" t="s">
        <v>11</v>
      </c>
      <c r="I195" s="10" t="s">
        <v>9</v>
      </c>
      <c r="J195" s="11" t="s">
        <v>19</v>
      </c>
      <c r="K195" s="9" t="s">
        <v>683</v>
      </c>
      <c r="L195" s="12">
        <v>9</v>
      </c>
      <c r="M195" s="13">
        <v>10</v>
      </c>
      <c r="N195" s="13">
        <v>2023</v>
      </c>
      <c r="O195" s="31">
        <f t="shared" ref="O195:O258" si="25">DATE(N195,M195,L195)</f>
        <v>45208</v>
      </c>
      <c r="P195" s="13">
        <f t="shared" ref="P195:P258" ca="1" si="26">DATEDIF(O195,TODAY(),"y")</f>
        <v>2</v>
      </c>
      <c r="Q195" s="29">
        <v>2431</v>
      </c>
      <c r="R195" s="30">
        <f t="shared" ref="R195:R258" si="27">Q195*0.1</f>
        <v>243.10000000000002</v>
      </c>
      <c r="S195" s="30">
        <f t="shared" ref="S195:S258" si="28">Q195*0.03</f>
        <v>72.929999999999993</v>
      </c>
      <c r="T195" s="30">
        <f t="shared" ref="T195:T258" si="29">Q195+S195-R195</f>
        <v>2260.83</v>
      </c>
      <c r="U195" s="14" t="str">
        <f t="shared" ref="U195:U258" si="30">IF(T195&gt;=6000,"over","normal")</f>
        <v>normal</v>
      </c>
      <c r="V195" s="33">
        <f t="shared" ref="V195:V258" si="31">VLOOKUP(T195,$Y$6:$Z$10,2,TRUE)</f>
        <v>0.08</v>
      </c>
    </row>
    <row r="196" spans="1:22" ht="15.75" customHeight="1" x14ac:dyDescent="0.25">
      <c r="A196" s="8">
        <v>1195</v>
      </c>
      <c r="B196" s="9" t="s">
        <v>393</v>
      </c>
      <c r="C196" s="9" t="s">
        <v>249</v>
      </c>
      <c r="D196" s="9" t="str">
        <f t="shared" si="24"/>
        <v>Fahd Shaykh</v>
      </c>
      <c r="E196" s="9" t="s">
        <v>34</v>
      </c>
      <c r="F196" s="9" t="s">
        <v>1002</v>
      </c>
      <c r="G196" s="9" t="s">
        <v>16</v>
      </c>
      <c r="H196" s="10" t="s">
        <v>8</v>
      </c>
      <c r="I196" s="10" t="s">
        <v>9</v>
      </c>
      <c r="J196" s="11" t="s">
        <v>12</v>
      </c>
      <c r="K196" s="9" t="s">
        <v>576</v>
      </c>
      <c r="L196" s="12">
        <v>8</v>
      </c>
      <c r="M196" s="13">
        <v>3</v>
      </c>
      <c r="N196" s="13">
        <v>2014</v>
      </c>
      <c r="O196" s="31">
        <f t="shared" si="25"/>
        <v>41706</v>
      </c>
      <c r="P196" s="13">
        <f t="shared" ca="1" si="26"/>
        <v>12</v>
      </c>
      <c r="Q196" s="29">
        <v>2955</v>
      </c>
      <c r="R196" s="30">
        <f t="shared" si="27"/>
        <v>295.5</v>
      </c>
      <c r="S196" s="30">
        <f t="shared" si="28"/>
        <v>88.649999999999991</v>
      </c>
      <c r="T196" s="30">
        <f t="shared" si="29"/>
        <v>2748.15</v>
      </c>
      <c r="U196" s="14" t="str">
        <f t="shared" si="30"/>
        <v>normal</v>
      </c>
      <c r="V196" s="33">
        <f t="shared" si="31"/>
        <v>0.08</v>
      </c>
    </row>
    <row r="197" spans="1:22" ht="15.75" customHeight="1" x14ac:dyDescent="0.25">
      <c r="A197" s="8">
        <v>1196</v>
      </c>
      <c r="B197" s="9" t="s">
        <v>413</v>
      </c>
      <c r="C197" s="9" t="s">
        <v>415</v>
      </c>
      <c r="D197" s="9" t="str">
        <f t="shared" si="24"/>
        <v>Lilas Kashik</v>
      </c>
      <c r="E197" s="9" t="s">
        <v>33</v>
      </c>
      <c r="F197" s="9" t="s">
        <v>1003</v>
      </c>
      <c r="G197" s="9" t="s">
        <v>16</v>
      </c>
      <c r="H197" s="10" t="s">
        <v>8</v>
      </c>
      <c r="I197" s="10" t="s">
        <v>198</v>
      </c>
      <c r="J197" s="11" t="s">
        <v>19</v>
      </c>
      <c r="K197" s="9" t="s">
        <v>684</v>
      </c>
      <c r="L197" s="12">
        <v>20</v>
      </c>
      <c r="M197" s="13">
        <v>4</v>
      </c>
      <c r="N197" s="13">
        <v>2001</v>
      </c>
      <c r="O197" s="31">
        <f t="shared" si="25"/>
        <v>37001</v>
      </c>
      <c r="P197" s="13">
        <f t="shared" ca="1" si="26"/>
        <v>25</v>
      </c>
      <c r="Q197" s="29">
        <v>1948</v>
      </c>
      <c r="R197" s="30">
        <f t="shared" si="27"/>
        <v>194.8</v>
      </c>
      <c r="S197" s="30">
        <f t="shared" si="28"/>
        <v>58.44</v>
      </c>
      <c r="T197" s="30">
        <f t="shared" si="29"/>
        <v>1811.64</v>
      </c>
      <c r="U197" s="14" t="str">
        <f t="shared" si="30"/>
        <v>normal</v>
      </c>
      <c r="V197" s="33">
        <f t="shared" si="31"/>
        <v>0.08</v>
      </c>
    </row>
    <row r="198" spans="1:22" ht="15.75" customHeight="1" x14ac:dyDescent="0.25">
      <c r="A198" s="8">
        <v>1197</v>
      </c>
      <c r="B198" s="9" t="s">
        <v>416</v>
      </c>
      <c r="C198" s="9" t="s">
        <v>417</v>
      </c>
      <c r="D198" s="9" t="str">
        <f t="shared" si="24"/>
        <v>Abd Allah Aldahan</v>
      </c>
      <c r="E198" s="9" t="s">
        <v>34</v>
      </c>
      <c r="F198" s="9" t="s">
        <v>1004</v>
      </c>
      <c r="G198" s="9" t="s">
        <v>18</v>
      </c>
      <c r="H198" s="10" t="s">
        <v>11</v>
      </c>
      <c r="I198" s="10" t="s">
        <v>22</v>
      </c>
      <c r="J198" s="11" t="s">
        <v>10</v>
      </c>
      <c r="K198" s="9" t="s">
        <v>685</v>
      </c>
      <c r="L198" s="12">
        <v>26</v>
      </c>
      <c r="M198" s="13">
        <v>1</v>
      </c>
      <c r="N198" s="13">
        <v>1998</v>
      </c>
      <c r="O198" s="31">
        <f t="shared" si="25"/>
        <v>35821</v>
      </c>
      <c r="P198" s="13">
        <f t="shared" ca="1" si="26"/>
        <v>28</v>
      </c>
      <c r="Q198" s="29">
        <v>3294</v>
      </c>
      <c r="R198" s="30">
        <f t="shared" si="27"/>
        <v>329.40000000000003</v>
      </c>
      <c r="S198" s="30">
        <f t="shared" si="28"/>
        <v>98.82</v>
      </c>
      <c r="T198" s="30">
        <f t="shared" si="29"/>
        <v>3063.42</v>
      </c>
      <c r="U198" s="14" t="str">
        <f t="shared" si="30"/>
        <v>normal</v>
      </c>
      <c r="V198" s="33">
        <f t="shared" si="31"/>
        <v>0.05</v>
      </c>
    </row>
    <row r="199" spans="1:22" ht="15.75" customHeight="1" x14ac:dyDescent="0.25">
      <c r="A199" s="8">
        <v>1198</v>
      </c>
      <c r="B199" s="9" t="s">
        <v>301</v>
      </c>
      <c r="C199" s="9" t="s">
        <v>418</v>
      </c>
      <c r="D199" s="9" t="str">
        <f t="shared" si="24"/>
        <v>Khalid Alkhawam</v>
      </c>
      <c r="E199" s="9" t="s">
        <v>34</v>
      </c>
      <c r="F199" s="9" t="s">
        <v>1005</v>
      </c>
      <c r="G199" s="9" t="s">
        <v>795</v>
      </c>
      <c r="H199" s="10" t="s">
        <v>11</v>
      </c>
      <c r="I199" s="10" t="s">
        <v>198</v>
      </c>
      <c r="J199" s="11" t="s">
        <v>10</v>
      </c>
      <c r="K199" s="9" t="s">
        <v>686</v>
      </c>
      <c r="L199" s="12">
        <v>26</v>
      </c>
      <c r="M199" s="13">
        <v>7</v>
      </c>
      <c r="N199" s="13">
        <v>2017</v>
      </c>
      <c r="O199" s="31">
        <f t="shared" si="25"/>
        <v>42942</v>
      </c>
      <c r="P199" s="13">
        <f t="shared" ca="1" si="26"/>
        <v>8</v>
      </c>
      <c r="Q199" s="29">
        <v>7123</v>
      </c>
      <c r="R199" s="30">
        <f t="shared" si="27"/>
        <v>712.30000000000007</v>
      </c>
      <c r="S199" s="30">
        <f t="shared" si="28"/>
        <v>213.69</v>
      </c>
      <c r="T199" s="30">
        <f t="shared" si="29"/>
        <v>6624.3899999999994</v>
      </c>
      <c r="U199" s="14" t="str">
        <f t="shared" si="30"/>
        <v>over</v>
      </c>
      <c r="V199" s="33">
        <f t="shared" si="31"/>
        <v>0.02</v>
      </c>
    </row>
    <row r="200" spans="1:22" ht="15.75" customHeight="1" x14ac:dyDescent="0.25">
      <c r="A200" s="8">
        <v>1199</v>
      </c>
      <c r="B200" s="9" t="s">
        <v>419</v>
      </c>
      <c r="C200" s="9" t="s">
        <v>420</v>
      </c>
      <c r="D200" s="9" t="str">
        <f t="shared" si="24"/>
        <v>Oqba Alqintar</v>
      </c>
      <c r="E200" s="9" t="s">
        <v>34</v>
      </c>
      <c r="F200" s="9" t="s">
        <v>1006</v>
      </c>
      <c r="G200" s="9" t="s">
        <v>13</v>
      </c>
      <c r="H200" s="10" t="s">
        <v>20</v>
      </c>
      <c r="I200" s="10" t="s">
        <v>22</v>
      </c>
      <c r="J200" s="11" t="s">
        <v>12</v>
      </c>
      <c r="K200" s="9" t="s">
        <v>687</v>
      </c>
      <c r="L200" s="12">
        <v>6</v>
      </c>
      <c r="M200" s="13">
        <v>6</v>
      </c>
      <c r="N200" s="13">
        <v>2016</v>
      </c>
      <c r="O200" s="31">
        <f t="shared" si="25"/>
        <v>42527</v>
      </c>
      <c r="P200" s="13">
        <f t="shared" ca="1" si="26"/>
        <v>9</v>
      </c>
      <c r="Q200" s="29">
        <v>7236</v>
      </c>
      <c r="R200" s="30">
        <f t="shared" si="27"/>
        <v>723.6</v>
      </c>
      <c r="S200" s="30">
        <f t="shared" si="28"/>
        <v>217.07999999999998</v>
      </c>
      <c r="T200" s="30">
        <f t="shared" si="29"/>
        <v>6729.48</v>
      </c>
      <c r="U200" s="14" t="str">
        <f t="shared" si="30"/>
        <v>over</v>
      </c>
      <c r="V200" s="33">
        <f t="shared" si="31"/>
        <v>0.02</v>
      </c>
    </row>
    <row r="201" spans="1:22" ht="15.75" customHeight="1" x14ac:dyDescent="0.25">
      <c r="A201" s="8">
        <v>1200</v>
      </c>
      <c r="B201" s="9" t="s">
        <v>421</v>
      </c>
      <c r="C201" s="9" t="s">
        <v>422</v>
      </c>
      <c r="D201" s="9" t="str">
        <f t="shared" si="24"/>
        <v>Salah Aldiyn Altibae</v>
      </c>
      <c r="E201" s="9" t="s">
        <v>34</v>
      </c>
      <c r="F201" s="9" t="s">
        <v>1007</v>
      </c>
      <c r="G201" s="9" t="s">
        <v>795</v>
      </c>
      <c r="H201" s="10" t="s">
        <v>8</v>
      </c>
      <c r="I201" s="10" t="s">
        <v>22</v>
      </c>
      <c r="J201" s="11" t="s">
        <v>10</v>
      </c>
      <c r="K201" s="9" t="s">
        <v>688</v>
      </c>
      <c r="L201" s="12">
        <v>20</v>
      </c>
      <c r="M201" s="13">
        <v>5</v>
      </c>
      <c r="N201" s="13">
        <v>1999</v>
      </c>
      <c r="O201" s="31">
        <f t="shared" si="25"/>
        <v>36300</v>
      </c>
      <c r="P201" s="13">
        <f t="shared" ca="1" si="26"/>
        <v>26</v>
      </c>
      <c r="Q201" s="29">
        <v>6843</v>
      </c>
      <c r="R201" s="30">
        <f t="shared" si="27"/>
        <v>684.30000000000007</v>
      </c>
      <c r="S201" s="30">
        <f t="shared" si="28"/>
        <v>205.29</v>
      </c>
      <c r="T201" s="30">
        <f t="shared" si="29"/>
        <v>6363.99</v>
      </c>
      <c r="U201" s="14" t="str">
        <f t="shared" si="30"/>
        <v>over</v>
      </c>
      <c r="V201" s="33">
        <f t="shared" si="31"/>
        <v>0.02</v>
      </c>
    </row>
    <row r="202" spans="1:22" ht="15.75" customHeight="1" x14ac:dyDescent="0.25">
      <c r="A202" s="8">
        <v>1201</v>
      </c>
      <c r="B202" s="9" t="s">
        <v>423</v>
      </c>
      <c r="C202" s="9" t="s">
        <v>37</v>
      </c>
      <c r="D202" s="9" t="str">
        <f t="shared" si="24"/>
        <v>Eynas Muhamad</v>
      </c>
      <c r="E202" s="9" t="s">
        <v>33</v>
      </c>
      <c r="F202" s="9" t="s">
        <v>1008</v>
      </c>
      <c r="G202" s="9" t="s">
        <v>795</v>
      </c>
      <c r="H202" s="10" t="s">
        <v>8</v>
      </c>
      <c r="I202" s="10" t="s">
        <v>22</v>
      </c>
      <c r="J202" s="11" t="s">
        <v>10</v>
      </c>
      <c r="K202" s="9" t="s">
        <v>689</v>
      </c>
      <c r="L202" s="12">
        <v>25</v>
      </c>
      <c r="M202" s="13">
        <v>2</v>
      </c>
      <c r="N202" s="13">
        <v>2023</v>
      </c>
      <c r="O202" s="31">
        <f t="shared" si="25"/>
        <v>44982</v>
      </c>
      <c r="P202" s="13">
        <f t="shared" ca="1" si="26"/>
        <v>3</v>
      </c>
      <c r="Q202" s="29">
        <v>1070</v>
      </c>
      <c r="R202" s="30">
        <f t="shared" si="27"/>
        <v>107</v>
      </c>
      <c r="S202" s="30">
        <f t="shared" si="28"/>
        <v>32.1</v>
      </c>
      <c r="T202" s="30">
        <f t="shared" si="29"/>
        <v>995.09999999999991</v>
      </c>
      <c r="U202" s="14" t="str">
        <f t="shared" si="30"/>
        <v>normal</v>
      </c>
      <c r="V202" s="33">
        <f t="shared" si="31"/>
        <v>0.1</v>
      </c>
    </row>
    <row r="203" spans="1:22" ht="15.75" customHeight="1" x14ac:dyDescent="0.25">
      <c r="A203" s="8">
        <v>1202</v>
      </c>
      <c r="B203" s="9" t="s">
        <v>311</v>
      </c>
      <c r="C203" s="9" t="s">
        <v>424</v>
      </c>
      <c r="D203" s="9" t="str">
        <f t="shared" si="24"/>
        <v>Madlin Aljabaei</v>
      </c>
      <c r="E203" s="9" t="s">
        <v>33</v>
      </c>
      <c r="F203" s="9" t="s">
        <v>1009</v>
      </c>
      <c r="G203" s="9" t="s">
        <v>13</v>
      </c>
      <c r="H203" s="10" t="s">
        <v>8</v>
      </c>
      <c r="I203" s="10" t="s">
        <v>22</v>
      </c>
      <c r="J203" s="11" t="s">
        <v>12</v>
      </c>
      <c r="K203" s="9" t="s">
        <v>690</v>
      </c>
      <c r="L203" s="12">
        <v>7</v>
      </c>
      <c r="M203" s="13">
        <v>9</v>
      </c>
      <c r="N203" s="13">
        <v>2011</v>
      </c>
      <c r="O203" s="31">
        <f t="shared" si="25"/>
        <v>40793</v>
      </c>
      <c r="P203" s="13">
        <f t="shared" ca="1" si="26"/>
        <v>14</v>
      </c>
      <c r="Q203" s="29">
        <v>1493</v>
      </c>
      <c r="R203" s="30">
        <f t="shared" si="27"/>
        <v>149.30000000000001</v>
      </c>
      <c r="S203" s="30">
        <f t="shared" si="28"/>
        <v>44.79</v>
      </c>
      <c r="T203" s="30">
        <f t="shared" si="29"/>
        <v>1388.49</v>
      </c>
      <c r="U203" s="14" t="str">
        <f t="shared" si="30"/>
        <v>normal</v>
      </c>
      <c r="V203" s="33">
        <f t="shared" si="31"/>
        <v>0.08</v>
      </c>
    </row>
    <row r="204" spans="1:22" ht="15.75" customHeight="1" x14ac:dyDescent="0.25">
      <c r="A204" s="8">
        <v>1203</v>
      </c>
      <c r="B204" s="9" t="s">
        <v>425</v>
      </c>
      <c r="C204" s="9" t="s">
        <v>426</v>
      </c>
      <c r="D204" s="9" t="str">
        <f t="shared" si="24"/>
        <v>Abdalrhmin Shwk</v>
      </c>
      <c r="E204" s="9" t="s">
        <v>34</v>
      </c>
      <c r="F204" s="9" t="s">
        <v>1010</v>
      </c>
      <c r="G204" s="9" t="s">
        <v>18</v>
      </c>
      <c r="H204" s="10" t="s">
        <v>11</v>
      </c>
      <c r="I204" s="10" t="s">
        <v>22</v>
      </c>
      <c r="J204" s="11" t="s">
        <v>12</v>
      </c>
      <c r="K204" s="9" t="s">
        <v>691</v>
      </c>
      <c r="L204" s="12">
        <v>24</v>
      </c>
      <c r="M204" s="13">
        <v>12</v>
      </c>
      <c r="N204" s="13">
        <v>2001</v>
      </c>
      <c r="O204" s="31">
        <f t="shared" si="25"/>
        <v>37249</v>
      </c>
      <c r="P204" s="13">
        <f t="shared" ca="1" si="26"/>
        <v>24</v>
      </c>
      <c r="Q204" s="29">
        <v>5857</v>
      </c>
      <c r="R204" s="30">
        <f t="shared" si="27"/>
        <v>585.70000000000005</v>
      </c>
      <c r="S204" s="30">
        <f t="shared" si="28"/>
        <v>175.70999999999998</v>
      </c>
      <c r="T204" s="30">
        <f t="shared" si="29"/>
        <v>5447.01</v>
      </c>
      <c r="U204" s="14" t="str">
        <f t="shared" si="30"/>
        <v>normal</v>
      </c>
      <c r="V204" s="33">
        <f t="shared" si="31"/>
        <v>0.05</v>
      </c>
    </row>
    <row r="205" spans="1:22" ht="15.75" customHeight="1" x14ac:dyDescent="0.25">
      <c r="A205" s="8">
        <v>1204</v>
      </c>
      <c r="B205" s="9" t="s">
        <v>36</v>
      </c>
      <c r="C205" s="9" t="s">
        <v>427</v>
      </c>
      <c r="D205" s="9" t="str">
        <f t="shared" si="24"/>
        <v>Ahmad Hamuwdatan</v>
      </c>
      <c r="E205" s="9" t="s">
        <v>34</v>
      </c>
      <c r="F205" s="9" t="s">
        <v>1011</v>
      </c>
      <c r="G205" s="9" t="s">
        <v>18</v>
      </c>
      <c r="H205" s="10" t="s">
        <v>8</v>
      </c>
      <c r="I205" s="10" t="s">
        <v>198</v>
      </c>
      <c r="J205" s="11" t="s">
        <v>12</v>
      </c>
      <c r="K205" s="9" t="s">
        <v>692</v>
      </c>
      <c r="L205" s="12">
        <v>28</v>
      </c>
      <c r="M205" s="13">
        <v>5</v>
      </c>
      <c r="N205" s="13">
        <v>2003</v>
      </c>
      <c r="O205" s="31">
        <f t="shared" si="25"/>
        <v>37769</v>
      </c>
      <c r="P205" s="13">
        <f t="shared" ca="1" si="26"/>
        <v>22</v>
      </c>
      <c r="Q205" s="29">
        <v>5278</v>
      </c>
      <c r="R205" s="30">
        <f t="shared" si="27"/>
        <v>527.80000000000007</v>
      </c>
      <c r="S205" s="30">
        <f t="shared" si="28"/>
        <v>158.34</v>
      </c>
      <c r="T205" s="30">
        <f t="shared" si="29"/>
        <v>4908.54</v>
      </c>
      <c r="U205" s="14" t="str">
        <f t="shared" si="30"/>
        <v>normal</v>
      </c>
      <c r="V205" s="33">
        <f t="shared" si="31"/>
        <v>0.05</v>
      </c>
    </row>
    <row r="206" spans="1:22" ht="15.75" customHeight="1" x14ac:dyDescent="0.25">
      <c r="A206" s="8">
        <v>1205</v>
      </c>
      <c r="B206" s="9" t="s">
        <v>27</v>
      </c>
      <c r="C206" s="9" t="s">
        <v>428</v>
      </c>
      <c r="D206" s="9" t="str">
        <f t="shared" si="24"/>
        <v>Ali Almiqdad</v>
      </c>
      <c r="E206" s="9" t="s">
        <v>34</v>
      </c>
      <c r="F206" s="9" t="s">
        <v>1012</v>
      </c>
      <c r="G206" s="9" t="s">
        <v>795</v>
      </c>
      <c r="H206" s="10" t="s">
        <v>11</v>
      </c>
      <c r="I206" s="10" t="s">
        <v>23</v>
      </c>
      <c r="J206" s="11" t="s">
        <v>19</v>
      </c>
      <c r="K206" s="9" t="s">
        <v>693</v>
      </c>
      <c r="L206" s="12">
        <v>10</v>
      </c>
      <c r="M206" s="13">
        <v>9</v>
      </c>
      <c r="N206" s="13">
        <v>1995</v>
      </c>
      <c r="O206" s="31">
        <f t="shared" si="25"/>
        <v>34952</v>
      </c>
      <c r="P206" s="13">
        <f t="shared" ca="1" si="26"/>
        <v>30</v>
      </c>
      <c r="Q206" s="29">
        <v>5710</v>
      </c>
      <c r="R206" s="30">
        <f t="shared" si="27"/>
        <v>571</v>
      </c>
      <c r="S206" s="30">
        <f t="shared" si="28"/>
        <v>171.29999999999998</v>
      </c>
      <c r="T206" s="30">
        <f t="shared" si="29"/>
        <v>5310.3</v>
      </c>
      <c r="U206" s="14" t="str">
        <f t="shared" si="30"/>
        <v>normal</v>
      </c>
      <c r="V206" s="33">
        <f t="shared" si="31"/>
        <v>0.05</v>
      </c>
    </row>
    <row r="207" spans="1:22" ht="15.75" customHeight="1" x14ac:dyDescent="0.25">
      <c r="A207" s="8">
        <v>1206</v>
      </c>
      <c r="B207" s="9" t="s">
        <v>223</v>
      </c>
      <c r="C207" s="9" t="s">
        <v>210</v>
      </c>
      <c r="D207" s="9" t="str">
        <f t="shared" si="24"/>
        <v>Samah Alkhatib</v>
      </c>
      <c r="E207" s="9" t="s">
        <v>33</v>
      </c>
      <c r="F207" s="9" t="s">
        <v>1013</v>
      </c>
      <c r="G207" s="9" t="s">
        <v>13</v>
      </c>
      <c r="H207" s="10" t="s">
        <v>8</v>
      </c>
      <c r="I207" s="10" t="s">
        <v>15</v>
      </c>
      <c r="J207" s="11" t="s">
        <v>10</v>
      </c>
      <c r="K207" s="9" t="s">
        <v>559</v>
      </c>
      <c r="L207" s="12">
        <v>12</v>
      </c>
      <c r="M207" s="13">
        <v>1</v>
      </c>
      <c r="N207" s="13">
        <v>2011</v>
      </c>
      <c r="O207" s="31">
        <f t="shared" si="25"/>
        <v>40555</v>
      </c>
      <c r="P207" s="13">
        <f t="shared" ca="1" si="26"/>
        <v>15</v>
      </c>
      <c r="Q207" s="29">
        <v>6145</v>
      </c>
      <c r="R207" s="30">
        <f t="shared" si="27"/>
        <v>614.5</v>
      </c>
      <c r="S207" s="30">
        <f t="shared" si="28"/>
        <v>184.35</v>
      </c>
      <c r="T207" s="30">
        <f t="shared" si="29"/>
        <v>5714.85</v>
      </c>
      <c r="U207" s="14" t="str">
        <f t="shared" si="30"/>
        <v>normal</v>
      </c>
      <c r="V207" s="33">
        <f t="shared" si="31"/>
        <v>0.05</v>
      </c>
    </row>
    <row r="208" spans="1:22" ht="15.75" customHeight="1" x14ac:dyDescent="0.25">
      <c r="A208" s="8">
        <v>1207</v>
      </c>
      <c r="B208" s="9" t="s">
        <v>101</v>
      </c>
      <c r="C208" s="9" t="s">
        <v>429</v>
      </c>
      <c r="D208" s="9" t="str">
        <f t="shared" si="24"/>
        <v>Sami Alsyd Ahmad</v>
      </c>
      <c r="E208" s="9" t="s">
        <v>34</v>
      </c>
      <c r="F208" s="9" t="s">
        <v>1014</v>
      </c>
      <c r="G208" s="9" t="s">
        <v>16</v>
      </c>
      <c r="H208" s="10" t="s">
        <v>14</v>
      </c>
      <c r="I208" s="10" t="s">
        <v>23</v>
      </c>
      <c r="J208" s="11" t="s">
        <v>10</v>
      </c>
      <c r="K208" s="9" t="s">
        <v>694</v>
      </c>
      <c r="L208" s="12">
        <v>18</v>
      </c>
      <c r="M208" s="13">
        <v>5</v>
      </c>
      <c r="N208" s="13">
        <v>1990</v>
      </c>
      <c r="O208" s="31">
        <f t="shared" si="25"/>
        <v>33011</v>
      </c>
      <c r="P208" s="13">
        <f t="shared" ca="1" si="26"/>
        <v>35</v>
      </c>
      <c r="Q208" s="29">
        <v>5278</v>
      </c>
      <c r="R208" s="30">
        <f t="shared" si="27"/>
        <v>527.80000000000007</v>
      </c>
      <c r="S208" s="30">
        <f t="shared" si="28"/>
        <v>158.34</v>
      </c>
      <c r="T208" s="30">
        <f t="shared" si="29"/>
        <v>4908.54</v>
      </c>
      <c r="U208" s="14" t="str">
        <f t="shared" si="30"/>
        <v>normal</v>
      </c>
      <c r="V208" s="33">
        <f t="shared" si="31"/>
        <v>0.05</v>
      </c>
    </row>
    <row r="209" spans="1:22" ht="15.75" customHeight="1" x14ac:dyDescent="0.25">
      <c r="A209" s="8">
        <v>1208</v>
      </c>
      <c r="B209" s="9" t="s">
        <v>108</v>
      </c>
      <c r="C209" s="9" t="s">
        <v>430</v>
      </c>
      <c r="D209" s="9" t="str">
        <f t="shared" si="24"/>
        <v>Abd Alwahhab Aldhiyab</v>
      </c>
      <c r="E209" s="9" t="s">
        <v>34</v>
      </c>
      <c r="F209" s="9" t="s">
        <v>1015</v>
      </c>
      <c r="G209" s="9" t="s">
        <v>16</v>
      </c>
      <c r="H209" s="10" t="s">
        <v>20</v>
      </c>
      <c r="I209" s="10" t="s">
        <v>9</v>
      </c>
      <c r="J209" s="11" t="s">
        <v>10</v>
      </c>
      <c r="K209" s="9" t="s">
        <v>695</v>
      </c>
      <c r="L209" s="12">
        <v>16</v>
      </c>
      <c r="M209" s="13">
        <v>10</v>
      </c>
      <c r="N209" s="13">
        <v>2021</v>
      </c>
      <c r="O209" s="31">
        <f t="shared" si="25"/>
        <v>44485</v>
      </c>
      <c r="P209" s="13">
        <f t="shared" ca="1" si="26"/>
        <v>4</v>
      </c>
      <c r="Q209" s="29">
        <v>6409</v>
      </c>
      <c r="R209" s="30">
        <f t="shared" si="27"/>
        <v>640.90000000000009</v>
      </c>
      <c r="S209" s="30">
        <f t="shared" si="28"/>
        <v>192.26999999999998</v>
      </c>
      <c r="T209" s="30">
        <f t="shared" si="29"/>
        <v>5960.3700000000008</v>
      </c>
      <c r="U209" s="14" t="str">
        <f t="shared" si="30"/>
        <v>normal</v>
      </c>
      <c r="V209" s="33">
        <f t="shared" si="31"/>
        <v>0.05</v>
      </c>
    </row>
    <row r="210" spans="1:22" ht="15.75" customHeight="1" x14ac:dyDescent="0.25">
      <c r="A210" s="8">
        <v>1209</v>
      </c>
      <c r="B210" s="9" t="s">
        <v>359</v>
      </c>
      <c r="C210" s="9" t="s">
        <v>431</v>
      </c>
      <c r="D210" s="9" t="str">
        <f t="shared" si="24"/>
        <v>Muwmin Almujahid</v>
      </c>
      <c r="E210" s="9" t="s">
        <v>34</v>
      </c>
      <c r="F210" s="9" t="s">
        <v>1016</v>
      </c>
      <c r="G210" s="9" t="s">
        <v>13</v>
      </c>
      <c r="H210" s="10" t="s">
        <v>8</v>
      </c>
      <c r="I210" s="10" t="s">
        <v>9</v>
      </c>
      <c r="J210" s="11" t="s">
        <v>19</v>
      </c>
      <c r="K210" s="9" t="s">
        <v>696</v>
      </c>
      <c r="L210" s="12">
        <v>18</v>
      </c>
      <c r="M210" s="13">
        <v>11</v>
      </c>
      <c r="N210" s="13">
        <v>1996</v>
      </c>
      <c r="O210" s="31">
        <f t="shared" si="25"/>
        <v>35387</v>
      </c>
      <c r="P210" s="13">
        <f t="shared" ca="1" si="26"/>
        <v>29</v>
      </c>
      <c r="Q210" s="29">
        <v>7478</v>
      </c>
      <c r="R210" s="30">
        <f t="shared" si="27"/>
        <v>747.80000000000007</v>
      </c>
      <c r="S210" s="30">
        <f t="shared" si="28"/>
        <v>224.34</v>
      </c>
      <c r="T210" s="30">
        <f t="shared" si="29"/>
        <v>6954.54</v>
      </c>
      <c r="U210" s="14" t="str">
        <f t="shared" si="30"/>
        <v>over</v>
      </c>
      <c r="V210" s="33">
        <f t="shared" si="31"/>
        <v>0.02</v>
      </c>
    </row>
    <row r="211" spans="1:22" ht="15.75" customHeight="1" x14ac:dyDescent="0.25">
      <c r="A211" s="8">
        <v>1210</v>
      </c>
      <c r="B211" s="9" t="s">
        <v>30</v>
      </c>
      <c r="C211" s="9" t="s">
        <v>266</v>
      </c>
      <c r="D211" s="9" t="str">
        <f t="shared" si="24"/>
        <v>Ruba Alhumwi</v>
      </c>
      <c r="E211" s="9" t="s">
        <v>33</v>
      </c>
      <c r="F211" s="9" t="s">
        <v>1017</v>
      </c>
      <c r="G211" s="9" t="s">
        <v>795</v>
      </c>
      <c r="H211" s="10" t="s">
        <v>8</v>
      </c>
      <c r="I211" s="10" t="s">
        <v>9</v>
      </c>
      <c r="J211" s="11" t="s">
        <v>10</v>
      </c>
      <c r="K211" s="9" t="s">
        <v>697</v>
      </c>
      <c r="L211" s="12">
        <v>5</v>
      </c>
      <c r="M211" s="13">
        <v>4</v>
      </c>
      <c r="N211" s="13">
        <v>1991</v>
      </c>
      <c r="O211" s="31">
        <f t="shared" si="25"/>
        <v>33333</v>
      </c>
      <c r="P211" s="13">
        <f t="shared" ca="1" si="26"/>
        <v>35</v>
      </c>
      <c r="Q211" s="29">
        <v>4621</v>
      </c>
      <c r="R211" s="30">
        <f t="shared" si="27"/>
        <v>462.1</v>
      </c>
      <c r="S211" s="30">
        <f t="shared" si="28"/>
        <v>138.63</v>
      </c>
      <c r="T211" s="30">
        <f t="shared" si="29"/>
        <v>4297.53</v>
      </c>
      <c r="U211" s="14" t="str">
        <f t="shared" si="30"/>
        <v>normal</v>
      </c>
      <c r="V211" s="33">
        <f t="shared" si="31"/>
        <v>0.05</v>
      </c>
    </row>
    <row r="212" spans="1:22" ht="15.75" customHeight="1" x14ac:dyDescent="0.25">
      <c r="A212" s="8">
        <v>1211</v>
      </c>
      <c r="B212" s="9" t="s">
        <v>55</v>
      </c>
      <c r="C212" s="9" t="s">
        <v>432</v>
      </c>
      <c r="D212" s="9" t="str">
        <f t="shared" si="24"/>
        <v>Husayn Hawria</v>
      </c>
      <c r="E212" s="9" t="s">
        <v>34</v>
      </c>
      <c r="F212" s="9" t="s">
        <v>1018</v>
      </c>
      <c r="G212" s="9" t="s">
        <v>16</v>
      </c>
      <c r="H212" s="10" t="s">
        <v>11</v>
      </c>
      <c r="I212" s="10" t="s">
        <v>24</v>
      </c>
      <c r="J212" s="11" t="s">
        <v>12</v>
      </c>
      <c r="K212" s="9" t="s">
        <v>698</v>
      </c>
      <c r="L212" s="12">
        <v>1</v>
      </c>
      <c r="M212" s="13">
        <v>2</v>
      </c>
      <c r="N212" s="13">
        <v>2019</v>
      </c>
      <c r="O212" s="31">
        <f t="shared" si="25"/>
        <v>43497</v>
      </c>
      <c r="P212" s="13">
        <f t="shared" ca="1" si="26"/>
        <v>7</v>
      </c>
      <c r="Q212" s="29">
        <v>2093</v>
      </c>
      <c r="R212" s="30">
        <f t="shared" si="27"/>
        <v>209.3</v>
      </c>
      <c r="S212" s="30">
        <f t="shared" si="28"/>
        <v>62.79</v>
      </c>
      <c r="T212" s="30">
        <f t="shared" si="29"/>
        <v>1946.49</v>
      </c>
      <c r="U212" s="14" t="str">
        <f t="shared" si="30"/>
        <v>normal</v>
      </c>
      <c r="V212" s="33">
        <f t="shared" si="31"/>
        <v>0.08</v>
      </c>
    </row>
    <row r="213" spans="1:22" ht="15.75" customHeight="1" x14ac:dyDescent="0.25">
      <c r="A213" s="8">
        <v>1212</v>
      </c>
      <c r="B213" s="9" t="s">
        <v>433</v>
      </c>
      <c r="C213" s="9" t="s">
        <v>434</v>
      </c>
      <c r="D213" s="9" t="str">
        <f t="shared" si="24"/>
        <v>Iman Ghrz Aldiyn</v>
      </c>
      <c r="E213" s="9" t="s">
        <v>33</v>
      </c>
      <c r="F213" s="9" t="s">
        <v>1019</v>
      </c>
      <c r="G213" s="9" t="s">
        <v>795</v>
      </c>
      <c r="H213" s="10" t="s">
        <v>11</v>
      </c>
      <c r="I213" s="10" t="s">
        <v>198</v>
      </c>
      <c r="J213" s="11" t="s">
        <v>10</v>
      </c>
      <c r="K213" s="9" t="s">
        <v>699</v>
      </c>
      <c r="L213" s="12">
        <v>24</v>
      </c>
      <c r="M213" s="13">
        <v>8</v>
      </c>
      <c r="N213" s="13">
        <v>1995</v>
      </c>
      <c r="O213" s="31">
        <f t="shared" si="25"/>
        <v>34935</v>
      </c>
      <c r="P213" s="13">
        <f t="shared" ca="1" si="26"/>
        <v>30</v>
      </c>
      <c r="Q213" s="29">
        <v>7333</v>
      </c>
      <c r="R213" s="30">
        <f t="shared" si="27"/>
        <v>733.30000000000007</v>
      </c>
      <c r="S213" s="30">
        <f t="shared" si="28"/>
        <v>219.98999999999998</v>
      </c>
      <c r="T213" s="30">
        <f t="shared" si="29"/>
        <v>6819.69</v>
      </c>
      <c r="U213" s="14" t="str">
        <f t="shared" si="30"/>
        <v>over</v>
      </c>
      <c r="V213" s="33">
        <f t="shared" si="31"/>
        <v>0.02</v>
      </c>
    </row>
    <row r="214" spans="1:22" ht="15.75" customHeight="1" x14ac:dyDescent="0.25">
      <c r="A214" s="8">
        <v>1213</v>
      </c>
      <c r="B214" s="9" t="s">
        <v>435</v>
      </c>
      <c r="C214" s="9" t="s">
        <v>436</v>
      </c>
      <c r="D214" s="9" t="str">
        <f t="shared" si="24"/>
        <v>Sari Hanna</v>
      </c>
      <c r="E214" s="9" t="s">
        <v>34</v>
      </c>
      <c r="F214" s="9" t="s">
        <v>1020</v>
      </c>
      <c r="G214" s="9" t="s">
        <v>16</v>
      </c>
      <c r="H214" s="10" t="s">
        <v>8</v>
      </c>
      <c r="I214" s="10" t="s">
        <v>15</v>
      </c>
      <c r="J214" s="11" t="s">
        <v>12</v>
      </c>
      <c r="K214" s="9" t="s">
        <v>700</v>
      </c>
      <c r="L214" s="12">
        <v>17</v>
      </c>
      <c r="M214" s="13">
        <v>4</v>
      </c>
      <c r="N214" s="13">
        <v>1996</v>
      </c>
      <c r="O214" s="31">
        <f t="shared" si="25"/>
        <v>35172</v>
      </c>
      <c r="P214" s="13">
        <f t="shared" ca="1" si="26"/>
        <v>30</v>
      </c>
      <c r="Q214" s="29">
        <v>1194</v>
      </c>
      <c r="R214" s="30">
        <f t="shared" si="27"/>
        <v>119.4</v>
      </c>
      <c r="S214" s="30">
        <f t="shared" si="28"/>
        <v>35.82</v>
      </c>
      <c r="T214" s="30">
        <f t="shared" si="29"/>
        <v>1110.4199999999998</v>
      </c>
      <c r="U214" s="14" t="str">
        <f t="shared" si="30"/>
        <v>normal</v>
      </c>
      <c r="V214" s="33">
        <f t="shared" si="31"/>
        <v>0.08</v>
      </c>
    </row>
    <row r="215" spans="1:22" ht="15.75" customHeight="1" x14ac:dyDescent="0.25">
      <c r="A215" s="8">
        <v>1214</v>
      </c>
      <c r="B215" s="9" t="s">
        <v>235</v>
      </c>
      <c r="C215" s="9" t="s">
        <v>437</v>
      </c>
      <c r="D215" s="9" t="str">
        <f t="shared" si="24"/>
        <v>Khalil Alkalu</v>
      </c>
      <c r="E215" s="9" t="s">
        <v>34</v>
      </c>
      <c r="F215" s="9" t="s">
        <v>1021</v>
      </c>
      <c r="G215" s="9" t="s">
        <v>7</v>
      </c>
      <c r="H215" s="10" t="s">
        <v>8</v>
      </c>
      <c r="I215" s="10" t="s">
        <v>15</v>
      </c>
      <c r="J215" s="11" t="s">
        <v>21</v>
      </c>
      <c r="K215" s="9" t="s">
        <v>701</v>
      </c>
      <c r="L215" s="12">
        <v>9</v>
      </c>
      <c r="M215" s="13">
        <v>2</v>
      </c>
      <c r="N215" s="13">
        <v>2002</v>
      </c>
      <c r="O215" s="31">
        <f t="shared" si="25"/>
        <v>37296</v>
      </c>
      <c r="P215" s="13">
        <f t="shared" ca="1" si="26"/>
        <v>24</v>
      </c>
      <c r="Q215" s="29">
        <v>5118</v>
      </c>
      <c r="R215" s="30">
        <f t="shared" si="27"/>
        <v>511.8</v>
      </c>
      <c r="S215" s="30">
        <f t="shared" si="28"/>
        <v>153.54</v>
      </c>
      <c r="T215" s="30">
        <f t="shared" si="29"/>
        <v>4759.74</v>
      </c>
      <c r="U215" s="14" t="str">
        <f t="shared" si="30"/>
        <v>normal</v>
      </c>
      <c r="V215" s="33">
        <f t="shared" si="31"/>
        <v>0.05</v>
      </c>
    </row>
    <row r="216" spans="1:22" ht="15.75" customHeight="1" x14ac:dyDescent="0.25">
      <c r="A216" s="8">
        <v>1215</v>
      </c>
      <c r="B216" s="9" t="s">
        <v>49</v>
      </c>
      <c r="C216" s="9" t="s">
        <v>50</v>
      </c>
      <c r="D216" s="9" t="str">
        <f t="shared" si="24"/>
        <v>Iilian Dbs</v>
      </c>
      <c r="E216" s="9" t="s">
        <v>33</v>
      </c>
      <c r="F216" s="9" t="s">
        <v>1022</v>
      </c>
      <c r="G216" s="9" t="s">
        <v>16</v>
      </c>
      <c r="H216" s="10" t="s">
        <v>20</v>
      </c>
      <c r="I216" s="10" t="s">
        <v>25</v>
      </c>
      <c r="J216" s="11" t="s">
        <v>12</v>
      </c>
      <c r="K216" s="9" t="s">
        <v>152</v>
      </c>
      <c r="L216" s="12">
        <v>13</v>
      </c>
      <c r="M216" s="13">
        <v>1</v>
      </c>
      <c r="N216" s="13">
        <v>1996</v>
      </c>
      <c r="O216" s="31">
        <f t="shared" si="25"/>
        <v>35077</v>
      </c>
      <c r="P216" s="13">
        <f t="shared" ca="1" si="26"/>
        <v>30</v>
      </c>
      <c r="Q216" s="29">
        <v>5373</v>
      </c>
      <c r="R216" s="30">
        <f t="shared" si="27"/>
        <v>537.30000000000007</v>
      </c>
      <c r="S216" s="30">
        <f t="shared" si="28"/>
        <v>161.19</v>
      </c>
      <c r="T216" s="30">
        <f t="shared" si="29"/>
        <v>4996.8899999999994</v>
      </c>
      <c r="U216" s="14" t="str">
        <f t="shared" si="30"/>
        <v>normal</v>
      </c>
      <c r="V216" s="33">
        <f t="shared" si="31"/>
        <v>0.05</v>
      </c>
    </row>
    <row r="217" spans="1:22" ht="15.75" customHeight="1" x14ac:dyDescent="0.25">
      <c r="A217" s="8">
        <v>1216</v>
      </c>
      <c r="B217" s="9" t="s">
        <v>101</v>
      </c>
      <c r="C217" s="9" t="s">
        <v>438</v>
      </c>
      <c r="D217" s="9" t="str">
        <f t="shared" si="24"/>
        <v>Sami Alkhayrat</v>
      </c>
      <c r="E217" s="9" t="s">
        <v>34</v>
      </c>
      <c r="F217" s="9" t="s">
        <v>1023</v>
      </c>
      <c r="G217" s="9" t="s">
        <v>16</v>
      </c>
      <c r="H217" s="10" t="s">
        <v>8</v>
      </c>
      <c r="I217" s="10" t="s">
        <v>26</v>
      </c>
      <c r="J217" s="11" t="s">
        <v>12</v>
      </c>
      <c r="K217" s="9" t="s">
        <v>702</v>
      </c>
      <c r="L217" s="12">
        <v>23</v>
      </c>
      <c r="M217" s="13">
        <v>3</v>
      </c>
      <c r="N217" s="13">
        <v>2005</v>
      </c>
      <c r="O217" s="31">
        <f t="shared" si="25"/>
        <v>38434</v>
      </c>
      <c r="P217" s="13">
        <f t="shared" ca="1" si="26"/>
        <v>21</v>
      </c>
      <c r="Q217" s="29">
        <v>1708</v>
      </c>
      <c r="R217" s="30">
        <f t="shared" si="27"/>
        <v>170.8</v>
      </c>
      <c r="S217" s="30">
        <f t="shared" si="28"/>
        <v>51.239999999999995</v>
      </c>
      <c r="T217" s="30">
        <f t="shared" si="29"/>
        <v>1588.44</v>
      </c>
      <c r="U217" s="14" t="str">
        <f t="shared" si="30"/>
        <v>normal</v>
      </c>
      <c r="V217" s="33">
        <f t="shared" si="31"/>
        <v>0.08</v>
      </c>
    </row>
    <row r="218" spans="1:22" ht="15.75" customHeight="1" x14ac:dyDescent="0.25">
      <c r="A218" s="8">
        <v>1217</v>
      </c>
      <c r="B218" s="9" t="s">
        <v>439</v>
      </c>
      <c r="C218" s="9" t="s">
        <v>440</v>
      </c>
      <c r="D218" s="9" t="str">
        <f t="shared" si="24"/>
        <v>Darar Alshiyraziu</v>
      </c>
      <c r="E218" s="9" t="s">
        <v>34</v>
      </c>
      <c r="F218" s="9" t="s">
        <v>1024</v>
      </c>
      <c r="G218" s="9" t="s">
        <v>18</v>
      </c>
      <c r="H218" s="10" t="s">
        <v>14</v>
      </c>
      <c r="I218" s="10" t="s">
        <v>198</v>
      </c>
      <c r="J218" s="11" t="s">
        <v>10</v>
      </c>
      <c r="K218" s="9" t="s">
        <v>703</v>
      </c>
      <c r="L218" s="12">
        <v>5</v>
      </c>
      <c r="M218" s="13">
        <v>1</v>
      </c>
      <c r="N218" s="13">
        <v>2016</v>
      </c>
      <c r="O218" s="31">
        <f t="shared" si="25"/>
        <v>42374</v>
      </c>
      <c r="P218" s="13">
        <f t="shared" ca="1" si="26"/>
        <v>10</v>
      </c>
      <c r="Q218" s="29">
        <v>2898</v>
      </c>
      <c r="R218" s="30">
        <f t="shared" si="27"/>
        <v>289.8</v>
      </c>
      <c r="S218" s="30">
        <f t="shared" si="28"/>
        <v>86.94</v>
      </c>
      <c r="T218" s="30">
        <f t="shared" si="29"/>
        <v>2695.14</v>
      </c>
      <c r="U218" s="14" t="str">
        <f t="shared" si="30"/>
        <v>normal</v>
      </c>
      <c r="V218" s="33">
        <f t="shared" si="31"/>
        <v>0.08</v>
      </c>
    </row>
    <row r="219" spans="1:22" ht="15.75" customHeight="1" x14ac:dyDescent="0.25">
      <c r="A219" s="8">
        <v>1218</v>
      </c>
      <c r="B219" s="9" t="s">
        <v>344</v>
      </c>
      <c r="C219" s="9" t="s">
        <v>286</v>
      </c>
      <c r="D219" s="9" t="str">
        <f t="shared" si="24"/>
        <v>Tariq Shakir</v>
      </c>
      <c r="E219" s="9" t="s">
        <v>34</v>
      </c>
      <c r="F219" s="9" t="s">
        <v>1025</v>
      </c>
      <c r="G219" s="9" t="s">
        <v>7</v>
      </c>
      <c r="H219" s="10" t="s">
        <v>8</v>
      </c>
      <c r="I219" s="10" t="s">
        <v>23</v>
      </c>
      <c r="J219" s="11" t="s">
        <v>12</v>
      </c>
      <c r="K219" s="9" t="s">
        <v>704</v>
      </c>
      <c r="L219" s="12">
        <v>6</v>
      </c>
      <c r="M219" s="13">
        <v>11</v>
      </c>
      <c r="N219" s="13">
        <v>2010</v>
      </c>
      <c r="O219" s="31">
        <f t="shared" si="25"/>
        <v>40488</v>
      </c>
      <c r="P219" s="13">
        <f t="shared" ca="1" si="26"/>
        <v>15</v>
      </c>
      <c r="Q219" s="29">
        <v>6211</v>
      </c>
      <c r="R219" s="30">
        <f t="shared" si="27"/>
        <v>621.1</v>
      </c>
      <c r="S219" s="30">
        <f t="shared" si="28"/>
        <v>186.32999999999998</v>
      </c>
      <c r="T219" s="30">
        <f t="shared" si="29"/>
        <v>5776.23</v>
      </c>
      <c r="U219" s="14" t="str">
        <f t="shared" si="30"/>
        <v>normal</v>
      </c>
      <c r="V219" s="33">
        <f t="shared" si="31"/>
        <v>0.05</v>
      </c>
    </row>
    <row r="220" spans="1:22" ht="15.75" customHeight="1" x14ac:dyDescent="0.25">
      <c r="A220" s="8">
        <v>1219</v>
      </c>
      <c r="B220" s="9" t="s">
        <v>441</v>
      </c>
      <c r="C220" s="9" t="s">
        <v>442</v>
      </c>
      <c r="D220" s="9" t="str">
        <f t="shared" si="24"/>
        <v>Fayaruz Sabih</v>
      </c>
      <c r="E220" s="9" t="s">
        <v>33</v>
      </c>
      <c r="F220" s="9" t="s">
        <v>1026</v>
      </c>
      <c r="G220" s="9" t="s">
        <v>18</v>
      </c>
      <c r="H220" s="10" t="s">
        <v>11</v>
      </c>
      <c r="I220" s="10" t="s">
        <v>9</v>
      </c>
      <c r="J220" s="11" t="s">
        <v>21</v>
      </c>
      <c r="K220" s="9" t="s">
        <v>705</v>
      </c>
      <c r="L220" s="12">
        <v>17</v>
      </c>
      <c r="M220" s="13">
        <v>9</v>
      </c>
      <c r="N220" s="13">
        <v>2018</v>
      </c>
      <c r="O220" s="31">
        <f t="shared" si="25"/>
        <v>43360</v>
      </c>
      <c r="P220" s="13">
        <f t="shared" ca="1" si="26"/>
        <v>7</v>
      </c>
      <c r="Q220" s="29">
        <v>5976</v>
      </c>
      <c r="R220" s="30">
        <f t="shared" si="27"/>
        <v>597.6</v>
      </c>
      <c r="S220" s="30">
        <f t="shared" si="28"/>
        <v>179.28</v>
      </c>
      <c r="T220" s="30">
        <f t="shared" si="29"/>
        <v>5557.6799999999994</v>
      </c>
      <c r="U220" s="14" t="str">
        <f t="shared" si="30"/>
        <v>normal</v>
      </c>
      <c r="V220" s="33">
        <f t="shared" si="31"/>
        <v>0.05</v>
      </c>
    </row>
    <row r="221" spans="1:22" ht="15.75" customHeight="1" x14ac:dyDescent="0.25">
      <c r="A221" s="8">
        <v>1220</v>
      </c>
      <c r="B221" s="9" t="s">
        <v>52</v>
      </c>
      <c r="C221" s="9" t="s">
        <v>443</v>
      </c>
      <c r="D221" s="9" t="str">
        <f t="shared" si="24"/>
        <v>Alaa Efan</v>
      </c>
      <c r="E221" s="9" t="s">
        <v>33</v>
      </c>
      <c r="F221" s="9" t="s">
        <v>1027</v>
      </c>
      <c r="G221" s="9" t="s">
        <v>18</v>
      </c>
      <c r="H221" s="10" t="s">
        <v>11</v>
      </c>
      <c r="I221" s="10" t="s">
        <v>9</v>
      </c>
      <c r="J221" s="11" t="s">
        <v>19</v>
      </c>
      <c r="K221" s="9" t="s">
        <v>706</v>
      </c>
      <c r="L221" s="12">
        <v>19</v>
      </c>
      <c r="M221" s="13">
        <v>7</v>
      </c>
      <c r="N221" s="13">
        <v>1992</v>
      </c>
      <c r="O221" s="31">
        <f t="shared" si="25"/>
        <v>33804</v>
      </c>
      <c r="P221" s="13">
        <f t="shared" ca="1" si="26"/>
        <v>33</v>
      </c>
      <c r="Q221" s="29">
        <v>742</v>
      </c>
      <c r="R221" s="30">
        <f t="shared" si="27"/>
        <v>74.2</v>
      </c>
      <c r="S221" s="30">
        <f t="shared" si="28"/>
        <v>22.259999999999998</v>
      </c>
      <c r="T221" s="30">
        <f t="shared" si="29"/>
        <v>690.06</v>
      </c>
      <c r="U221" s="14" t="str">
        <f t="shared" si="30"/>
        <v>normal</v>
      </c>
      <c r="V221" s="33">
        <f t="shared" si="31"/>
        <v>0.1</v>
      </c>
    </row>
    <row r="222" spans="1:22" ht="15.75" customHeight="1" x14ac:dyDescent="0.25">
      <c r="A222" s="8">
        <v>1221</v>
      </c>
      <c r="B222" s="9" t="s">
        <v>344</v>
      </c>
      <c r="C222" s="9" t="s">
        <v>57</v>
      </c>
      <c r="D222" s="9" t="str">
        <f t="shared" si="24"/>
        <v>Tariq Salim</v>
      </c>
      <c r="E222" s="9" t="s">
        <v>34</v>
      </c>
      <c r="F222" s="9" t="s">
        <v>1028</v>
      </c>
      <c r="G222" s="9" t="s">
        <v>13</v>
      </c>
      <c r="H222" s="10" t="s">
        <v>8</v>
      </c>
      <c r="I222" s="10" t="s">
        <v>24</v>
      </c>
      <c r="J222" s="11" t="s">
        <v>21</v>
      </c>
      <c r="K222" s="9" t="s">
        <v>707</v>
      </c>
      <c r="L222" s="12">
        <v>9</v>
      </c>
      <c r="M222" s="13">
        <v>9</v>
      </c>
      <c r="N222" s="13">
        <v>2014</v>
      </c>
      <c r="O222" s="31">
        <f t="shared" si="25"/>
        <v>41891</v>
      </c>
      <c r="P222" s="13">
        <f t="shared" ca="1" si="26"/>
        <v>11</v>
      </c>
      <c r="Q222" s="29">
        <v>5918</v>
      </c>
      <c r="R222" s="30">
        <f t="shared" si="27"/>
        <v>591.80000000000007</v>
      </c>
      <c r="S222" s="30">
        <f t="shared" si="28"/>
        <v>177.54</v>
      </c>
      <c r="T222" s="30">
        <f t="shared" si="29"/>
        <v>5503.74</v>
      </c>
      <c r="U222" s="14" t="str">
        <f t="shared" si="30"/>
        <v>normal</v>
      </c>
      <c r="V222" s="33">
        <f t="shared" si="31"/>
        <v>0.05</v>
      </c>
    </row>
    <row r="223" spans="1:22" ht="15.75" customHeight="1" x14ac:dyDescent="0.25">
      <c r="A223" s="8">
        <v>1222</v>
      </c>
      <c r="B223" s="9" t="s">
        <v>105</v>
      </c>
      <c r="C223" s="9" t="s">
        <v>444</v>
      </c>
      <c r="D223" s="9" t="str">
        <f t="shared" si="24"/>
        <v>Rim Mia</v>
      </c>
      <c r="E223" s="9" t="s">
        <v>33</v>
      </c>
      <c r="F223" s="9" t="s">
        <v>1029</v>
      </c>
      <c r="G223" s="9" t="s">
        <v>13</v>
      </c>
      <c r="H223" s="10" t="s">
        <v>11</v>
      </c>
      <c r="I223" s="10" t="s">
        <v>15</v>
      </c>
      <c r="J223" s="11" t="s">
        <v>12</v>
      </c>
      <c r="K223" s="9" t="s">
        <v>708</v>
      </c>
      <c r="L223" s="12">
        <v>15</v>
      </c>
      <c r="M223" s="13">
        <v>6</v>
      </c>
      <c r="N223" s="13">
        <v>1996</v>
      </c>
      <c r="O223" s="31">
        <f t="shared" si="25"/>
        <v>35231</v>
      </c>
      <c r="P223" s="13">
        <f t="shared" ca="1" si="26"/>
        <v>29</v>
      </c>
      <c r="Q223" s="29">
        <v>3074</v>
      </c>
      <c r="R223" s="30">
        <f t="shared" si="27"/>
        <v>307.40000000000003</v>
      </c>
      <c r="S223" s="30">
        <f t="shared" si="28"/>
        <v>92.22</v>
      </c>
      <c r="T223" s="30">
        <f t="shared" si="29"/>
        <v>2858.8199999999997</v>
      </c>
      <c r="U223" s="14" t="str">
        <f t="shared" si="30"/>
        <v>normal</v>
      </c>
      <c r="V223" s="33">
        <f t="shared" si="31"/>
        <v>0.08</v>
      </c>
    </row>
    <row r="224" spans="1:22" ht="15.75" customHeight="1" x14ac:dyDescent="0.25">
      <c r="A224" s="8">
        <v>1223</v>
      </c>
      <c r="B224" s="9" t="s">
        <v>445</v>
      </c>
      <c r="C224" s="9" t="s">
        <v>36</v>
      </c>
      <c r="D224" s="9" t="str">
        <f t="shared" si="24"/>
        <v>Abdalmjid Ahmad</v>
      </c>
      <c r="E224" s="9" t="s">
        <v>34</v>
      </c>
      <c r="F224" s="9" t="s">
        <v>1030</v>
      </c>
      <c r="G224" s="9" t="s">
        <v>18</v>
      </c>
      <c r="H224" s="10" t="s">
        <v>8</v>
      </c>
      <c r="I224" s="10" t="s">
        <v>9</v>
      </c>
      <c r="J224" s="11" t="s">
        <v>21</v>
      </c>
      <c r="K224" s="9" t="s">
        <v>161</v>
      </c>
      <c r="L224" s="12">
        <v>7</v>
      </c>
      <c r="M224" s="13">
        <v>8</v>
      </c>
      <c r="N224" s="13">
        <v>2007</v>
      </c>
      <c r="O224" s="31">
        <f t="shared" si="25"/>
        <v>39301</v>
      </c>
      <c r="P224" s="13">
        <f t="shared" ca="1" si="26"/>
        <v>18</v>
      </c>
      <c r="Q224" s="29">
        <v>5688</v>
      </c>
      <c r="R224" s="30">
        <f t="shared" si="27"/>
        <v>568.80000000000007</v>
      </c>
      <c r="S224" s="30">
        <f t="shared" si="28"/>
        <v>170.64</v>
      </c>
      <c r="T224" s="30">
        <f t="shared" si="29"/>
        <v>5289.84</v>
      </c>
      <c r="U224" s="14" t="str">
        <f t="shared" si="30"/>
        <v>normal</v>
      </c>
      <c r="V224" s="33">
        <f t="shared" si="31"/>
        <v>0.05</v>
      </c>
    </row>
    <row r="225" spans="1:22" ht="15.75" customHeight="1" x14ac:dyDescent="0.25">
      <c r="A225" s="8">
        <v>1224</v>
      </c>
      <c r="B225" s="9" t="s">
        <v>446</v>
      </c>
      <c r="C225" s="9" t="s">
        <v>447</v>
      </c>
      <c r="D225" s="9" t="str">
        <f t="shared" si="24"/>
        <v>Zakarian Rashwani</v>
      </c>
      <c r="E225" s="9" t="s">
        <v>34</v>
      </c>
      <c r="F225" s="9" t="s">
        <v>1031</v>
      </c>
      <c r="G225" s="9" t="s">
        <v>13</v>
      </c>
      <c r="H225" s="10" t="s">
        <v>14</v>
      </c>
      <c r="I225" s="10" t="s">
        <v>9</v>
      </c>
      <c r="J225" s="11" t="s">
        <v>10</v>
      </c>
      <c r="K225" s="9" t="s">
        <v>709</v>
      </c>
      <c r="L225" s="12">
        <v>2</v>
      </c>
      <c r="M225" s="13">
        <v>9</v>
      </c>
      <c r="N225" s="13">
        <v>2001</v>
      </c>
      <c r="O225" s="31">
        <f t="shared" si="25"/>
        <v>37136</v>
      </c>
      <c r="P225" s="13">
        <f t="shared" ca="1" si="26"/>
        <v>24</v>
      </c>
      <c r="Q225" s="29">
        <v>3362</v>
      </c>
      <c r="R225" s="30">
        <f t="shared" si="27"/>
        <v>336.20000000000005</v>
      </c>
      <c r="S225" s="30">
        <f t="shared" si="28"/>
        <v>100.86</v>
      </c>
      <c r="T225" s="30">
        <f t="shared" si="29"/>
        <v>3126.66</v>
      </c>
      <c r="U225" s="14" t="str">
        <f t="shared" si="30"/>
        <v>normal</v>
      </c>
      <c r="V225" s="33">
        <f t="shared" si="31"/>
        <v>0.05</v>
      </c>
    </row>
    <row r="226" spans="1:22" ht="15.75" customHeight="1" x14ac:dyDescent="0.25">
      <c r="A226" s="8">
        <v>1225</v>
      </c>
      <c r="B226" s="9" t="s">
        <v>311</v>
      </c>
      <c r="C226" s="9" t="s">
        <v>448</v>
      </c>
      <c r="D226" s="9" t="str">
        <f t="shared" si="24"/>
        <v>Madlin Saeid</v>
      </c>
      <c r="E226" s="9" t="s">
        <v>33</v>
      </c>
      <c r="F226" s="9" t="s">
        <v>1032</v>
      </c>
      <c r="G226" s="9" t="s">
        <v>16</v>
      </c>
      <c r="H226" s="10" t="s">
        <v>11</v>
      </c>
      <c r="I226" s="10" t="s">
        <v>9</v>
      </c>
      <c r="J226" s="11" t="s">
        <v>12</v>
      </c>
      <c r="K226" s="9" t="s">
        <v>710</v>
      </c>
      <c r="L226" s="12">
        <v>11</v>
      </c>
      <c r="M226" s="13">
        <v>2</v>
      </c>
      <c r="N226" s="13">
        <v>2017</v>
      </c>
      <c r="O226" s="31">
        <f t="shared" si="25"/>
        <v>42777</v>
      </c>
      <c r="P226" s="13">
        <f t="shared" ca="1" si="26"/>
        <v>9</v>
      </c>
      <c r="Q226" s="29">
        <v>6043</v>
      </c>
      <c r="R226" s="30">
        <f t="shared" si="27"/>
        <v>604.30000000000007</v>
      </c>
      <c r="S226" s="30">
        <f t="shared" si="28"/>
        <v>181.29</v>
      </c>
      <c r="T226" s="30">
        <f t="shared" si="29"/>
        <v>5619.99</v>
      </c>
      <c r="U226" s="14" t="str">
        <f t="shared" si="30"/>
        <v>normal</v>
      </c>
      <c r="V226" s="33">
        <f t="shared" si="31"/>
        <v>0.05</v>
      </c>
    </row>
    <row r="227" spans="1:22" ht="15.75" customHeight="1" x14ac:dyDescent="0.25">
      <c r="A227" s="8">
        <v>1226</v>
      </c>
      <c r="B227" s="9" t="s">
        <v>36</v>
      </c>
      <c r="C227" s="9" t="s">
        <v>265</v>
      </c>
      <c r="D227" s="9" t="str">
        <f t="shared" si="24"/>
        <v>Ahmad Salih</v>
      </c>
      <c r="E227" s="9" t="s">
        <v>34</v>
      </c>
      <c r="F227" s="9" t="s">
        <v>1033</v>
      </c>
      <c r="G227" s="9" t="s">
        <v>16</v>
      </c>
      <c r="H227" s="10" t="s">
        <v>8</v>
      </c>
      <c r="I227" s="10" t="s">
        <v>9</v>
      </c>
      <c r="J227" s="11" t="s">
        <v>12</v>
      </c>
      <c r="K227" s="9" t="s">
        <v>585</v>
      </c>
      <c r="L227" s="12">
        <v>20</v>
      </c>
      <c r="M227" s="13">
        <v>1</v>
      </c>
      <c r="N227" s="13">
        <v>1992</v>
      </c>
      <c r="O227" s="31">
        <f t="shared" si="25"/>
        <v>33623</v>
      </c>
      <c r="P227" s="13">
        <f t="shared" ca="1" si="26"/>
        <v>34</v>
      </c>
      <c r="Q227" s="29">
        <v>6260</v>
      </c>
      <c r="R227" s="30">
        <f t="shared" si="27"/>
        <v>626</v>
      </c>
      <c r="S227" s="30">
        <f t="shared" si="28"/>
        <v>187.79999999999998</v>
      </c>
      <c r="T227" s="30">
        <f t="shared" si="29"/>
        <v>5821.8</v>
      </c>
      <c r="U227" s="14" t="str">
        <f t="shared" si="30"/>
        <v>normal</v>
      </c>
      <c r="V227" s="33">
        <f t="shared" si="31"/>
        <v>0.05</v>
      </c>
    </row>
    <row r="228" spans="1:22" ht="15.75" customHeight="1" x14ac:dyDescent="0.25">
      <c r="A228" s="8">
        <v>1227</v>
      </c>
      <c r="B228" s="9" t="s">
        <v>449</v>
      </c>
      <c r="C228" s="9" t="s">
        <v>450</v>
      </c>
      <c r="D228" s="9" t="str">
        <f t="shared" si="24"/>
        <v>Majdy Rafaea</v>
      </c>
      <c r="E228" s="9" t="s">
        <v>34</v>
      </c>
      <c r="F228" s="9" t="s">
        <v>1034</v>
      </c>
      <c r="G228" s="9" t="s">
        <v>16</v>
      </c>
      <c r="H228" s="10" t="s">
        <v>8</v>
      </c>
      <c r="I228" s="10" t="s">
        <v>9</v>
      </c>
      <c r="J228" s="11" t="s">
        <v>21</v>
      </c>
      <c r="K228" s="9" t="s">
        <v>711</v>
      </c>
      <c r="L228" s="12">
        <v>17</v>
      </c>
      <c r="M228" s="13">
        <v>7</v>
      </c>
      <c r="N228" s="13">
        <v>2017</v>
      </c>
      <c r="O228" s="31">
        <f t="shared" si="25"/>
        <v>42933</v>
      </c>
      <c r="P228" s="13">
        <f t="shared" ca="1" si="26"/>
        <v>8</v>
      </c>
      <c r="Q228" s="29">
        <v>3754</v>
      </c>
      <c r="R228" s="30">
        <f t="shared" si="27"/>
        <v>375.40000000000003</v>
      </c>
      <c r="S228" s="30">
        <f t="shared" si="28"/>
        <v>112.61999999999999</v>
      </c>
      <c r="T228" s="30">
        <f t="shared" si="29"/>
        <v>3491.22</v>
      </c>
      <c r="U228" s="14" t="str">
        <f t="shared" si="30"/>
        <v>normal</v>
      </c>
      <c r="V228" s="33">
        <f t="shared" si="31"/>
        <v>0.05</v>
      </c>
    </row>
    <row r="229" spans="1:22" ht="15.75" customHeight="1" x14ac:dyDescent="0.25">
      <c r="A229" s="8">
        <v>1228</v>
      </c>
      <c r="B229" s="9" t="s">
        <v>451</v>
      </c>
      <c r="C229" s="9" t="s">
        <v>452</v>
      </c>
      <c r="D229" s="9" t="str">
        <f t="shared" si="24"/>
        <v>Majdulyn Alhakim</v>
      </c>
      <c r="E229" s="9" t="s">
        <v>33</v>
      </c>
      <c r="F229" s="9" t="s">
        <v>1035</v>
      </c>
      <c r="G229" s="9" t="s">
        <v>13</v>
      </c>
      <c r="H229" s="10" t="s">
        <v>14</v>
      </c>
      <c r="I229" s="10" t="s">
        <v>22</v>
      </c>
      <c r="J229" s="11" t="s">
        <v>12</v>
      </c>
      <c r="K229" s="9" t="s">
        <v>712</v>
      </c>
      <c r="L229" s="12">
        <v>21</v>
      </c>
      <c r="M229" s="13">
        <v>11</v>
      </c>
      <c r="N229" s="13">
        <v>2013</v>
      </c>
      <c r="O229" s="31">
        <f t="shared" si="25"/>
        <v>41599</v>
      </c>
      <c r="P229" s="13">
        <f t="shared" ca="1" si="26"/>
        <v>12</v>
      </c>
      <c r="Q229" s="29">
        <v>6579</v>
      </c>
      <c r="R229" s="30">
        <f t="shared" si="27"/>
        <v>657.90000000000009</v>
      </c>
      <c r="S229" s="30">
        <f t="shared" si="28"/>
        <v>197.37</v>
      </c>
      <c r="T229" s="30">
        <f t="shared" si="29"/>
        <v>6118.4699999999993</v>
      </c>
      <c r="U229" s="14" t="str">
        <f t="shared" si="30"/>
        <v>over</v>
      </c>
      <c r="V229" s="33">
        <f t="shared" si="31"/>
        <v>0.02</v>
      </c>
    </row>
    <row r="230" spans="1:22" ht="15.75" customHeight="1" x14ac:dyDescent="0.25">
      <c r="A230" s="8">
        <v>1229</v>
      </c>
      <c r="B230" s="9" t="s">
        <v>326</v>
      </c>
      <c r="C230" s="9" t="s">
        <v>453</v>
      </c>
      <c r="D230" s="9" t="str">
        <f t="shared" si="24"/>
        <v>Omar Zarzur</v>
      </c>
      <c r="E230" s="9" t="s">
        <v>34</v>
      </c>
      <c r="F230" s="9" t="s">
        <v>1036</v>
      </c>
      <c r="G230" s="9" t="s">
        <v>16</v>
      </c>
      <c r="H230" s="10" t="s">
        <v>14</v>
      </c>
      <c r="I230" s="10" t="s">
        <v>17</v>
      </c>
      <c r="J230" s="11" t="s">
        <v>12</v>
      </c>
      <c r="K230" s="9" t="s">
        <v>713</v>
      </c>
      <c r="L230" s="12">
        <v>23</v>
      </c>
      <c r="M230" s="13">
        <v>10</v>
      </c>
      <c r="N230" s="13">
        <v>2012</v>
      </c>
      <c r="O230" s="31">
        <f t="shared" si="25"/>
        <v>41205</v>
      </c>
      <c r="P230" s="13">
        <f t="shared" ca="1" si="26"/>
        <v>13</v>
      </c>
      <c r="Q230" s="29">
        <v>5373</v>
      </c>
      <c r="R230" s="30">
        <f t="shared" si="27"/>
        <v>537.30000000000007</v>
      </c>
      <c r="S230" s="30">
        <f t="shared" si="28"/>
        <v>161.19</v>
      </c>
      <c r="T230" s="30">
        <f t="shared" si="29"/>
        <v>4996.8899999999994</v>
      </c>
      <c r="U230" s="14" t="str">
        <f t="shared" si="30"/>
        <v>normal</v>
      </c>
      <c r="V230" s="33">
        <f t="shared" si="31"/>
        <v>0.05</v>
      </c>
    </row>
    <row r="231" spans="1:22" ht="15.75" customHeight="1" x14ac:dyDescent="0.25">
      <c r="A231" s="8">
        <v>1230</v>
      </c>
      <c r="B231" s="9" t="s">
        <v>454</v>
      </c>
      <c r="C231" s="9" t="s">
        <v>455</v>
      </c>
      <c r="D231" s="9" t="str">
        <f t="shared" si="24"/>
        <v>Fatin Red</v>
      </c>
      <c r="E231" s="9" t="s">
        <v>33</v>
      </c>
      <c r="F231" s="9" t="s">
        <v>1037</v>
      </c>
      <c r="G231" s="9" t="s">
        <v>13</v>
      </c>
      <c r="H231" s="10" t="s">
        <v>11</v>
      </c>
      <c r="I231" s="10" t="s">
        <v>15</v>
      </c>
      <c r="J231" s="11" t="s">
        <v>10</v>
      </c>
      <c r="K231" s="9" t="s">
        <v>714</v>
      </c>
      <c r="L231" s="12">
        <v>7</v>
      </c>
      <c r="M231" s="13">
        <v>9</v>
      </c>
      <c r="N231" s="13">
        <v>1995</v>
      </c>
      <c r="O231" s="31">
        <f t="shared" si="25"/>
        <v>34949</v>
      </c>
      <c r="P231" s="13">
        <f t="shared" ca="1" si="26"/>
        <v>30</v>
      </c>
      <c r="Q231" s="29">
        <v>1391</v>
      </c>
      <c r="R231" s="30">
        <f t="shared" si="27"/>
        <v>139.1</v>
      </c>
      <c r="S231" s="30">
        <f t="shared" si="28"/>
        <v>41.73</v>
      </c>
      <c r="T231" s="30">
        <f t="shared" si="29"/>
        <v>1293.6300000000001</v>
      </c>
      <c r="U231" s="14" t="str">
        <f t="shared" si="30"/>
        <v>normal</v>
      </c>
      <c r="V231" s="33">
        <f t="shared" si="31"/>
        <v>0.08</v>
      </c>
    </row>
    <row r="232" spans="1:22" ht="15.75" customHeight="1" x14ac:dyDescent="0.25">
      <c r="A232" s="8">
        <v>1231</v>
      </c>
      <c r="B232" s="9" t="s">
        <v>36</v>
      </c>
      <c r="C232" s="9" t="s">
        <v>456</v>
      </c>
      <c r="D232" s="9" t="str">
        <f t="shared" si="24"/>
        <v>Ahmad Ezqul</v>
      </c>
      <c r="E232" s="9" t="s">
        <v>34</v>
      </c>
      <c r="F232" s="9" t="s">
        <v>1038</v>
      </c>
      <c r="G232" s="9" t="s">
        <v>16</v>
      </c>
      <c r="H232" s="10" t="s">
        <v>11</v>
      </c>
      <c r="I232" s="10" t="s">
        <v>198</v>
      </c>
      <c r="J232" s="11" t="s">
        <v>10</v>
      </c>
      <c r="K232" s="9" t="s">
        <v>715</v>
      </c>
      <c r="L232" s="12">
        <v>1</v>
      </c>
      <c r="M232" s="13">
        <v>7</v>
      </c>
      <c r="N232" s="13">
        <v>2019</v>
      </c>
      <c r="O232" s="31">
        <f t="shared" si="25"/>
        <v>43647</v>
      </c>
      <c r="P232" s="13">
        <f t="shared" ca="1" si="26"/>
        <v>6</v>
      </c>
      <c r="Q232" s="29">
        <v>2528</v>
      </c>
      <c r="R232" s="30">
        <f t="shared" si="27"/>
        <v>252.8</v>
      </c>
      <c r="S232" s="30">
        <f t="shared" si="28"/>
        <v>75.84</v>
      </c>
      <c r="T232" s="30">
        <f t="shared" si="29"/>
        <v>2351.04</v>
      </c>
      <c r="U232" s="14" t="str">
        <f t="shared" si="30"/>
        <v>normal</v>
      </c>
      <c r="V232" s="33">
        <f t="shared" si="31"/>
        <v>0.08</v>
      </c>
    </row>
    <row r="233" spans="1:22" ht="15.75" customHeight="1" x14ac:dyDescent="0.25">
      <c r="A233" s="8">
        <v>1232</v>
      </c>
      <c r="B233" s="9" t="s">
        <v>457</v>
      </c>
      <c r="C233" s="9" t="s">
        <v>458</v>
      </c>
      <c r="D233" s="9" t="str">
        <f t="shared" si="24"/>
        <v>Sayf Aldiyn Alkmshh</v>
      </c>
      <c r="E233" s="9" t="s">
        <v>34</v>
      </c>
      <c r="F233" s="9" t="s">
        <v>1039</v>
      </c>
      <c r="G233" s="9" t="s">
        <v>16</v>
      </c>
      <c r="H233" s="10" t="s">
        <v>8</v>
      </c>
      <c r="I233" s="10" t="s">
        <v>26</v>
      </c>
      <c r="J233" s="11" t="s">
        <v>21</v>
      </c>
      <c r="K233" s="9" t="s">
        <v>716</v>
      </c>
      <c r="L233" s="12">
        <v>3</v>
      </c>
      <c r="M233" s="13">
        <v>9</v>
      </c>
      <c r="N233" s="13">
        <v>1997</v>
      </c>
      <c r="O233" s="31">
        <f t="shared" si="25"/>
        <v>35676</v>
      </c>
      <c r="P233" s="13">
        <f t="shared" ca="1" si="26"/>
        <v>28</v>
      </c>
      <c r="Q233" s="29">
        <v>6040</v>
      </c>
      <c r="R233" s="30">
        <f t="shared" si="27"/>
        <v>604</v>
      </c>
      <c r="S233" s="30">
        <f t="shared" si="28"/>
        <v>181.2</v>
      </c>
      <c r="T233" s="30">
        <f t="shared" si="29"/>
        <v>5617.2</v>
      </c>
      <c r="U233" s="14" t="str">
        <f t="shared" si="30"/>
        <v>normal</v>
      </c>
      <c r="V233" s="33">
        <f t="shared" si="31"/>
        <v>0.05</v>
      </c>
    </row>
    <row r="234" spans="1:22" ht="15.75" customHeight="1" x14ac:dyDescent="0.25">
      <c r="A234" s="8">
        <v>1233</v>
      </c>
      <c r="B234" s="9" t="s">
        <v>459</v>
      </c>
      <c r="C234" s="9" t="s">
        <v>460</v>
      </c>
      <c r="D234" s="9" t="str">
        <f t="shared" si="24"/>
        <v>Sharihan Rihan</v>
      </c>
      <c r="E234" s="9" t="s">
        <v>33</v>
      </c>
      <c r="F234" s="9" t="s">
        <v>1040</v>
      </c>
      <c r="G234" s="9" t="s">
        <v>795</v>
      </c>
      <c r="H234" s="10" t="s">
        <v>11</v>
      </c>
      <c r="I234" s="10" t="s">
        <v>17</v>
      </c>
      <c r="J234" s="11" t="s">
        <v>12</v>
      </c>
      <c r="K234" s="9" t="s">
        <v>717</v>
      </c>
      <c r="L234" s="12">
        <v>10</v>
      </c>
      <c r="M234" s="13">
        <v>10</v>
      </c>
      <c r="N234" s="13">
        <v>1990</v>
      </c>
      <c r="O234" s="31">
        <f t="shared" si="25"/>
        <v>33156</v>
      </c>
      <c r="P234" s="13">
        <f t="shared" ca="1" si="26"/>
        <v>35</v>
      </c>
      <c r="Q234" s="29">
        <v>3842</v>
      </c>
      <c r="R234" s="30">
        <f t="shared" si="27"/>
        <v>384.20000000000005</v>
      </c>
      <c r="S234" s="30">
        <f t="shared" si="28"/>
        <v>115.25999999999999</v>
      </c>
      <c r="T234" s="30">
        <f t="shared" si="29"/>
        <v>3573.0600000000004</v>
      </c>
      <c r="U234" s="14" t="str">
        <f t="shared" si="30"/>
        <v>normal</v>
      </c>
      <c r="V234" s="33">
        <f t="shared" si="31"/>
        <v>0.05</v>
      </c>
    </row>
    <row r="235" spans="1:22" ht="15.75" customHeight="1" x14ac:dyDescent="0.25">
      <c r="A235" s="8">
        <v>1234</v>
      </c>
      <c r="B235" s="9" t="s">
        <v>36</v>
      </c>
      <c r="C235" s="9" t="s">
        <v>461</v>
      </c>
      <c r="D235" s="9" t="str">
        <f t="shared" si="24"/>
        <v>Ahmad Alshalaq</v>
      </c>
      <c r="E235" s="9" t="s">
        <v>34</v>
      </c>
      <c r="F235" s="9" t="s">
        <v>1041</v>
      </c>
      <c r="G235" s="9" t="s">
        <v>16</v>
      </c>
      <c r="H235" s="10" t="s">
        <v>8</v>
      </c>
      <c r="I235" s="10" t="s">
        <v>198</v>
      </c>
      <c r="J235" s="11" t="s">
        <v>10</v>
      </c>
      <c r="K235" s="9" t="s">
        <v>718</v>
      </c>
      <c r="L235" s="12">
        <v>9</v>
      </c>
      <c r="M235" s="13">
        <v>1</v>
      </c>
      <c r="N235" s="13">
        <v>2010</v>
      </c>
      <c r="O235" s="31">
        <f t="shared" si="25"/>
        <v>40187</v>
      </c>
      <c r="P235" s="13">
        <f t="shared" ca="1" si="26"/>
        <v>16</v>
      </c>
      <c r="Q235" s="29">
        <v>1542</v>
      </c>
      <c r="R235" s="30">
        <f t="shared" si="27"/>
        <v>154.20000000000002</v>
      </c>
      <c r="S235" s="30">
        <f t="shared" si="28"/>
        <v>46.26</v>
      </c>
      <c r="T235" s="30">
        <f t="shared" si="29"/>
        <v>1434.06</v>
      </c>
      <c r="U235" s="14" t="str">
        <f t="shared" si="30"/>
        <v>normal</v>
      </c>
      <c r="V235" s="33">
        <f t="shared" si="31"/>
        <v>0.08</v>
      </c>
    </row>
    <row r="236" spans="1:22" ht="15.75" customHeight="1" x14ac:dyDescent="0.25">
      <c r="A236" s="8">
        <v>1235</v>
      </c>
      <c r="B236" s="9" t="s">
        <v>462</v>
      </c>
      <c r="C236" s="9" t="s">
        <v>463</v>
      </c>
      <c r="D236" s="9" t="str">
        <f t="shared" si="24"/>
        <v>Rannym Tyru</v>
      </c>
      <c r="E236" s="9" t="s">
        <v>33</v>
      </c>
      <c r="F236" s="9" t="s">
        <v>1042</v>
      </c>
      <c r="G236" s="9" t="s">
        <v>16</v>
      </c>
      <c r="H236" s="10" t="s">
        <v>8</v>
      </c>
      <c r="I236" s="10" t="s">
        <v>9</v>
      </c>
      <c r="J236" s="11" t="s">
        <v>19</v>
      </c>
      <c r="K236" s="9" t="s">
        <v>719</v>
      </c>
      <c r="L236" s="12">
        <v>15</v>
      </c>
      <c r="M236" s="13">
        <v>2</v>
      </c>
      <c r="N236" s="13">
        <v>2012</v>
      </c>
      <c r="O236" s="31">
        <f t="shared" si="25"/>
        <v>40954</v>
      </c>
      <c r="P236" s="13">
        <f t="shared" ca="1" si="26"/>
        <v>14</v>
      </c>
      <c r="Q236" s="29">
        <v>3134</v>
      </c>
      <c r="R236" s="30">
        <f t="shared" si="27"/>
        <v>313.40000000000003</v>
      </c>
      <c r="S236" s="30">
        <f t="shared" si="28"/>
        <v>94.02</v>
      </c>
      <c r="T236" s="30">
        <f t="shared" si="29"/>
        <v>2914.62</v>
      </c>
      <c r="U236" s="14" t="str">
        <f t="shared" si="30"/>
        <v>normal</v>
      </c>
      <c r="V236" s="33">
        <f t="shared" si="31"/>
        <v>0.08</v>
      </c>
    </row>
    <row r="237" spans="1:22" ht="15.75" customHeight="1" x14ac:dyDescent="0.25">
      <c r="A237" s="8">
        <v>1236</v>
      </c>
      <c r="B237" s="9" t="s">
        <v>357</v>
      </c>
      <c r="C237" s="9" t="s">
        <v>464</v>
      </c>
      <c r="D237" s="9" t="str">
        <f t="shared" si="24"/>
        <v>Majd Abuhamd</v>
      </c>
      <c r="E237" s="9" t="s">
        <v>33</v>
      </c>
      <c r="F237" s="9" t="s">
        <v>1043</v>
      </c>
      <c r="G237" s="9" t="s">
        <v>16</v>
      </c>
      <c r="H237" s="10" t="s">
        <v>8</v>
      </c>
      <c r="I237" s="10" t="s">
        <v>22</v>
      </c>
      <c r="J237" s="11" t="s">
        <v>12</v>
      </c>
      <c r="K237" s="9" t="s">
        <v>720</v>
      </c>
      <c r="L237" s="12">
        <v>11</v>
      </c>
      <c r="M237" s="13">
        <v>6</v>
      </c>
      <c r="N237" s="13">
        <v>2012</v>
      </c>
      <c r="O237" s="31">
        <f t="shared" si="25"/>
        <v>41071</v>
      </c>
      <c r="P237" s="13">
        <f t="shared" ca="1" si="26"/>
        <v>13</v>
      </c>
      <c r="Q237" s="29">
        <v>4921</v>
      </c>
      <c r="R237" s="30">
        <f t="shared" si="27"/>
        <v>492.1</v>
      </c>
      <c r="S237" s="30">
        <f t="shared" si="28"/>
        <v>147.63</v>
      </c>
      <c r="T237" s="30">
        <f t="shared" si="29"/>
        <v>4576.53</v>
      </c>
      <c r="U237" s="14" t="str">
        <f t="shared" si="30"/>
        <v>normal</v>
      </c>
      <c r="V237" s="33">
        <f t="shared" si="31"/>
        <v>0.05</v>
      </c>
    </row>
    <row r="238" spans="1:22" ht="15.75" customHeight="1" x14ac:dyDescent="0.25">
      <c r="A238" s="8">
        <v>1237</v>
      </c>
      <c r="B238" s="9" t="s">
        <v>465</v>
      </c>
      <c r="C238" s="9" t="s">
        <v>466</v>
      </c>
      <c r="D238" s="9" t="str">
        <f t="shared" si="24"/>
        <v>Diea Sharina</v>
      </c>
      <c r="E238" s="9" t="s">
        <v>34</v>
      </c>
      <c r="F238" s="9" t="s">
        <v>1044</v>
      </c>
      <c r="G238" s="9" t="s">
        <v>16</v>
      </c>
      <c r="H238" s="10" t="s">
        <v>8</v>
      </c>
      <c r="I238" s="10" t="s">
        <v>198</v>
      </c>
      <c r="J238" s="11" t="s">
        <v>10</v>
      </c>
      <c r="K238" s="9" t="s">
        <v>721</v>
      </c>
      <c r="L238" s="12">
        <v>22</v>
      </c>
      <c r="M238" s="13">
        <v>4</v>
      </c>
      <c r="N238" s="13">
        <v>2017</v>
      </c>
      <c r="O238" s="31">
        <f t="shared" si="25"/>
        <v>42847</v>
      </c>
      <c r="P238" s="13">
        <f t="shared" ca="1" si="26"/>
        <v>9</v>
      </c>
      <c r="Q238" s="29">
        <v>1948</v>
      </c>
      <c r="R238" s="30">
        <f t="shared" si="27"/>
        <v>194.8</v>
      </c>
      <c r="S238" s="30">
        <f t="shared" si="28"/>
        <v>58.44</v>
      </c>
      <c r="T238" s="30">
        <f t="shared" si="29"/>
        <v>1811.64</v>
      </c>
      <c r="U238" s="14" t="str">
        <f t="shared" si="30"/>
        <v>normal</v>
      </c>
      <c r="V238" s="33">
        <f t="shared" si="31"/>
        <v>0.08</v>
      </c>
    </row>
    <row r="239" spans="1:22" ht="15.75" customHeight="1" x14ac:dyDescent="0.25">
      <c r="A239" s="8">
        <v>1238</v>
      </c>
      <c r="B239" s="9" t="s">
        <v>467</v>
      </c>
      <c r="C239" s="9" t="s">
        <v>468</v>
      </c>
      <c r="D239" s="9" t="str">
        <f t="shared" si="24"/>
        <v>Jablah Alsulayman</v>
      </c>
      <c r="E239" s="9" t="s">
        <v>33</v>
      </c>
      <c r="F239" s="9" t="s">
        <v>1045</v>
      </c>
      <c r="G239" s="9" t="s">
        <v>18</v>
      </c>
      <c r="H239" s="10" t="s">
        <v>11</v>
      </c>
      <c r="I239" s="10" t="s">
        <v>22</v>
      </c>
      <c r="J239" s="11" t="s">
        <v>10</v>
      </c>
      <c r="K239" s="9" t="s">
        <v>722</v>
      </c>
      <c r="L239" s="12">
        <v>28</v>
      </c>
      <c r="M239" s="13">
        <v>2</v>
      </c>
      <c r="N239" s="13">
        <v>1990</v>
      </c>
      <c r="O239" s="31">
        <f t="shared" si="25"/>
        <v>32932</v>
      </c>
      <c r="P239" s="13">
        <f t="shared" ca="1" si="26"/>
        <v>36</v>
      </c>
      <c r="Q239" s="29">
        <v>3294</v>
      </c>
      <c r="R239" s="30">
        <f t="shared" si="27"/>
        <v>329.40000000000003</v>
      </c>
      <c r="S239" s="30">
        <f t="shared" si="28"/>
        <v>98.82</v>
      </c>
      <c r="T239" s="30">
        <f t="shared" si="29"/>
        <v>3063.42</v>
      </c>
      <c r="U239" s="14" t="str">
        <f t="shared" si="30"/>
        <v>normal</v>
      </c>
      <c r="V239" s="33">
        <f t="shared" si="31"/>
        <v>0.05</v>
      </c>
    </row>
    <row r="240" spans="1:22" ht="15.75" customHeight="1" x14ac:dyDescent="0.25">
      <c r="A240" s="8">
        <v>1239</v>
      </c>
      <c r="B240" s="9" t="s">
        <v>469</v>
      </c>
      <c r="C240" s="9" t="s">
        <v>470</v>
      </c>
      <c r="D240" s="9" t="str">
        <f t="shared" si="24"/>
        <v>Lylas Shiah</v>
      </c>
      <c r="E240" s="9" t="s">
        <v>33</v>
      </c>
      <c r="F240" s="9" t="s">
        <v>1046</v>
      </c>
      <c r="G240" s="9" t="s">
        <v>795</v>
      </c>
      <c r="H240" s="10" t="s">
        <v>8</v>
      </c>
      <c r="I240" s="10" t="s">
        <v>198</v>
      </c>
      <c r="J240" s="11" t="s">
        <v>21</v>
      </c>
      <c r="K240" s="9" t="s">
        <v>723</v>
      </c>
      <c r="L240" s="12">
        <v>11</v>
      </c>
      <c r="M240" s="13">
        <v>6</v>
      </c>
      <c r="N240" s="13">
        <v>2002</v>
      </c>
      <c r="O240" s="31">
        <f t="shared" si="25"/>
        <v>37418</v>
      </c>
      <c r="P240" s="13">
        <f t="shared" ca="1" si="26"/>
        <v>23</v>
      </c>
      <c r="Q240" s="29">
        <v>7123</v>
      </c>
      <c r="R240" s="30">
        <f t="shared" si="27"/>
        <v>712.30000000000007</v>
      </c>
      <c r="S240" s="30">
        <f t="shared" si="28"/>
        <v>213.69</v>
      </c>
      <c r="T240" s="30">
        <f t="shared" si="29"/>
        <v>6624.3899999999994</v>
      </c>
      <c r="U240" s="14" t="str">
        <f t="shared" si="30"/>
        <v>over</v>
      </c>
      <c r="V240" s="33">
        <f t="shared" si="31"/>
        <v>0.02</v>
      </c>
    </row>
    <row r="241" spans="1:22" ht="15.75" customHeight="1" x14ac:dyDescent="0.25">
      <c r="A241" s="8">
        <v>1240</v>
      </c>
      <c r="B241" s="9" t="s">
        <v>36</v>
      </c>
      <c r="C241" s="9" t="s">
        <v>471</v>
      </c>
      <c r="D241" s="9" t="str">
        <f t="shared" si="24"/>
        <v>Ahmad Hamuwd</v>
      </c>
      <c r="E241" s="9" t="s">
        <v>34</v>
      </c>
      <c r="F241" s="9" t="s">
        <v>1047</v>
      </c>
      <c r="G241" s="9" t="s">
        <v>13</v>
      </c>
      <c r="H241" s="10" t="s">
        <v>11</v>
      </c>
      <c r="I241" s="10" t="s">
        <v>22</v>
      </c>
      <c r="J241" s="11" t="s">
        <v>21</v>
      </c>
      <c r="K241" s="9" t="s">
        <v>724</v>
      </c>
      <c r="L241" s="12">
        <v>22</v>
      </c>
      <c r="M241" s="13">
        <v>5</v>
      </c>
      <c r="N241" s="13">
        <v>2014</v>
      </c>
      <c r="O241" s="31">
        <f t="shared" si="25"/>
        <v>41781</v>
      </c>
      <c r="P241" s="13">
        <f t="shared" ca="1" si="26"/>
        <v>11</v>
      </c>
      <c r="Q241" s="29">
        <v>7236</v>
      </c>
      <c r="R241" s="30">
        <f t="shared" si="27"/>
        <v>723.6</v>
      </c>
      <c r="S241" s="30">
        <f t="shared" si="28"/>
        <v>217.07999999999998</v>
      </c>
      <c r="T241" s="30">
        <f t="shared" si="29"/>
        <v>6729.48</v>
      </c>
      <c r="U241" s="14" t="str">
        <f t="shared" si="30"/>
        <v>over</v>
      </c>
      <c r="V241" s="33">
        <f t="shared" si="31"/>
        <v>0.02</v>
      </c>
    </row>
    <row r="242" spans="1:22" ht="15.75" customHeight="1" x14ac:dyDescent="0.25">
      <c r="A242" s="8">
        <v>1241</v>
      </c>
      <c r="B242" s="9" t="s">
        <v>472</v>
      </c>
      <c r="C242" s="9" t="s">
        <v>473</v>
      </c>
      <c r="D242" s="9" t="str">
        <f t="shared" si="24"/>
        <v>Imran Hazruma</v>
      </c>
      <c r="E242" s="9" t="s">
        <v>34</v>
      </c>
      <c r="F242" s="9" t="s">
        <v>1048</v>
      </c>
      <c r="G242" s="9" t="s">
        <v>795</v>
      </c>
      <c r="H242" s="10" t="s">
        <v>11</v>
      </c>
      <c r="I242" s="10" t="s">
        <v>22</v>
      </c>
      <c r="J242" s="11" t="s">
        <v>19</v>
      </c>
      <c r="K242" s="9" t="s">
        <v>725</v>
      </c>
      <c r="L242" s="12">
        <v>10</v>
      </c>
      <c r="M242" s="13">
        <v>12</v>
      </c>
      <c r="N242" s="13">
        <v>1991</v>
      </c>
      <c r="O242" s="31">
        <f t="shared" si="25"/>
        <v>33582</v>
      </c>
      <c r="P242" s="13">
        <f t="shared" ca="1" si="26"/>
        <v>34</v>
      </c>
      <c r="Q242" s="29">
        <v>6843</v>
      </c>
      <c r="R242" s="30">
        <f t="shared" si="27"/>
        <v>684.30000000000007</v>
      </c>
      <c r="S242" s="30">
        <f t="shared" si="28"/>
        <v>205.29</v>
      </c>
      <c r="T242" s="30">
        <f t="shared" si="29"/>
        <v>6363.99</v>
      </c>
      <c r="U242" s="14" t="str">
        <f t="shared" si="30"/>
        <v>over</v>
      </c>
      <c r="V242" s="33">
        <f t="shared" si="31"/>
        <v>0.02</v>
      </c>
    </row>
    <row r="243" spans="1:22" ht="15.75" customHeight="1" x14ac:dyDescent="0.25">
      <c r="A243" s="8">
        <v>1242</v>
      </c>
      <c r="B243" s="9" t="s">
        <v>60</v>
      </c>
      <c r="C243" s="9" t="s">
        <v>474</v>
      </c>
      <c r="D243" s="9" t="str">
        <f t="shared" si="24"/>
        <v>Samir Alhaj Ali</v>
      </c>
      <c r="E243" s="9" t="s">
        <v>34</v>
      </c>
      <c r="F243" s="9" t="s">
        <v>1049</v>
      </c>
      <c r="G243" s="9" t="s">
        <v>795</v>
      </c>
      <c r="H243" s="10" t="s">
        <v>8</v>
      </c>
      <c r="I243" s="10" t="s">
        <v>22</v>
      </c>
      <c r="J243" s="11" t="s">
        <v>10</v>
      </c>
      <c r="K243" s="9" t="s">
        <v>726</v>
      </c>
      <c r="L243" s="12">
        <v>15</v>
      </c>
      <c r="M243" s="13">
        <v>9</v>
      </c>
      <c r="N243" s="13">
        <v>2022</v>
      </c>
      <c r="O243" s="31">
        <f t="shared" si="25"/>
        <v>44819</v>
      </c>
      <c r="P243" s="13">
        <f t="shared" ca="1" si="26"/>
        <v>3</v>
      </c>
      <c r="Q243" s="29">
        <v>1070</v>
      </c>
      <c r="R243" s="30">
        <f t="shared" si="27"/>
        <v>107</v>
      </c>
      <c r="S243" s="30">
        <f t="shared" si="28"/>
        <v>32.1</v>
      </c>
      <c r="T243" s="30">
        <f t="shared" si="29"/>
        <v>995.09999999999991</v>
      </c>
      <c r="U243" s="14" t="str">
        <f t="shared" si="30"/>
        <v>normal</v>
      </c>
      <c r="V243" s="33">
        <f t="shared" si="31"/>
        <v>0.1</v>
      </c>
    </row>
    <row r="244" spans="1:22" ht="15.75" customHeight="1" x14ac:dyDescent="0.25">
      <c r="A244" s="8">
        <v>1243</v>
      </c>
      <c r="B244" s="9" t="s">
        <v>113</v>
      </c>
      <c r="C244" s="9" t="s">
        <v>422</v>
      </c>
      <c r="D244" s="9" t="str">
        <f t="shared" si="24"/>
        <v>Shadi Altibae</v>
      </c>
      <c r="E244" s="9" t="s">
        <v>34</v>
      </c>
      <c r="F244" s="9" t="s">
        <v>1050</v>
      </c>
      <c r="G244" s="9" t="s">
        <v>13</v>
      </c>
      <c r="H244" s="10" t="s">
        <v>8</v>
      </c>
      <c r="I244" s="10" t="s">
        <v>22</v>
      </c>
      <c r="J244" s="11" t="s">
        <v>12</v>
      </c>
      <c r="K244" s="9" t="s">
        <v>688</v>
      </c>
      <c r="L244" s="12">
        <v>18</v>
      </c>
      <c r="M244" s="13">
        <v>12</v>
      </c>
      <c r="N244" s="13">
        <v>2017</v>
      </c>
      <c r="O244" s="31">
        <f t="shared" si="25"/>
        <v>43087</v>
      </c>
      <c r="P244" s="13">
        <f t="shared" ca="1" si="26"/>
        <v>8</v>
      </c>
      <c r="Q244" s="29">
        <v>1493</v>
      </c>
      <c r="R244" s="30">
        <f t="shared" si="27"/>
        <v>149.30000000000001</v>
      </c>
      <c r="S244" s="30">
        <f t="shared" si="28"/>
        <v>44.79</v>
      </c>
      <c r="T244" s="30">
        <f t="shared" si="29"/>
        <v>1388.49</v>
      </c>
      <c r="U244" s="14" t="str">
        <f t="shared" si="30"/>
        <v>normal</v>
      </c>
      <c r="V244" s="33">
        <f t="shared" si="31"/>
        <v>0.08</v>
      </c>
    </row>
    <row r="245" spans="1:22" ht="15.75" customHeight="1" x14ac:dyDescent="0.25">
      <c r="A245" s="8">
        <v>1244</v>
      </c>
      <c r="B245" s="9" t="s">
        <v>475</v>
      </c>
      <c r="C245" s="9" t="s">
        <v>476</v>
      </c>
      <c r="D245" s="9" t="str">
        <f t="shared" si="24"/>
        <v>Husam Aldubus</v>
      </c>
      <c r="E245" s="9" t="s">
        <v>34</v>
      </c>
      <c r="F245" s="9" t="s">
        <v>1051</v>
      </c>
      <c r="G245" s="9" t="s">
        <v>18</v>
      </c>
      <c r="H245" s="10" t="s">
        <v>11</v>
      </c>
      <c r="I245" s="10" t="s">
        <v>22</v>
      </c>
      <c r="J245" s="11" t="s">
        <v>21</v>
      </c>
      <c r="K245" s="9" t="s">
        <v>727</v>
      </c>
      <c r="L245" s="12">
        <v>21</v>
      </c>
      <c r="M245" s="13">
        <v>7</v>
      </c>
      <c r="N245" s="13">
        <v>2000</v>
      </c>
      <c r="O245" s="31">
        <f t="shared" si="25"/>
        <v>36728</v>
      </c>
      <c r="P245" s="13">
        <f t="shared" ca="1" si="26"/>
        <v>25</v>
      </c>
      <c r="Q245" s="29">
        <v>5857</v>
      </c>
      <c r="R245" s="30">
        <f t="shared" si="27"/>
        <v>585.70000000000005</v>
      </c>
      <c r="S245" s="30">
        <f t="shared" si="28"/>
        <v>175.70999999999998</v>
      </c>
      <c r="T245" s="30">
        <f t="shared" si="29"/>
        <v>5447.01</v>
      </c>
      <c r="U245" s="14" t="str">
        <f t="shared" si="30"/>
        <v>normal</v>
      </c>
      <c r="V245" s="33">
        <f t="shared" si="31"/>
        <v>0.05</v>
      </c>
    </row>
    <row r="246" spans="1:22" ht="15.75" customHeight="1" x14ac:dyDescent="0.25">
      <c r="A246" s="8">
        <v>1245</v>
      </c>
      <c r="B246" s="9" t="s">
        <v>408</v>
      </c>
      <c r="C246" s="9" t="s">
        <v>477</v>
      </c>
      <c r="D246" s="9" t="str">
        <f t="shared" si="24"/>
        <v>Sultan Alhijar</v>
      </c>
      <c r="E246" s="9" t="s">
        <v>34</v>
      </c>
      <c r="F246" s="9" t="s">
        <v>1052</v>
      </c>
      <c r="G246" s="9" t="s">
        <v>18</v>
      </c>
      <c r="H246" s="10" t="s">
        <v>8</v>
      </c>
      <c r="I246" s="10" t="s">
        <v>198</v>
      </c>
      <c r="J246" s="11" t="s">
        <v>19</v>
      </c>
      <c r="K246" s="9" t="s">
        <v>728</v>
      </c>
      <c r="L246" s="12">
        <v>3</v>
      </c>
      <c r="M246" s="13">
        <v>12</v>
      </c>
      <c r="N246" s="13">
        <v>2002</v>
      </c>
      <c r="O246" s="31">
        <f t="shared" si="25"/>
        <v>37593</v>
      </c>
      <c r="P246" s="13">
        <f t="shared" ca="1" si="26"/>
        <v>23</v>
      </c>
      <c r="Q246" s="29">
        <v>5278</v>
      </c>
      <c r="R246" s="30">
        <f t="shared" si="27"/>
        <v>527.80000000000007</v>
      </c>
      <c r="S246" s="30">
        <f t="shared" si="28"/>
        <v>158.34</v>
      </c>
      <c r="T246" s="30">
        <f t="shared" si="29"/>
        <v>4908.54</v>
      </c>
      <c r="U246" s="14" t="str">
        <f t="shared" si="30"/>
        <v>normal</v>
      </c>
      <c r="V246" s="33">
        <f t="shared" si="31"/>
        <v>0.05</v>
      </c>
    </row>
    <row r="247" spans="1:22" ht="15.75" customHeight="1" x14ac:dyDescent="0.25">
      <c r="A247" s="8">
        <v>1246</v>
      </c>
      <c r="B247" s="9" t="s">
        <v>478</v>
      </c>
      <c r="C247" s="9" t="s">
        <v>479</v>
      </c>
      <c r="D247" s="9" t="str">
        <f t="shared" si="24"/>
        <v>Anwar Alkhayran</v>
      </c>
      <c r="E247" s="9" t="s">
        <v>34</v>
      </c>
      <c r="F247" s="9" t="s">
        <v>1053</v>
      </c>
      <c r="G247" s="9" t="s">
        <v>795</v>
      </c>
      <c r="H247" s="10" t="s">
        <v>11</v>
      </c>
      <c r="I247" s="10" t="s">
        <v>23</v>
      </c>
      <c r="J247" s="11" t="s">
        <v>12</v>
      </c>
      <c r="K247" s="9" t="s">
        <v>729</v>
      </c>
      <c r="L247" s="12">
        <v>14</v>
      </c>
      <c r="M247" s="13">
        <v>6</v>
      </c>
      <c r="N247" s="13">
        <v>1994</v>
      </c>
      <c r="O247" s="31">
        <f t="shared" si="25"/>
        <v>34499</v>
      </c>
      <c r="P247" s="13">
        <f t="shared" ca="1" si="26"/>
        <v>31</v>
      </c>
      <c r="Q247" s="29">
        <v>5710</v>
      </c>
      <c r="R247" s="30">
        <f t="shared" si="27"/>
        <v>571</v>
      </c>
      <c r="S247" s="30">
        <f t="shared" si="28"/>
        <v>171.29999999999998</v>
      </c>
      <c r="T247" s="30">
        <f t="shared" si="29"/>
        <v>5310.3</v>
      </c>
      <c r="U247" s="14" t="str">
        <f t="shared" si="30"/>
        <v>normal</v>
      </c>
      <c r="V247" s="33">
        <f t="shared" si="31"/>
        <v>0.05</v>
      </c>
    </row>
    <row r="248" spans="1:22" ht="15.75" customHeight="1" x14ac:dyDescent="0.25">
      <c r="A248" s="8">
        <v>1247</v>
      </c>
      <c r="B248" s="9" t="s">
        <v>480</v>
      </c>
      <c r="C248" s="9" t="s">
        <v>481</v>
      </c>
      <c r="D248" s="9" t="str">
        <f t="shared" si="24"/>
        <v>Rwad Alddahir</v>
      </c>
      <c r="E248" s="9" t="s">
        <v>33</v>
      </c>
      <c r="F248" s="9" t="s">
        <v>1054</v>
      </c>
      <c r="G248" s="9" t="s">
        <v>13</v>
      </c>
      <c r="H248" s="10" t="s">
        <v>8</v>
      </c>
      <c r="I248" s="10" t="s">
        <v>15</v>
      </c>
      <c r="J248" s="11" t="s">
        <v>12</v>
      </c>
      <c r="K248" s="9" t="s">
        <v>730</v>
      </c>
      <c r="L248" s="12">
        <v>25</v>
      </c>
      <c r="M248" s="13">
        <v>7</v>
      </c>
      <c r="N248" s="13">
        <v>2022</v>
      </c>
      <c r="O248" s="31">
        <f t="shared" si="25"/>
        <v>44767</v>
      </c>
      <c r="P248" s="13">
        <f t="shared" ca="1" si="26"/>
        <v>3</v>
      </c>
      <c r="Q248" s="29">
        <v>6145</v>
      </c>
      <c r="R248" s="30">
        <f t="shared" si="27"/>
        <v>614.5</v>
      </c>
      <c r="S248" s="30">
        <f t="shared" si="28"/>
        <v>184.35</v>
      </c>
      <c r="T248" s="30">
        <f t="shared" si="29"/>
        <v>5714.85</v>
      </c>
      <c r="U248" s="14" t="str">
        <f t="shared" si="30"/>
        <v>normal</v>
      </c>
      <c r="V248" s="33">
        <f t="shared" si="31"/>
        <v>0.05</v>
      </c>
    </row>
    <row r="249" spans="1:22" ht="15.75" customHeight="1" x14ac:dyDescent="0.25">
      <c r="A249" s="8">
        <v>1248</v>
      </c>
      <c r="B249" s="9" t="s">
        <v>482</v>
      </c>
      <c r="C249" s="9" t="s">
        <v>483</v>
      </c>
      <c r="D249" s="9" t="str">
        <f t="shared" si="24"/>
        <v>Jury Eabuwd</v>
      </c>
      <c r="E249" s="9" t="s">
        <v>33</v>
      </c>
      <c r="F249" s="9" t="s">
        <v>1055</v>
      </c>
      <c r="G249" s="9" t="s">
        <v>16</v>
      </c>
      <c r="H249" s="10" t="s">
        <v>14</v>
      </c>
      <c r="I249" s="10" t="s">
        <v>23</v>
      </c>
      <c r="J249" s="11" t="s">
        <v>12</v>
      </c>
      <c r="K249" s="9" t="s">
        <v>731</v>
      </c>
      <c r="L249" s="12">
        <v>4</v>
      </c>
      <c r="M249" s="13">
        <v>6</v>
      </c>
      <c r="N249" s="13">
        <v>2003</v>
      </c>
      <c r="O249" s="31">
        <f t="shared" si="25"/>
        <v>37776</v>
      </c>
      <c r="P249" s="13">
        <f t="shared" ca="1" si="26"/>
        <v>22</v>
      </c>
      <c r="Q249" s="29">
        <v>5278</v>
      </c>
      <c r="R249" s="30">
        <f t="shared" si="27"/>
        <v>527.80000000000007</v>
      </c>
      <c r="S249" s="30">
        <f t="shared" si="28"/>
        <v>158.34</v>
      </c>
      <c r="T249" s="30">
        <f t="shared" si="29"/>
        <v>4908.54</v>
      </c>
      <c r="U249" s="14" t="str">
        <f t="shared" si="30"/>
        <v>normal</v>
      </c>
      <c r="V249" s="33">
        <f t="shared" si="31"/>
        <v>0.05</v>
      </c>
    </row>
    <row r="250" spans="1:22" ht="15.75" customHeight="1" x14ac:dyDescent="0.25">
      <c r="A250" s="8">
        <v>1249</v>
      </c>
      <c r="B250" s="9" t="s">
        <v>39</v>
      </c>
      <c r="C250" s="9" t="s">
        <v>484</v>
      </c>
      <c r="D250" s="9" t="str">
        <f t="shared" si="24"/>
        <v>Iin Bitahish</v>
      </c>
      <c r="E250" s="9" t="s">
        <v>33</v>
      </c>
      <c r="F250" s="9" t="s">
        <v>1056</v>
      </c>
      <c r="G250" s="9" t="s">
        <v>795</v>
      </c>
      <c r="H250" s="10" t="s">
        <v>11</v>
      </c>
      <c r="I250" s="10" t="s">
        <v>9</v>
      </c>
      <c r="J250" s="11" t="s">
        <v>10</v>
      </c>
      <c r="K250" s="9" t="s">
        <v>732</v>
      </c>
      <c r="L250" s="12">
        <v>15</v>
      </c>
      <c r="M250" s="13">
        <v>7</v>
      </c>
      <c r="N250" s="13">
        <v>2002</v>
      </c>
      <c r="O250" s="31">
        <f t="shared" si="25"/>
        <v>37452</v>
      </c>
      <c r="P250" s="13">
        <f t="shared" ca="1" si="26"/>
        <v>23</v>
      </c>
      <c r="Q250" s="29">
        <v>6548</v>
      </c>
      <c r="R250" s="30">
        <f t="shared" si="27"/>
        <v>654.80000000000007</v>
      </c>
      <c r="S250" s="30">
        <f t="shared" si="28"/>
        <v>196.44</v>
      </c>
      <c r="T250" s="30">
        <f t="shared" si="29"/>
        <v>6089.6399999999994</v>
      </c>
      <c r="U250" s="14" t="str">
        <f t="shared" si="30"/>
        <v>over</v>
      </c>
      <c r="V250" s="33">
        <f t="shared" si="31"/>
        <v>0.02</v>
      </c>
    </row>
    <row r="251" spans="1:22" ht="15.75" customHeight="1" x14ac:dyDescent="0.25">
      <c r="A251" s="8">
        <v>1250</v>
      </c>
      <c r="B251" s="9" t="s">
        <v>39</v>
      </c>
      <c r="C251" s="9" t="s">
        <v>485</v>
      </c>
      <c r="D251" s="9" t="str">
        <f t="shared" si="24"/>
        <v>Iin Murad</v>
      </c>
      <c r="E251" s="9" t="s">
        <v>33</v>
      </c>
      <c r="F251" s="9" t="s">
        <v>1057</v>
      </c>
      <c r="G251" s="9" t="s">
        <v>7</v>
      </c>
      <c r="H251" s="10" t="s">
        <v>8</v>
      </c>
      <c r="I251" s="10" t="s">
        <v>22</v>
      </c>
      <c r="J251" s="11" t="s">
        <v>21</v>
      </c>
      <c r="K251" s="9" t="s">
        <v>733</v>
      </c>
      <c r="L251" s="12">
        <v>26</v>
      </c>
      <c r="M251" s="13">
        <v>10</v>
      </c>
      <c r="N251" s="13">
        <v>2012</v>
      </c>
      <c r="O251" s="31">
        <f t="shared" si="25"/>
        <v>41208</v>
      </c>
      <c r="P251" s="13">
        <f t="shared" ca="1" si="26"/>
        <v>13</v>
      </c>
      <c r="Q251" s="29">
        <v>7175</v>
      </c>
      <c r="R251" s="30">
        <f t="shared" si="27"/>
        <v>717.5</v>
      </c>
      <c r="S251" s="30">
        <f t="shared" si="28"/>
        <v>215.25</v>
      </c>
      <c r="T251" s="30">
        <f t="shared" si="29"/>
        <v>6672.75</v>
      </c>
      <c r="U251" s="14" t="str">
        <f t="shared" si="30"/>
        <v>over</v>
      </c>
      <c r="V251" s="33">
        <f t="shared" si="31"/>
        <v>0.02</v>
      </c>
    </row>
    <row r="252" spans="1:22" ht="15.75" customHeight="1" x14ac:dyDescent="0.25">
      <c r="A252" s="8">
        <v>1251</v>
      </c>
      <c r="B252" s="9" t="s">
        <v>486</v>
      </c>
      <c r="C252" s="9" t="s">
        <v>487</v>
      </c>
      <c r="D252" s="9" t="str">
        <f t="shared" si="24"/>
        <v>Qays Dahna</v>
      </c>
      <c r="E252" s="9" t="s">
        <v>34</v>
      </c>
      <c r="F252" s="9" t="s">
        <v>1058</v>
      </c>
      <c r="G252" s="9" t="s">
        <v>13</v>
      </c>
      <c r="H252" s="10" t="s">
        <v>11</v>
      </c>
      <c r="I252" s="10" t="s">
        <v>9</v>
      </c>
      <c r="J252" s="11" t="s">
        <v>12</v>
      </c>
      <c r="K252" s="9" t="s">
        <v>734</v>
      </c>
      <c r="L252" s="12">
        <v>2</v>
      </c>
      <c r="M252" s="13">
        <v>1</v>
      </c>
      <c r="N252" s="13">
        <v>2008</v>
      </c>
      <c r="O252" s="31">
        <f t="shared" si="25"/>
        <v>39449</v>
      </c>
      <c r="P252" s="13">
        <f t="shared" ca="1" si="26"/>
        <v>18</v>
      </c>
      <c r="Q252" s="29">
        <v>4070</v>
      </c>
      <c r="R252" s="30">
        <f t="shared" si="27"/>
        <v>407</v>
      </c>
      <c r="S252" s="30">
        <f t="shared" si="28"/>
        <v>122.1</v>
      </c>
      <c r="T252" s="30">
        <f t="shared" si="29"/>
        <v>3785.1000000000004</v>
      </c>
      <c r="U252" s="14" t="str">
        <f t="shared" si="30"/>
        <v>normal</v>
      </c>
      <c r="V252" s="33">
        <f t="shared" si="31"/>
        <v>0.05</v>
      </c>
    </row>
    <row r="253" spans="1:22" ht="15.75" customHeight="1" x14ac:dyDescent="0.25">
      <c r="A253" s="8">
        <v>1252</v>
      </c>
      <c r="B253" s="9" t="s">
        <v>488</v>
      </c>
      <c r="C253" s="9" t="s">
        <v>489</v>
      </c>
      <c r="D253" s="9" t="str">
        <f t="shared" si="24"/>
        <v>Omaimah Tqi Aldiyn</v>
      </c>
      <c r="E253" s="9" t="s">
        <v>33</v>
      </c>
      <c r="F253" s="9" t="s">
        <v>1059</v>
      </c>
      <c r="G253" s="9" t="s">
        <v>795</v>
      </c>
      <c r="H253" s="10" t="s">
        <v>14</v>
      </c>
      <c r="I253" s="10" t="s">
        <v>15</v>
      </c>
      <c r="J253" s="11" t="s">
        <v>10</v>
      </c>
      <c r="K253" s="9" t="s">
        <v>735</v>
      </c>
      <c r="L253" s="12">
        <v>16</v>
      </c>
      <c r="M253" s="13">
        <v>1</v>
      </c>
      <c r="N253" s="13">
        <v>2008</v>
      </c>
      <c r="O253" s="31">
        <f t="shared" si="25"/>
        <v>39463</v>
      </c>
      <c r="P253" s="13">
        <f t="shared" ca="1" si="26"/>
        <v>18</v>
      </c>
      <c r="Q253" s="29">
        <v>1906</v>
      </c>
      <c r="R253" s="30">
        <f t="shared" si="27"/>
        <v>190.60000000000002</v>
      </c>
      <c r="S253" s="30">
        <f t="shared" si="28"/>
        <v>57.18</v>
      </c>
      <c r="T253" s="30">
        <f t="shared" si="29"/>
        <v>1772.58</v>
      </c>
      <c r="U253" s="14" t="str">
        <f t="shared" si="30"/>
        <v>normal</v>
      </c>
      <c r="V253" s="33">
        <f t="shared" si="31"/>
        <v>0.08</v>
      </c>
    </row>
    <row r="254" spans="1:22" ht="15.75" customHeight="1" x14ac:dyDescent="0.25">
      <c r="A254" s="8">
        <v>1253</v>
      </c>
      <c r="B254" s="9" t="s">
        <v>490</v>
      </c>
      <c r="C254" s="9" t="s">
        <v>491</v>
      </c>
      <c r="D254" s="9" t="str">
        <f t="shared" si="24"/>
        <v>Ismaeil Jdwe</v>
      </c>
      <c r="E254" s="9" t="s">
        <v>34</v>
      </c>
      <c r="F254" s="9" t="s">
        <v>1060</v>
      </c>
      <c r="G254" s="9" t="s">
        <v>16</v>
      </c>
      <c r="H254" s="10" t="s">
        <v>20</v>
      </c>
      <c r="I254" s="10" t="s">
        <v>15</v>
      </c>
      <c r="J254" s="11" t="s">
        <v>12</v>
      </c>
      <c r="K254" s="9" t="s">
        <v>736</v>
      </c>
      <c r="L254" s="12">
        <v>12</v>
      </c>
      <c r="M254" s="13">
        <v>3</v>
      </c>
      <c r="N254" s="13">
        <v>1991</v>
      </c>
      <c r="O254" s="31">
        <f t="shared" si="25"/>
        <v>33309</v>
      </c>
      <c r="P254" s="13">
        <f t="shared" ca="1" si="26"/>
        <v>35</v>
      </c>
      <c r="Q254" s="29">
        <v>2600</v>
      </c>
      <c r="R254" s="30">
        <f t="shared" si="27"/>
        <v>260</v>
      </c>
      <c r="S254" s="30">
        <f t="shared" si="28"/>
        <v>78</v>
      </c>
      <c r="T254" s="30">
        <f t="shared" si="29"/>
        <v>2418</v>
      </c>
      <c r="U254" s="14" t="str">
        <f t="shared" si="30"/>
        <v>normal</v>
      </c>
      <c r="V254" s="33">
        <f t="shared" si="31"/>
        <v>0.08</v>
      </c>
    </row>
    <row r="255" spans="1:22" ht="15.75" customHeight="1" x14ac:dyDescent="0.25">
      <c r="A255" s="8">
        <v>1254</v>
      </c>
      <c r="B255" s="9" t="s">
        <v>72</v>
      </c>
      <c r="C255" s="9" t="s">
        <v>492</v>
      </c>
      <c r="D255" s="9" t="str">
        <f t="shared" si="24"/>
        <v>Lina Wayly</v>
      </c>
      <c r="E255" s="9" t="s">
        <v>33</v>
      </c>
      <c r="F255" s="9" t="s">
        <v>1061</v>
      </c>
      <c r="G255" s="9" t="s">
        <v>13</v>
      </c>
      <c r="H255" s="10" t="s">
        <v>11</v>
      </c>
      <c r="I255" s="10" t="s">
        <v>17</v>
      </c>
      <c r="J255" s="11" t="s">
        <v>10</v>
      </c>
      <c r="K255" s="9" t="s">
        <v>737</v>
      </c>
      <c r="L255" s="12">
        <v>9</v>
      </c>
      <c r="M255" s="13">
        <v>6</v>
      </c>
      <c r="N255" s="13">
        <v>2015</v>
      </c>
      <c r="O255" s="31">
        <f t="shared" si="25"/>
        <v>42164</v>
      </c>
      <c r="P255" s="13">
        <f t="shared" ca="1" si="26"/>
        <v>10</v>
      </c>
      <c r="Q255" s="29">
        <v>3753</v>
      </c>
      <c r="R255" s="30">
        <f t="shared" si="27"/>
        <v>375.3</v>
      </c>
      <c r="S255" s="30">
        <f t="shared" si="28"/>
        <v>112.58999999999999</v>
      </c>
      <c r="T255" s="30">
        <f t="shared" si="29"/>
        <v>3490.29</v>
      </c>
      <c r="U255" s="14" t="str">
        <f t="shared" si="30"/>
        <v>normal</v>
      </c>
      <c r="V255" s="33">
        <f t="shared" si="31"/>
        <v>0.05</v>
      </c>
    </row>
    <row r="256" spans="1:22" ht="15.75" customHeight="1" x14ac:dyDescent="0.25">
      <c r="A256" s="8">
        <v>1255</v>
      </c>
      <c r="B256" s="9" t="s">
        <v>30</v>
      </c>
      <c r="C256" s="9" t="s">
        <v>493</v>
      </c>
      <c r="D256" s="9" t="str">
        <f t="shared" si="24"/>
        <v>Ruba Alsiraj</v>
      </c>
      <c r="E256" s="9" t="s">
        <v>33</v>
      </c>
      <c r="F256" s="9" t="s">
        <v>1062</v>
      </c>
      <c r="G256" s="9" t="s">
        <v>18</v>
      </c>
      <c r="H256" s="10" t="s">
        <v>8</v>
      </c>
      <c r="I256" s="10" t="s">
        <v>198</v>
      </c>
      <c r="J256" s="11" t="s">
        <v>19</v>
      </c>
      <c r="K256" s="9" t="s">
        <v>738</v>
      </c>
      <c r="L256" s="12">
        <v>24</v>
      </c>
      <c r="M256" s="13">
        <v>4</v>
      </c>
      <c r="N256" s="13">
        <v>1991</v>
      </c>
      <c r="O256" s="31">
        <f t="shared" si="25"/>
        <v>33352</v>
      </c>
      <c r="P256" s="13">
        <f t="shared" ca="1" si="26"/>
        <v>35</v>
      </c>
      <c r="Q256" s="29">
        <v>5086</v>
      </c>
      <c r="R256" s="30">
        <f t="shared" si="27"/>
        <v>508.6</v>
      </c>
      <c r="S256" s="30">
        <f t="shared" si="28"/>
        <v>152.57999999999998</v>
      </c>
      <c r="T256" s="30">
        <f t="shared" si="29"/>
        <v>4729.9799999999996</v>
      </c>
      <c r="U256" s="14" t="str">
        <f t="shared" si="30"/>
        <v>normal</v>
      </c>
      <c r="V256" s="33">
        <f t="shared" si="31"/>
        <v>0.05</v>
      </c>
    </row>
    <row r="257" spans="1:22" ht="15.75" customHeight="1" x14ac:dyDescent="0.25">
      <c r="A257" s="8">
        <v>1256</v>
      </c>
      <c r="B257" s="9" t="s">
        <v>494</v>
      </c>
      <c r="C257" s="9" t="s">
        <v>495</v>
      </c>
      <c r="D257" s="9" t="str">
        <f t="shared" si="24"/>
        <v>Lawy Nadaf</v>
      </c>
      <c r="E257" s="9" t="s">
        <v>34</v>
      </c>
      <c r="F257" s="9" t="s">
        <v>1063</v>
      </c>
      <c r="G257" s="9" t="s">
        <v>13</v>
      </c>
      <c r="H257" s="10" t="s">
        <v>8</v>
      </c>
      <c r="I257" s="10" t="s">
        <v>9</v>
      </c>
      <c r="J257" s="11" t="s">
        <v>10</v>
      </c>
      <c r="K257" s="9" t="s">
        <v>739</v>
      </c>
      <c r="L257" s="12">
        <v>22</v>
      </c>
      <c r="M257" s="13">
        <v>5</v>
      </c>
      <c r="N257" s="13">
        <v>2006</v>
      </c>
      <c r="O257" s="31">
        <f t="shared" si="25"/>
        <v>38859</v>
      </c>
      <c r="P257" s="13">
        <f t="shared" ca="1" si="26"/>
        <v>19</v>
      </c>
      <c r="Q257" s="29">
        <v>2431</v>
      </c>
      <c r="R257" s="30">
        <f t="shared" si="27"/>
        <v>243.10000000000002</v>
      </c>
      <c r="S257" s="30">
        <f t="shared" si="28"/>
        <v>72.929999999999993</v>
      </c>
      <c r="T257" s="30">
        <f t="shared" si="29"/>
        <v>2260.83</v>
      </c>
      <c r="U257" s="14" t="str">
        <f t="shared" si="30"/>
        <v>normal</v>
      </c>
      <c r="V257" s="33">
        <f t="shared" si="31"/>
        <v>0.08</v>
      </c>
    </row>
    <row r="258" spans="1:22" ht="15.75" customHeight="1" x14ac:dyDescent="0.25">
      <c r="A258" s="8">
        <v>1257</v>
      </c>
      <c r="B258" s="9" t="s">
        <v>496</v>
      </c>
      <c r="C258" s="9" t="s">
        <v>497</v>
      </c>
      <c r="D258" s="9" t="str">
        <f t="shared" si="24"/>
        <v>Tamadur Barghuth</v>
      </c>
      <c r="E258" s="9" t="s">
        <v>33</v>
      </c>
      <c r="F258" s="9" t="s">
        <v>1064</v>
      </c>
      <c r="G258" s="9" t="s">
        <v>16</v>
      </c>
      <c r="H258" s="10" t="s">
        <v>20</v>
      </c>
      <c r="I258" s="10" t="s">
        <v>9</v>
      </c>
      <c r="J258" s="11" t="s">
        <v>21</v>
      </c>
      <c r="K258" s="9" t="s">
        <v>740</v>
      </c>
      <c r="L258" s="12">
        <v>9</v>
      </c>
      <c r="M258" s="13">
        <v>10</v>
      </c>
      <c r="N258" s="13">
        <v>1992</v>
      </c>
      <c r="O258" s="31">
        <f t="shared" si="25"/>
        <v>33886</v>
      </c>
      <c r="P258" s="13">
        <f t="shared" ca="1" si="26"/>
        <v>33</v>
      </c>
      <c r="Q258" s="29">
        <v>2955</v>
      </c>
      <c r="R258" s="30">
        <f t="shared" si="27"/>
        <v>295.5</v>
      </c>
      <c r="S258" s="30">
        <f t="shared" si="28"/>
        <v>88.649999999999991</v>
      </c>
      <c r="T258" s="30">
        <f t="shared" si="29"/>
        <v>2748.15</v>
      </c>
      <c r="U258" s="14" t="str">
        <f t="shared" si="30"/>
        <v>normal</v>
      </c>
      <c r="V258" s="33">
        <f t="shared" si="31"/>
        <v>0.08</v>
      </c>
    </row>
    <row r="259" spans="1:22" ht="15.75" customHeight="1" x14ac:dyDescent="0.25">
      <c r="A259" s="8">
        <v>1258</v>
      </c>
      <c r="B259" s="9" t="s">
        <v>465</v>
      </c>
      <c r="C259" s="9" t="s">
        <v>498</v>
      </c>
      <c r="D259" s="9" t="str">
        <f t="shared" ref="D259:D301" si="32">PROPER(TRIM((B259 &amp;" "&amp; C259)))</f>
        <v>Diea Jazar</v>
      </c>
      <c r="E259" s="9" t="s">
        <v>34</v>
      </c>
      <c r="F259" s="9" t="s">
        <v>1065</v>
      </c>
      <c r="G259" s="9" t="s">
        <v>16</v>
      </c>
      <c r="H259" s="10" t="s">
        <v>8</v>
      </c>
      <c r="I259" s="10" t="s">
        <v>198</v>
      </c>
      <c r="J259" s="11" t="s">
        <v>12</v>
      </c>
      <c r="K259" s="9" t="s">
        <v>741</v>
      </c>
      <c r="L259" s="12">
        <v>25</v>
      </c>
      <c r="M259" s="13">
        <v>11</v>
      </c>
      <c r="N259" s="13">
        <v>2020</v>
      </c>
      <c r="O259" s="31">
        <f t="shared" ref="O259:O301" si="33">DATE(N259,M259,L259)</f>
        <v>44160</v>
      </c>
      <c r="P259" s="13">
        <f t="shared" ref="P259:P301" ca="1" si="34">DATEDIF(O259,TODAY(),"y")</f>
        <v>5</v>
      </c>
      <c r="Q259" s="29">
        <v>1948</v>
      </c>
      <c r="R259" s="30">
        <f t="shared" ref="R259:R301" si="35">Q259*0.1</f>
        <v>194.8</v>
      </c>
      <c r="S259" s="30">
        <f t="shared" ref="S259:S301" si="36">Q259*0.03</f>
        <v>58.44</v>
      </c>
      <c r="T259" s="30">
        <f t="shared" ref="T259:T301" si="37">Q259+S259-R259</f>
        <v>1811.64</v>
      </c>
      <c r="U259" s="14" t="str">
        <f t="shared" ref="U259:U301" si="38">IF(T259&gt;=6000,"over","normal")</f>
        <v>normal</v>
      </c>
      <c r="V259" s="33">
        <f t="shared" ref="V259:V301" si="39">VLOOKUP(T259,$Y$6:$Z$10,2,TRUE)</f>
        <v>0.08</v>
      </c>
    </row>
    <row r="260" spans="1:22" ht="15.75" customHeight="1" x14ac:dyDescent="0.25">
      <c r="A260" s="8">
        <v>1259</v>
      </c>
      <c r="B260" s="9" t="s">
        <v>499</v>
      </c>
      <c r="C260" s="9" t="s">
        <v>500</v>
      </c>
      <c r="D260" s="9" t="str">
        <f t="shared" si="32"/>
        <v>Baha Eusqul</v>
      </c>
      <c r="E260" s="9" t="s">
        <v>34</v>
      </c>
      <c r="F260" s="9" t="s">
        <v>1066</v>
      </c>
      <c r="G260" s="9" t="s">
        <v>18</v>
      </c>
      <c r="H260" s="10" t="s">
        <v>20</v>
      </c>
      <c r="I260" s="10" t="s">
        <v>22</v>
      </c>
      <c r="J260" s="11" t="s">
        <v>10</v>
      </c>
      <c r="K260" s="9" t="s">
        <v>742</v>
      </c>
      <c r="L260" s="12">
        <v>10</v>
      </c>
      <c r="M260" s="13">
        <v>7</v>
      </c>
      <c r="N260" s="13">
        <v>2011</v>
      </c>
      <c r="O260" s="31">
        <f t="shared" si="33"/>
        <v>40734</v>
      </c>
      <c r="P260" s="13">
        <f t="shared" ca="1" si="34"/>
        <v>14</v>
      </c>
      <c r="Q260" s="29">
        <v>3294</v>
      </c>
      <c r="R260" s="30">
        <f t="shared" si="35"/>
        <v>329.40000000000003</v>
      </c>
      <c r="S260" s="30">
        <f t="shared" si="36"/>
        <v>98.82</v>
      </c>
      <c r="T260" s="30">
        <f t="shared" si="37"/>
        <v>3063.42</v>
      </c>
      <c r="U260" s="14" t="str">
        <f t="shared" si="38"/>
        <v>normal</v>
      </c>
      <c r="V260" s="33">
        <f t="shared" si="39"/>
        <v>0.05</v>
      </c>
    </row>
    <row r="261" spans="1:22" ht="15.75" customHeight="1" x14ac:dyDescent="0.25">
      <c r="A261" s="8">
        <v>1260</v>
      </c>
      <c r="B261" s="9" t="s">
        <v>501</v>
      </c>
      <c r="C261" s="9" t="s">
        <v>502</v>
      </c>
      <c r="D261" s="9" t="str">
        <f t="shared" si="32"/>
        <v>Razan Iybw</v>
      </c>
      <c r="E261" s="9" t="s">
        <v>33</v>
      </c>
      <c r="F261" s="9" t="s">
        <v>1067</v>
      </c>
      <c r="G261" s="9" t="s">
        <v>795</v>
      </c>
      <c r="H261" s="10" t="s">
        <v>11</v>
      </c>
      <c r="I261" s="10" t="s">
        <v>198</v>
      </c>
      <c r="J261" s="11" t="s">
        <v>19</v>
      </c>
      <c r="K261" s="9" t="s">
        <v>743</v>
      </c>
      <c r="L261" s="12">
        <v>12</v>
      </c>
      <c r="M261" s="13">
        <v>5</v>
      </c>
      <c r="N261" s="13">
        <v>2013</v>
      </c>
      <c r="O261" s="31">
        <f t="shared" si="33"/>
        <v>41406</v>
      </c>
      <c r="P261" s="13">
        <f t="shared" ca="1" si="34"/>
        <v>12</v>
      </c>
      <c r="Q261" s="29">
        <v>7123</v>
      </c>
      <c r="R261" s="30">
        <f t="shared" si="35"/>
        <v>712.30000000000007</v>
      </c>
      <c r="S261" s="30">
        <f t="shared" si="36"/>
        <v>213.69</v>
      </c>
      <c r="T261" s="30">
        <f t="shared" si="37"/>
        <v>6624.3899999999994</v>
      </c>
      <c r="U261" s="14" t="str">
        <f t="shared" si="38"/>
        <v>over</v>
      </c>
      <c r="V261" s="33">
        <f t="shared" si="39"/>
        <v>0.02</v>
      </c>
    </row>
    <row r="262" spans="1:22" ht="15.75" customHeight="1" x14ac:dyDescent="0.25">
      <c r="A262" s="8">
        <v>1261</v>
      </c>
      <c r="B262" s="9" t="s">
        <v>503</v>
      </c>
      <c r="C262" s="9" t="s">
        <v>504</v>
      </c>
      <c r="D262" s="9" t="str">
        <f t="shared" si="32"/>
        <v>Jamil Ghabur</v>
      </c>
      <c r="E262" s="9" t="s">
        <v>34</v>
      </c>
      <c r="F262" s="9" t="s">
        <v>1068</v>
      </c>
      <c r="G262" s="9" t="s">
        <v>13</v>
      </c>
      <c r="H262" s="10" t="s">
        <v>11</v>
      </c>
      <c r="I262" s="10" t="s">
        <v>22</v>
      </c>
      <c r="J262" s="11" t="s">
        <v>12</v>
      </c>
      <c r="K262" s="9" t="s">
        <v>744</v>
      </c>
      <c r="L262" s="12">
        <v>5</v>
      </c>
      <c r="M262" s="13">
        <v>9</v>
      </c>
      <c r="N262" s="13">
        <v>2003</v>
      </c>
      <c r="O262" s="31">
        <f t="shared" si="33"/>
        <v>37869</v>
      </c>
      <c r="P262" s="13">
        <f t="shared" ca="1" si="34"/>
        <v>22</v>
      </c>
      <c r="Q262" s="29">
        <v>7236</v>
      </c>
      <c r="R262" s="30">
        <f t="shared" si="35"/>
        <v>723.6</v>
      </c>
      <c r="S262" s="30">
        <f t="shared" si="36"/>
        <v>217.07999999999998</v>
      </c>
      <c r="T262" s="30">
        <f t="shared" si="37"/>
        <v>6729.48</v>
      </c>
      <c r="U262" s="14" t="str">
        <f t="shared" si="38"/>
        <v>over</v>
      </c>
      <c r="V262" s="33">
        <f t="shared" si="39"/>
        <v>0.02</v>
      </c>
    </row>
    <row r="263" spans="1:22" ht="15.75" customHeight="1" x14ac:dyDescent="0.25">
      <c r="A263" s="8">
        <v>1262</v>
      </c>
      <c r="B263" s="9" t="s">
        <v>52</v>
      </c>
      <c r="C263" s="9" t="s">
        <v>408</v>
      </c>
      <c r="D263" s="9" t="str">
        <f t="shared" si="32"/>
        <v>Alaa Sultan</v>
      </c>
      <c r="E263" s="9" t="s">
        <v>33</v>
      </c>
      <c r="F263" s="9" t="s">
        <v>1069</v>
      </c>
      <c r="G263" s="9" t="s">
        <v>795</v>
      </c>
      <c r="H263" s="10" t="s">
        <v>20</v>
      </c>
      <c r="I263" s="10" t="s">
        <v>22</v>
      </c>
      <c r="J263" s="11" t="s">
        <v>10</v>
      </c>
      <c r="K263" s="9" t="s">
        <v>745</v>
      </c>
      <c r="L263" s="12">
        <v>4</v>
      </c>
      <c r="M263" s="13">
        <v>9</v>
      </c>
      <c r="N263" s="13">
        <v>2009</v>
      </c>
      <c r="O263" s="31">
        <f t="shared" si="33"/>
        <v>40060</v>
      </c>
      <c r="P263" s="13">
        <f t="shared" ca="1" si="34"/>
        <v>16</v>
      </c>
      <c r="Q263" s="29">
        <v>6843</v>
      </c>
      <c r="R263" s="30">
        <f t="shared" si="35"/>
        <v>684.30000000000007</v>
      </c>
      <c r="S263" s="30">
        <f t="shared" si="36"/>
        <v>205.29</v>
      </c>
      <c r="T263" s="30">
        <f t="shared" si="37"/>
        <v>6363.99</v>
      </c>
      <c r="U263" s="14" t="str">
        <f t="shared" si="38"/>
        <v>over</v>
      </c>
      <c r="V263" s="33">
        <f t="shared" si="39"/>
        <v>0.02</v>
      </c>
    </row>
    <row r="264" spans="1:22" ht="15.75" customHeight="1" x14ac:dyDescent="0.25">
      <c r="A264" s="8">
        <v>1263</v>
      </c>
      <c r="B264" s="9" t="s">
        <v>505</v>
      </c>
      <c r="C264" s="9" t="s">
        <v>265</v>
      </c>
      <c r="D264" s="9" t="str">
        <f t="shared" si="32"/>
        <v>Basil Salih</v>
      </c>
      <c r="E264" s="9" t="s">
        <v>34</v>
      </c>
      <c r="F264" s="9" t="s">
        <v>1070</v>
      </c>
      <c r="G264" s="9" t="s">
        <v>795</v>
      </c>
      <c r="H264" s="10" t="s">
        <v>14</v>
      </c>
      <c r="I264" s="10" t="s">
        <v>22</v>
      </c>
      <c r="J264" s="11" t="s">
        <v>12</v>
      </c>
      <c r="K264" s="9" t="s">
        <v>746</v>
      </c>
      <c r="L264" s="12">
        <v>18</v>
      </c>
      <c r="M264" s="13">
        <v>10</v>
      </c>
      <c r="N264" s="13">
        <v>2007</v>
      </c>
      <c r="O264" s="31">
        <f t="shared" si="33"/>
        <v>39373</v>
      </c>
      <c r="P264" s="13">
        <f t="shared" ca="1" si="34"/>
        <v>18</v>
      </c>
      <c r="Q264" s="29">
        <v>1070</v>
      </c>
      <c r="R264" s="30">
        <f t="shared" si="35"/>
        <v>107</v>
      </c>
      <c r="S264" s="30">
        <f t="shared" si="36"/>
        <v>32.1</v>
      </c>
      <c r="T264" s="30">
        <f t="shared" si="37"/>
        <v>995.09999999999991</v>
      </c>
      <c r="U264" s="14" t="str">
        <f t="shared" si="38"/>
        <v>normal</v>
      </c>
      <c r="V264" s="33">
        <f t="shared" si="39"/>
        <v>0.1</v>
      </c>
    </row>
    <row r="265" spans="1:22" ht="15.75" customHeight="1" x14ac:dyDescent="0.25">
      <c r="A265" s="8">
        <v>1264</v>
      </c>
      <c r="B265" s="9" t="s">
        <v>506</v>
      </c>
      <c r="C265" s="9" t="s">
        <v>507</v>
      </c>
      <c r="D265" s="9" t="str">
        <f t="shared" si="32"/>
        <v>Abdalbasit Aljazayiriu</v>
      </c>
      <c r="E265" s="9" t="s">
        <v>34</v>
      </c>
      <c r="F265" s="9" t="s">
        <v>1071</v>
      </c>
      <c r="G265" s="9" t="s">
        <v>13</v>
      </c>
      <c r="H265" s="10" t="s">
        <v>11</v>
      </c>
      <c r="I265" s="10" t="s">
        <v>22</v>
      </c>
      <c r="J265" s="11" t="s">
        <v>12</v>
      </c>
      <c r="K265" s="9" t="s">
        <v>747</v>
      </c>
      <c r="L265" s="12">
        <v>5</v>
      </c>
      <c r="M265" s="13">
        <v>2</v>
      </c>
      <c r="N265" s="13">
        <v>2000</v>
      </c>
      <c r="O265" s="31">
        <f t="shared" si="33"/>
        <v>36561</v>
      </c>
      <c r="P265" s="13">
        <f t="shared" ca="1" si="34"/>
        <v>26</v>
      </c>
      <c r="Q265" s="29">
        <v>1493</v>
      </c>
      <c r="R265" s="30">
        <f t="shared" si="35"/>
        <v>149.30000000000001</v>
      </c>
      <c r="S265" s="30">
        <f t="shared" si="36"/>
        <v>44.79</v>
      </c>
      <c r="T265" s="30">
        <f t="shared" si="37"/>
        <v>1388.49</v>
      </c>
      <c r="U265" s="14" t="str">
        <f t="shared" si="38"/>
        <v>normal</v>
      </c>
      <c r="V265" s="33">
        <f t="shared" si="39"/>
        <v>0.08</v>
      </c>
    </row>
    <row r="266" spans="1:22" ht="15.75" customHeight="1" x14ac:dyDescent="0.25">
      <c r="A266" s="8">
        <v>1265</v>
      </c>
      <c r="B266" s="9" t="s">
        <v>508</v>
      </c>
      <c r="C266" s="9" t="s">
        <v>355</v>
      </c>
      <c r="D266" s="9" t="str">
        <f t="shared" si="32"/>
        <v>Fawaz Ghazal</v>
      </c>
      <c r="E266" s="9" t="s">
        <v>34</v>
      </c>
      <c r="F266" s="9" t="s">
        <v>1072</v>
      </c>
      <c r="G266" s="9" t="s">
        <v>18</v>
      </c>
      <c r="H266" s="10" t="s">
        <v>11</v>
      </c>
      <c r="I266" s="10" t="s">
        <v>22</v>
      </c>
      <c r="J266" s="11" t="s">
        <v>10</v>
      </c>
      <c r="K266" s="9" t="s">
        <v>748</v>
      </c>
      <c r="L266" s="12">
        <v>21</v>
      </c>
      <c r="M266" s="13">
        <v>8</v>
      </c>
      <c r="N266" s="13">
        <v>1992</v>
      </c>
      <c r="O266" s="31">
        <f t="shared" si="33"/>
        <v>33837</v>
      </c>
      <c r="P266" s="13">
        <f t="shared" ca="1" si="34"/>
        <v>33</v>
      </c>
      <c r="Q266" s="29">
        <v>5857</v>
      </c>
      <c r="R266" s="30">
        <f t="shared" si="35"/>
        <v>585.70000000000005</v>
      </c>
      <c r="S266" s="30">
        <f t="shared" si="36"/>
        <v>175.70999999999998</v>
      </c>
      <c r="T266" s="30">
        <f t="shared" si="37"/>
        <v>5447.01</v>
      </c>
      <c r="U266" s="14" t="str">
        <f t="shared" si="38"/>
        <v>normal</v>
      </c>
      <c r="V266" s="33">
        <f t="shared" si="39"/>
        <v>0.05</v>
      </c>
    </row>
    <row r="267" spans="1:22" ht="15.75" customHeight="1" x14ac:dyDescent="0.25">
      <c r="A267" s="8">
        <v>1266</v>
      </c>
      <c r="B267" s="9" t="s">
        <v>465</v>
      </c>
      <c r="C267" s="9" t="s">
        <v>509</v>
      </c>
      <c r="D267" s="9" t="str">
        <f t="shared" si="32"/>
        <v>Diea Dakhal</v>
      </c>
      <c r="E267" s="9" t="s">
        <v>34</v>
      </c>
      <c r="F267" s="9" t="s">
        <v>1073</v>
      </c>
      <c r="G267" s="9" t="s">
        <v>18</v>
      </c>
      <c r="H267" s="10" t="s">
        <v>14</v>
      </c>
      <c r="I267" s="10" t="s">
        <v>198</v>
      </c>
      <c r="J267" s="11" t="s">
        <v>10</v>
      </c>
      <c r="K267" s="9" t="s">
        <v>749</v>
      </c>
      <c r="L267" s="12">
        <v>3</v>
      </c>
      <c r="M267" s="13">
        <v>9</v>
      </c>
      <c r="N267" s="13">
        <v>2001</v>
      </c>
      <c r="O267" s="31">
        <f t="shared" si="33"/>
        <v>37137</v>
      </c>
      <c r="P267" s="13">
        <f t="shared" ca="1" si="34"/>
        <v>24</v>
      </c>
      <c r="Q267" s="29">
        <v>5278</v>
      </c>
      <c r="R267" s="30">
        <f t="shared" si="35"/>
        <v>527.80000000000007</v>
      </c>
      <c r="S267" s="30">
        <f t="shared" si="36"/>
        <v>158.34</v>
      </c>
      <c r="T267" s="30">
        <f t="shared" si="37"/>
        <v>4908.54</v>
      </c>
      <c r="U267" s="14" t="str">
        <f t="shared" si="38"/>
        <v>normal</v>
      </c>
      <c r="V267" s="33">
        <f t="shared" si="39"/>
        <v>0.05</v>
      </c>
    </row>
    <row r="268" spans="1:22" ht="15.75" customHeight="1" x14ac:dyDescent="0.25">
      <c r="A268" s="8">
        <v>1267</v>
      </c>
      <c r="B268" s="9" t="s">
        <v>510</v>
      </c>
      <c r="C268" s="9" t="s">
        <v>511</v>
      </c>
      <c r="D268" s="9" t="str">
        <f t="shared" si="32"/>
        <v>Emad Dulul</v>
      </c>
      <c r="E268" s="9" t="s">
        <v>34</v>
      </c>
      <c r="F268" s="9" t="s">
        <v>1074</v>
      </c>
      <c r="G268" s="9" t="s">
        <v>795</v>
      </c>
      <c r="H268" s="10" t="s">
        <v>20</v>
      </c>
      <c r="I268" s="10" t="s">
        <v>23</v>
      </c>
      <c r="J268" s="11" t="s">
        <v>10</v>
      </c>
      <c r="K268" s="9" t="s">
        <v>750</v>
      </c>
      <c r="L268" s="12">
        <v>25</v>
      </c>
      <c r="M268" s="13">
        <v>9</v>
      </c>
      <c r="N268" s="13">
        <v>2012</v>
      </c>
      <c r="O268" s="31">
        <f t="shared" si="33"/>
        <v>41177</v>
      </c>
      <c r="P268" s="13">
        <f t="shared" ca="1" si="34"/>
        <v>13</v>
      </c>
      <c r="Q268" s="29">
        <v>5710</v>
      </c>
      <c r="R268" s="30">
        <f t="shared" si="35"/>
        <v>571</v>
      </c>
      <c r="S268" s="30">
        <f t="shared" si="36"/>
        <v>171.29999999999998</v>
      </c>
      <c r="T268" s="30">
        <f t="shared" si="37"/>
        <v>5310.3</v>
      </c>
      <c r="U268" s="14" t="str">
        <f t="shared" si="38"/>
        <v>normal</v>
      </c>
      <c r="V268" s="33">
        <f t="shared" si="39"/>
        <v>0.05</v>
      </c>
    </row>
    <row r="269" spans="1:22" ht="15.75" customHeight="1" x14ac:dyDescent="0.25">
      <c r="A269" s="8">
        <v>1268</v>
      </c>
      <c r="B269" s="9" t="s">
        <v>512</v>
      </c>
      <c r="C269" s="9" t="s">
        <v>513</v>
      </c>
      <c r="D269" s="9" t="str">
        <f t="shared" si="32"/>
        <v>Asym Aleaqqad</v>
      </c>
      <c r="E269" s="9" t="s">
        <v>33</v>
      </c>
      <c r="F269" s="9" t="s">
        <v>1075</v>
      </c>
      <c r="G269" s="9" t="s">
        <v>13</v>
      </c>
      <c r="H269" s="10" t="s">
        <v>11</v>
      </c>
      <c r="I269" s="10" t="s">
        <v>15</v>
      </c>
      <c r="J269" s="11" t="s">
        <v>19</v>
      </c>
      <c r="K269" s="9" t="s">
        <v>751</v>
      </c>
      <c r="L269" s="12">
        <v>24</v>
      </c>
      <c r="M269" s="13">
        <v>9</v>
      </c>
      <c r="N269" s="13">
        <v>2010</v>
      </c>
      <c r="O269" s="31">
        <f t="shared" si="33"/>
        <v>40445</v>
      </c>
      <c r="P269" s="13">
        <f t="shared" ca="1" si="34"/>
        <v>15</v>
      </c>
      <c r="Q269" s="29">
        <v>6145</v>
      </c>
      <c r="R269" s="30">
        <f t="shared" si="35"/>
        <v>614.5</v>
      </c>
      <c r="S269" s="30">
        <f t="shared" si="36"/>
        <v>184.35</v>
      </c>
      <c r="T269" s="30">
        <f t="shared" si="37"/>
        <v>5714.85</v>
      </c>
      <c r="U269" s="14" t="str">
        <f t="shared" si="38"/>
        <v>normal</v>
      </c>
      <c r="V269" s="33">
        <f t="shared" si="39"/>
        <v>0.05</v>
      </c>
    </row>
    <row r="270" spans="1:22" ht="15.75" customHeight="1" x14ac:dyDescent="0.25">
      <c r="A270" s="8">
        <v>1269</v>
      </c>
      <c r="B270" s="9" t="s">
        <v>514</v>
      </c>
      <c r="C270" s="9" t="s">
        <v>515</v>
      </c>
      <c r="D270" s="9" t="str">
        <f t="shared" si="32"/>
        <v>Ayat Byd</v>
      </c>
      <c r="E270" s="9" t="s">
        <v>33</v>
      </c>
      <c r="F270" s="9" t="s">
        <v>1076</v>
      </c>
      <c r="G270" s="9" t="s">
        <v>16</v>
      </c>
      <c r="H270" s="10" t="s">
        <v>8</v>
      </c>
      <c r="I270" s="10" t="s">
        <v>23</v>
      </c>
      <c r="J270" s="11" t="s">
        <v>19</v>
      </c>
      <c r="K270" s="9" t="s">
        <v>752</v>
      </c>
      <c r="L270" s="12">
        <v>24</v>
      </c>
      <c r="M270" s="13">
        <v>1</v>
      </c>
      <c r="N270" s="13">
        <v>1993</v>
      </c>
      <c r="O270" s="31">
        <f t="shared" si="33"/>
        <v>33993</v>
      </c>
      <c r="P270" s="13">
        <f t="shared" ca="1" si="34"/>
        <v>33</v>
      </c>
      <c r="Q270" s="29">
        <v>5278</v>
      </c>
      <c r="R270" s="30">
        <f t="shared" si="35"/>
        <v>527.80000000000007</v>
      </c>
      <c r="S270" s="30">
        <f t="shared" si="36"/>
        <v>158.34</v>
      </c>
      <c r="T270" s="30">
        <f t="shared" si="37"/>
        <v>4908.54</v>
      </c>
      <c r="U270" s="14" t="str">
        <f t="shared" si="38"/>
        <v>normal</v>
      </c>
      <c r="V270" s="33">
        <f t="shared" si="39"/>
        <v>0.05</v>
      </c>
    </row>
    <row r="271" spans="1:22" ht="15.75" customHeight="1" x14ac:dyDescent="0.25">
      <c r="A271" s="8">
        <v>1270</v>
      </c>
      <c r="B271" s="9" t="s">
        <v>36</v>
      </c>
      <c r="C271" s="9" t="s">
        <v>516</v>
      </c>
      <c r="D271" s="9" t="str">
        <f t="shared" si="32"/>
        <v>Ahmad Ahmid</v>
      </c>
      <c r="E271" s="9" t="s">
        <v>34</v>
      </c>
      <c r="F271" s="9" t="s">
        <v>1077</v>
      </c>
      <c r="G271" s="9" t="s">
        <v>16</v>
      </c>
      <c r="H271" s="10" t="s">
        <v>11</v>
      </c>
      <c r="I271" s="10" t="s">
        <v>9</v>
      </c>
      <c r="J271" s="11" t="s">
        <v>12</v>
      </c>
      <c r="K271" s="9" t="s">
        <v>753</v>
      </c>
      <c r="L271" s="12">
        <v>21</v>
      </c>
      <c r="M271" s="13">
        <v>7</v>
      </c>
      <c r="N271" s="13">
        <v>2013</v>
      </c>
      <c r="O271" s="31">
        <f t="shared" si="33"/>
        <v>41476</v>
      </c>
      <c r="P271" s="13">
        <f t="shared" ca="1" si="34"/>
        <v>12</v>
      </c>
      <c r="Q271" s="29">
        <v>6409</v>
      </c>
      <c r="R271" s="30">
        <f t="shared" si="35"/>
        <v>640.90000000000009</v>
      </c>
      <c r="S271" s="30">
        <f t="shared" si="36"/>
        <v>192.26999999999998</v>
      </c>
      <c r="T271" s="30">
        <f t="shared" si="37"/>
        <v>5960.3700000000008</v>
      </c>
      <c r="U271" s="14" t="str">
        <f t="shared" si="38"/>
        <v>normal</v>
      </c>
      <c r="V271" s="33">
        <f t="shared" si="39"/>
        <v>0.05</v>
      </c>
    </row>
    <row r="272" spans="1:22" ht="15.75" customHeight="1" x14ac:dyDescent="0.25">
      <c r="A272" s="8">
        <v>1271</v>
      </c>
      <c r="B272" s="9" t="s">
        <v>27</v>
      </c>
      <c r="C272" s="9" t="s">
        <v>517</v>
      </c>
      <c r="D272" s="9" t="str">
        <f t="shared" si="32"/>
        <v>Ali Alqadri</v>
      </c>
      <c r="E272" s="9" t="s">
        <v>34</v>
      </c>
      <c r="F272" s="9" t="s">
        <v>1078</v>
      </c>
      <c r="G272" s="9" t="s">
        <v>13</v>
      </c>
      <c r="H272" s="10" t="s">
        <v>11</v>
      </c>
      <c r="I272" s="10" t="s">
        <v>9</v>
      </c>
      <c r="J272" s="11" t="s">
        <v>21</v>
      </c>
      <c r="K272" s="9" t="s">
        <v>754</v>
      </c>
      <c r="L272" s="12">
        <v>8</v>
      </c>
      <c r="M272" s="13">
        <v>12</v>
      </c>
      <c r="N272" s="13">
        <v>1996</v>
      </c>
      <c r="O272" s="31">
        <f t="shared" si="33"/>
        <v>35407</v>
      </c>
      <c r="P272" s="13">
        <f t="shared" ca="1" si="34"/>
        <v>29</v>
      </c>
      <c r="Q272" s="29">
        <v>7478</v>
      </c>
      <c r="R272" s="30">
        <f t="shared" si="35"/>
        <v>747.80000000000007</v>
      </c>
      <c r="S272" s="30">
        <f t="shared" si="36"/>
        <v>224.34</v>
      </c>
      <c r="T272" s="30">
        <f t="shared" si="37"/>
        <v>6954.54</v>
      </c>
      <c r="U272" s="14" t="str">
        <f t="shared" si="38"/>
        <v>over</v>
      </c>
      <c r="V272" s="33">
        <f t="shared" si="39"/>
        <v>0.02</v>
      </c>
    </row>
    <row r="273" spans="1:22" ht="15.75" customHeight="1" x14ac:dyDescent="0.25">
      <c r="A273" s="8">
        <v>1272</v>
      </c>
      <c r="B273" s="9" t="s">
        <v>518</v>
      </c>
      <c r="C273" s="9" t="s">
        <v>519</v>
      </c>
      <c r="D273" s="9" t="str">
        <f t="shared" si="32"/>
        <v>Danah Suirkili</v>
      </c>
      <c r="E273" s="9" t="s">
        <v>33</v>
      </c>
      <c r="F273" s="9" t="s">
        <v>1079</v>
      </c>
      <c r="G273" s="9" t="s">
        <v>795</v>
      </c>
      <c r="H273" s="10" t="s">
        <v>20</v>
      </c>
      <c r="I273" s="10" t="s">
        <v>9</v>
      </c>
      <c r="J273" s="11" t="s">
        <v>10</v>
      </c>
      <c r="K273" s="9" t="s">
        <v>755</v>
      </c>
      <c r="L273" s="12">
        <v>10</v>
      </c>
      <c r="M273" s="13">
        <v>11</v>
      </c>
      <c r="N273" s="13">
        <v>2001</v>
      </c>
      <c r="O273" s="31">
        <f t="shared" si="33"/>
        <v>37205</v>
      </c>
      <c r="P273" s="13">
        <f t="shared" ca="1" si="34"/>
        <v>24</v>
      </c>
      <c r="Q273" s="29">
        <v>4621</v>
      </c>
      <c r="R273" s="30">
        <f t="shared" si="35"/>
        <v>462.1</v>
      </c>
      <c r="S273" s="30">
        <f t="shared" si="36"/>
        <v>138.63</v>
      </c>
      <c r="T273" s="30">
        <f t="shared" si="37"/>
        <v>4297.53</v>
      </c>
      <c r="U273" s="14" t="str">
        <f t="shared" si="38"/>
        <v>normal</v>
      </c>
      <c r="V273" s="33">
        <f t="shared" si="39"/>
        <v>0.05</v>
      </c>
    </row>
    <row r="274" spans="1:22" ht="15.75" customHeight="1" x14ac:dyDescent="0.25">
      <c r="A274" s="8">
        <v>1273</v>
      </c>
      <c r="B274" s="9" t="s">
        <v>520</v>
      </c>
      <c r="C274" s="9" t="s">
        <v>521</v>
      </c>
      <c r="D274" s="9" t="str">
        <f t="shared" si="32"/>
        <v>Mazin Bihtiti</v>
      </c>
      <c r="E274" s="9" t="s">
        <v>34</v>
      </c>
      <c r="F274" s="9" t="s">
        <v>1080</v>
      </c>
      <c r="G274" s="9" t="s">
        <v>16</v>
      </c>
      <c r="H274" s="10" t="s">
        <v>11</v>
      </c>
      <c r="I274" s="10" t="s">
        <v>24</v>
      </c>
      <c r="J274" s="11" t="s">
        <v>19</v>
      </c>
      <c r="K274" s="9" t="s">
        <v>756</v>
      </c>
      <c r="L274" s="12">
        <v>11</v>
      </c>
      <c r="M274" s="13">
        <v>8</v>
      </c>
      <c r="N274" s="13">
        <v>2020</v>
      </c>
      <c r="O274" s="31">
        <f t="shared" si="33"/>
        <v>44054</v>
      </c>
      <c r="P274" s="13">
        <f t="shared" ca="1" si="34"/>
        <v>5</v>
      </c>
      <c r="Q274" s="29">
        <v>2093</v>
      </c>
      <c r="R274" s="30">
        <f t="shared" si="35"/>
        <v>209.3</v>
      </c>
      <c r="S274" s="30">
        <f t="shared" si="36"/>
        <v>62.79</v>
      </c>
      <c r="T274" s="30">
        <f t="shared" si="37"/>
        <v>1946.49</v>
      </c>
      <c r="U274" s="14" t="str">
        <f t="shared" si="38"/>
        <v>normal</v>
      </c>
      <c r="V274" s="33">
        <f t="shared" si="39"/>
        <v>0.08</v>
      </c>
    </row>
    <row r="275" spans="1:22" ht="15.75" customHeight="1" x14ac:dyDescent="0.25">
      <c r="A275" s="8">
        <v>1274</v>
      </c>
      <c r="B275" s="9" t="s">
        <v>27</v>
      </c>
      <c r="C275" s="9" t="s">
        <v>522</v>
      </c>
      <c r="D275" s="9" t="str">
        <f t="shared" si="32"/>
        <v>Ali Barghaly</v>
      </c>
      <c r="E275" s="9" t="s">
        <v>34</v>
      </c>
      <c r="F275" s="9" t="s">
        <v>1081</v>
      </c>
      <c r="G275" s="9" t="s">
        <v>795</v>
      </c>
      <c r="H275" s="10" t="s">
        <v>20</v>
      </c>
      <c r="I275" s="10" t="s">
        <v>198</v>
      </c>
      <c r="J275" s="11" t="s">
        <v>12</v>
      </c>
      <c r="K275" s="9" t="s">
        <v>757</v>
      </c>
      <c r="L275" s="12">
        <v>19</v>
      </c>
      <c r="M275" s="13">
        <v>5</v>
      </c>
      <c r="N275" s="13">
        <v>1993</v>
      </c>
      <c r="O275" s="31">
        <f t="shared" si="33"/>
        <v>34108</v>
      </c>
      <c r="P275" s="13">
        <f t="shared" ca="1" si="34"/>
        <v>32</v>
      </c>
      <c r="Q275" s="29">
        <v>7333</v>
      </c>
      <c r="R275" s="30">
        <f t="shared" si="35"/>
        <v>733.30000000000007</v>
      </c>
      <c r="S275" s="30">
        <f t="shared" si="36"/>
        <v>219.98999999999998</v>
      </c>
      <c r="T275" s="30">
        <f t="shared" si="37"/>
        <v>6819.69</v>
      </c>
      <c r="U275" s="14" t="str">
        <f t="shared" si="38"/>
        <v>over</v>
      </c>
      <c r="V275" s="33">
        <f t="shared" si="39"/>
        <v>0.02</v>
      </c>
    </row>
    <row r="276" spans="1:22" ht="15.75" customHeight="1" x14ac:dyDescent="0.25">
      <c r="A276" s="8">
        <v>1275</v>
      </c>
      <c r="B276" s="9" t="s">
        <v>27</v>
      </c>
      <c r="C276" s="9" t="s">
        <v>523</v>
      </c>
      <c r="D276" s="9" t="str">
        <f t="shared" si="32"/>
        <v>Ali Alshaykh</v>
      </c>
      <c r="E276" s="9" t="s">
        <v>34</v>
      </c>
      <c r="F276" s="9" t="s">
        <v>1082</v>
      </c>
      <c r="G276" s="9" t="s">
        <v>16</v>
      </c>
      <c r="H276" s="10" t="s">
        <v>8</v>
      </c>
      <c r="I276" s="10" t="s">
        <v>15</v>
      </c>
      <c r="J276" s="11" t="s">
        <v>19</v>
      </c>
      <c r="K276" s="9" t="s">
        <v>758</v>
      </c>
      <c r="L276" s="12">
        <v>9</v>
      </c>
      <c r="M276" s="13">
        <v>3</v>
      </c>
      <c r="N276" s="13">
        <v>2018</v>
      </c>
      <c r="O276" s="31">
        <f t="shared" si="33"/>
        <v>43168</v>
      </c>
      <c r="P276" s="13">
        <f t="shared" ca="1" si="34"/>
        <v>8</v>
      </c>
      <c r="Q276" s="29">
        <v>1194</v>
      </c>
      <c r="R276" s="30">
        <f t="shared" si="35"/>
        <v>119.4</v>
      </c>
      <c r="S276" s="30">
        <f t="shared" si="36"/>
        <v>35.82</v>
      </c>
      <c r="T276" s="30">
        <f t="shared" si="37"/>
        <v>1110.4199999999998</v>
      </c>
      <c r="U276" s="14" t="str">
        <f t="shared" si="38"/>
        <v>normal</v>
      </c>
      <c r="V276" s="33">
        <f t="shared" si="39"/>
        <v>0.08</v>
      </c>
    </row>
    <row r="277" spans="1:22" ht="15.75" customHeight="1" x14ac:dyDescent="0.25">
      <c r="A277" s="8">
        <v>1276</v>
      </c>
      <c r="B277" s="9" t="s">
        <v>378</v>
      </c>
      <c r="C277" s="9" t="s">
        <v>524</v>
      </c>
      <c r="D277" s="9" t="str">
        <f t="shared" si="32"/>
        <v>Kholoud Huquq</v>
      </c>
      <c r="E277" s="9" t="s">
        <v>33</v>
      </c>
      <c r="F277" s="9" t="s">
        <v>1083</v>
      </c>
      <c r="G277" s="9" t="s">
        <v>7</v>
      </c>
      <c r="H277" s="10" t="s">
        <v>8</v>
      </c>
      <c r="I277" s="10" t="s">
        <v>15</v>
      </c>
      <c r="J277" s="11" t="s">
        <v>10</v>
      </c>
      <c r="K277" s="9" t="s">
        <v>759</v>
      </c>
      <c r="L277" s="12">
        <v>24</v>
      </c>
      <c r="M277" s="13">
        <v>2</v>
      </c>
      <c r="N277" s="13">
        <v>1995</v>
      </c>
      <c r="O277" s="31">
        <f t="shared" si="33"/>
        <v>34754</v>
      </c>
      <c r="P277" s="13">
        <f t="shared" ca="1" si="34"/>
        <v>31</v>
      </c>
      <c r="Q277" s="29">
        <v>5118</v>
      </c>
      <c r="R277" s="30">
        <f t="shared" si="35"/>
        <v>511.8</v>
      </c>
      <c r="S277" s="30">
        <f t="shared" si="36"/>
        <v>153.54</v>
      </c>
      <c r="T277" s="30">
        <f t="shared" si="37"/>
        <v>4759.74</v>
      </c>
      <c r="U277" s="14" t="str">
        <f t="shared" si="38"/>
        <v>normal</v>
      </c>
      <c r="V277" s="33">
        <f t="shared" si="39"/>
        <v>0.05</v>
      </c>
    </row>
    <row r="278" spans="1:22" ht="15.75" customHeight="1" x14ac:dyDescent="0.25">
      <c r="A278" s="8">
        <v>1277</v>
      </c>
      <c r="B278" s="9" t="s">
        <v>31</v>
      </c>
      <c r="C278" s="9" t="s">
        <v>525</v>
      </c>
      <c r="D278" s="9" t="str">
        <f t="shared" si="32"/>
        <v>Ibrahim Alqatish</v>
      </c>
      <c r="E278" s="9" t="s">
        <v>34</v>
      </c>
      <c r="F278" s="9" t="s">
        <v>1084</v>
      </c>
      <c r="G278" s="9" t="s">
        <v>16</v>
      </c>
      <c r="H278" s="10" t="s">
        <v>8</v>
      </c>
      <c r="I278" s="10" t="s">
        <v>25</v>
      </c>
      <c r="J278" s="11" t="s">
        <v>10</v>
      </c>
      <c r="K278" s="9" t="s">
        <v>760</v>
      </c>
      <c r="L278" s="12">
        <v>26</v>
      </c>
      <c r="M278" s="13">
        <v>2</v>
      </c>
      <c r="N278" s="13">
        <v>2023</v>
      </c>
      <c r="O278" s="31">
        <f t="shared" si="33"/>
        <v>44983</v>
      </c>
      <c r="P278" s="13">
        <f t="shared" ca="1" si="34"/>
        <v>3</v>
      </c>
      <c r="Q278" s="29">
        <v>5373</v>
      </c>
      <c r="R278" s="30">
        <f t="shared" si="35"/>
        <v>537.30000000000007</v>
      </c>
      <c r="S278" s="30">
        <f t="shared" si="36"/>
        <v>161.19</v>
      </c>
      <c r="T278" s="30">
        <f t="shared" si="37"/>
        <v>4996.8899999999994</v>
      </c>
      <c r="U278" s="14" t="str">
        <f t="shared" si="38"/>
        <v>normal</v>
      </c>
      <c r="V278" s="33">
        <f t="shared" si="39"/>
        <v>0.05</v>
      </c>
    </row>
    <row r="279" spans="1:22" ht="15.75" customHeight="1" x14ac:dyDescent="0.25">
      <c r="A279" s="8">
        <v>1278</v>
      </c>
      <c r="B279" s="9" t="s">
        <v>526</v>
      </c>
      <c r="C279" s="9" t="s">
        <v>527</v>
      </c>
      <c r="D279" s="9" t="str">
        <f t="shared" si="32"/>
        <v>Fatir Alealiu</v>
      </c>
      <c r="E279" s="9" t="s">
        <v>34</v>
      </c>
      <c r="F279" s="9" t="s">
        <v>1085</v>
      </c>
      <c r="G279" s="9" t="s">
        <v>16</v>
      </c>
      <c r="H279" s="10" t="s">
        <v>14</v>
      </c>
      <c r="I279" s="10" t="s">
        <v>26</v>
      </c>
      <c r="J279" s="11" t="s">
        <v>12</v>
      </c>
      <c r="K279" s="9" t="s">
        <v>761</v>
      </c>
      <c r="L279" s="12">
        <v>28</v>
      </c>
      <c r="M279" s="13">
        <v>8</v>
      </c>
      <c r="N279" s="13">
        <v>2005</v>
      </c>
      <c r="O279" s="31">
        <f t="shared" si="33"/>
        <v>38592</v>
      </c>
      <c r="P279" s="13">
        <f t="shared" ca="1" si="34"/>
        <v>20</v>
      </c>
      <c r="Q279" s="29">
        <v>1708</v>
      </c>
      <c r="R279" s="30">
        <f t="shared" si="35"/>
        <v>170.8</v>
      </c>
      <c r="S279" s="30">
        <f t="shared" si="36"/>
        <v>51.239999999999995</v>
      </c>
      <c r="T279" s="30">
        <f t="shared" si="37"/>
        <v>1588.44</v>
      </c>
      <c r="U279" s="14" t="str">
        <f t="shared" si="38"/>
        <v>normal</v>
      </c>
      <c r="V279" s="33">
        <f t="shared" si="39"/>
        <v>0.08</v>
      </c>
    </row>
    <row r="280" spans="1:22" ht="15.75" customHeight="1" x14ac:dyDescent="0.25">
      <c r="A280" s="8">
        <v>1279</v>
      </c>
      <c r="B280" s="9" t="s">
        <v>52</v>
      </c>
      <c r="C280" s="9" t="s">
        <v>44</v>
      </c>
      <c r="D280" s="9" t="str">
        <f t="shared" si="32"/>
        <v>Alaa Alrifaei</v>
      </c>
      <c r="E280" s="9" t="s">
        <v>33</v>
      </c>
      <c r="F280" s="9" t="s">
        <v>1086</v>
      </c>
      <c r="G280" s="9" t="s">
        <v>18</v>
      </c>
      <c r="H280" s="10" t="s">
        <v>11</v>
      </c>
      <c r="I280" s="10" t="s">
        <v>198</v>
      </c>
      <c r="J280" s="11" t="s">
        <v>10</v>
      </c>
      <c r="K280" s="9" t="s">
        <v>762</v>
      </c>
      <c r="L280" s="12">
        <v>6</v>
      </c>
      <c r="M280" s="13">
        <v>11</v>
      </c>
      <c r="N280" s="13">
        <v>1994</v>
      </c>
      <c r="O280" s="31">
        <f t="shared" si="33"/>
        <v>34644</v>
      </c>
      <c r="P280" s="13">
        <f t="shared" ca="1" si="34"/>
        <v>31</v>
      </c>
      <c r="Q280" s="29">
        <v>2898</v>
      </c>
      <c r="R280" s="30">
        <f t="shared" si="35"/>
        <v>289.8</v>
      </c>
      <c r="S280" s="30">
        <f t="shared" si="36"/>
        <v>86.94</v>
      </c>
      <c r="T280" s="30">
        <f t="shared" si="37"/>
        <v>2695.14</v>
      </c>
      <c r="U280" s="14" t="str">
        <f t="shared" si="38"/>
        <v>normal</v>
      </c>
      <c r="V280" s="33">
        <f t="shared" si="39"/>
        <v>0.08</v>
      </c>
    </row>
    <row r="281" spans="1:22" ht="15.75" customHeight="1" x14ac:dyDescent="0.25">
      <c r="A281" s="8">
        <v>1280</v>
      </c>
      <c r="B281" s="9" t="s">
        <v>528</v>
      </c>
      <c r="C281" s="9" t="s">
        <v>44</v>
      </c>
      <c r="D281" s="9" t="str">
        <f t="shared" si="32"/>
        <v>Rasha Alrifaei</v>
      </c>
      <c r="E281" s="9" t="s">
        <v>33</v>
      </c>
      <c r="F281" s="9" t="s">
        <v>1087</v>
      </c>
      <c r="G281" s="9" t="s">
        <v>7</v>
      </c>
      <c r="H281" s="10" t="s">
        <v>8</v>
      </c>
      <c r="I281" s="10" t="s">
        <v>23</v>
      </c>
      <c r="J281" s="11" t="s">
        <v>10</v>
      </c>
      <c r="K281" s="9" t="s">
        <v>763</v>
      </c>
      <c r="L281" s="12">
        <v>25</v>
      </c>
      <c r="M281" s="13">
        <v>12</v>
      </c>
      <c r="N281" s="13">
        <v>2007</v>
      </c>
      <c r="O281" s="31">
        <f t="shared" si="33"/>
        <v>39441</v>
      </c>
      <c r="P281" s="13">
        <f t="shared" ca="1" si="34"/>
        <v>18</v>
      </c>
      <c r="Q281" s="29">
        <v>6211</v>
      </c>
      <c r="R281" s="30">
        <f t="shared" si="35"/>
        <v>621.1</v>
      </c>
      <c r="S281" s="30">
        <f t="shared" si="36"/>
        <v>186.32999999999998</v>
      </c>
      <c r="T281" s="30">
        <f t="shared" si="37"/>
        <v>5776.23</v>
      </c>
      <c r="U281" s="14" t="str">
        <f t="shared" si="38"/>
        <v>normal</v>
      </c>
      <c r="V281" s="33">
        <f t="shared" si="39"/>
        <v>0.05</v>
      </c>
    </row>
    <row r="282" spans="1:22" ht="15.75" customHeight="1" x14ac:dyDescent="0.25">
      <c r="A282" s="8">
        <v>1281</v>
      </c>
      <c r="B282" s="9" t="s">
        <v>51</v>
      </c>
      <c r="C282" s="9" t="s">
        <v>529</v>
      </c>
      <c r="D282" s="9" t="str">
        <f t="shared" si="32"/>
        <v>Bayan Darbika</v>
      </c>
      <c r="E282" s="9" t="s">
        <v>33</v>
      </c>
      <c r="F282" s="9" t="s">
        <v>1088</v>
      </c>
      <c r="G282" s="9" t="s">
        <v>18</v>
      </c>
      <c r="H282" s="10" t="s">
        <v>8</v>
      </c>
      <c r="I282" s="10" t="s">
        <v>9</v>
      </c>
      <c r="J282" s="11" t="s">
        <v>12</v>
      </c>
      <c r="K282" s="9" t="s">
        <v>764</v>
      </c>
      <c r="L282" s="12">
        <v>25</v>
      </c>
      <c r="M282" s="13">
        <v>10</v>
      </c>
      <c r="N282" s="13">
        <v>2007</v>
      </c>
      <c r="O282" s="31">
        <f t="shared" si="33"/>
        <v>39380</v>
      </c>
      <c r="P282" s="13">
        <f t="shared" ca="1" si="34"/>
        <v>18</v>
      </c>
      <c r="Q282" s="29">
        <v>5976</v>
      </c>
      <c r="R282" s="30">
        <f t="shared" si="35"/>
        <v>597.6</v>
      </c>
      <c r="S282" s="30">
        <f t="shared" si="36"/>
        <v>179.28</v>
      </c>
      <c r="T282" s="30">
        <f t="shared" si="37"/>
        <v>5557.6799999999994</v>
      </c>
      <c r="U282" s="14" t="str">
        <f t="shared" si="38"/>
        <v>normal</v>
      </c>
      <c r="V282" s="33">
        <f t="shared" si="39"/>
        <v>0.05</v>
      </c>
    </row>
    <row r="283" spans="1:22" ht="15.75" customHeight="1" x14ac:dyDescent="0.25">
      <c r="A283" s="8">
        <v>1282</v>
      </c>
      <c r="B283" s="9" t="s">
        <v>530</v>
      </c>
      <c r="C283" s="9" t="s">
        <v>531</v>
      </c>
      <c r="D283" s="9" t="str">
        <f t="shared" si="32"/>
        <v>Hanan Salahi</v>
      </c>
      <c r="E283" s="9" t="s">
        <v>33</v>
      </c>
      <c r="F283" s="9" t="s">
        <v>1089</v>
      </c>
      <c r="G283" s="9" t="s">
        <v>18</v>
      </c>
      <c r="H283" s="10" t="s">
        <v>8</v>
      </c>
      <c r="I283" s="10" t="s">
        <v>9</v>
      </c>
      <c r="J283" s="11" t="s">
        <v>12</v>
      </c>
      <c r="K283" s="9" t="s">
        <v>765</v>
      </c>
      <c r="L283" s="12">
        <v>5</v>
      </c>
      <c r="M283" s="13">
        <v>11</v>
      </c>
      <c r="N283" s="13">
        <v>2015</v>
      </c>
      <c r="O283" s="31">
        <f t="shared" si="33"/>
        <v>42313</v>
      </c>
      <c r="P283" s="13">
        <f t="shared" ca="1" si="34"/>
        <v>10</v>
      </c>
      <c r="Q283" s="29">
        <v>742</v>
      </c>
      <c r="R283" s="30">
        <f t="shared" si="35"/>
        <v>74.2</v>
      </c>
      <c r="S283" s="30">
        <f t="shared" si="36"/>
        <v>22.259999999999998</v>
      </c>
      <c r="T283" s="30">
        <f t="shared" si="37"/>
        <v>690.06</v>
      </c>
      <c r="U283" s="14" t="str">
        <f t="shared" si="38"/>
        <v>normal</v>
      </c>
      <c r="V283" s="33">
        <f t="shared" si="39"/>
        <v>0.1</v>
      </c>
    </row>
    <row r="284" spans="1:22" ht="15.75" customHeight="1" x14ac:dyDescent="0.25">
      <c r="A284" s="8">
        <v>1283</v>
      </c>
      <c r="B284" s="9" t="s">
        <v>344</v>
      </c>
      <c r="C284" s="9" t="s">
        <v>532</v>
      </c>
      <c r="D284" s="9" t="str">
        <f t="shared" si="32"/>
        <v>Tariq Aldhahabi</v>
      </c>
      <c r="E284" s="9" t="s">
        <v>34</v>
      </c>
      <c r="F284" s="9" t="s">
        <v>1090</v>
      </c>
      <c r="G284" s="9" t="s">
        <v>13</v>
      </c>
      <c r="H284" s="10" t="s">
        <v>8</v>
      </c>
      <c r="I284" s="10" t="s">
        <v>24</v>
      </c>
      <c r="J284" s="11" t="s">
        <v>12</v>
      </c>
      <c r="K284" s="9" t="s">
        <v>766</v>
      </c>
      <c r="L284" s="12">
        <v>5</v>
      </c>
      <c r="M284" s="13">
        <v>7</v>
      </c>
      <c r="N284" s="13">
        <v>2008</v>
      </c>
      <c r="O284" s="31">
        <f t="shared" si="33"/>
        <v>39634</v>
      </c>
      <c r="P284" s="13">
        <f t="shared" ca="1" si="34"/>
        <v>17</v>
      </c>
      <c r="Q284" s="29">
        <v>5918</v>
      </c>
      <c r="R284" s="30">
        <f t="shared" si="35"/>
        <v>591.80000000000007</v>
      </c>
      <c r="S284" s="30">
        <f t="shared" si="36"/>
        <v>177.54</v>
      </c>
      <c r="T284" s="30">
        <f t="shared" si="37"/>
        <v>5503.74</v>
      </c>
      <c r="U284" s="14" t="str">
        <f t="shared" si="38"/>
        <v>normal</v>
      </c>
      <c r="V284" s="33">
        <f t="shared" si="39"/>
        <v>0.05</v>
      </c>
    </row>
    <row r="285" spans="1:22" ht="15.75" customHeight="1" x14ac:dyDescent="0.25">
      <c r="A285" s="8">
        <v>1284</v>
      </c>
      <c r="B285" s="9" t="s">
        <v>29</v>
      </c>
      <c r="C285" s="9" t="s">
        <v>533</v>
      </c>
      <c r="D285" s="9" t="str">
        <f t="shared" si="32"/>
        <v>Dima Drwysh</v>
      </c>
      <c r="E285" s="9" t="s">
        <v>33</v>
      </c>
      <c r="F285" s="9" t="s">
        <v>1091</v>
      </c>
      <c r="G285" s="9" t="s">
        <v>13</v>
      </c>
      <c r="H285" s="10" t="s">
        <v>11</v>
      </c>
      <c r="I285" s="10" t="s">
        <v>15</v>
      </c>
      <c r="J285" s="11" t="s">
        <v>19</v>
      </c>
      <c r="K285" s="9" t="s">
        <v>767</v>
      </c>
      <c r="L285" s="12">
        <v>14</v>
      </c>
      <c r="M285" s="13">
        <v>1</v>
      </c>
      <c r="N285" s="13">
        <v>2016</v>
      </c>
      <c r="O285" s="31">
        <f t="shared" si="33"/>
        <v>42383</v>
      </c>
      <c r="P285" s="13">
        <f t="shared" ca="1" si="34"/>
        <v>10</v>
      </c>
      <c r="Q285" s="29">
        <v>3074</v>
      </c>
      <c r="R285" s="30">
        <f t="shared" si="35"/>
        <v>307.40000000000003</v>
      </c>
      <c r="S285" s="30">
        <f t="shared" si="36"/>
        <v>92.22</v>
      </c>
      <c r="T285" s="30">
        <f t="shared" si="37"/>
        <v>2858.8199999999997</v>
      </c>
      <c r="U285" s="14" t="str">
        <f t="shared" si="38"/>
        <v>normal</v>
      </c>
      <c r="V285" s="33">
        <f t="shared" si="39"/>
        <v>0.08</v>
      </c>
    </row>
    <row r="286" spans="1:22" ht="15.75" customHeight="1" x14ac:dyDescent="0.25">
      <c r="A286" s="8">
        <v>1285</v>
      </c>
      <c r="B286" s="9" t="s">
        <v>465</v>
      </c>
      <c r="C286" s="9" t="s">
        <v>534</v>
      </c>
      <c r="D286" s="9" t="str">
        <f t="shared" si="32"/>
        <v>Diea Filyun</v>
      </c>
      <c r="E286" s="9" t="s">
        <v>34</v>
      </c>
      <c r="F286" s="9" t="s">
        <v>1092</v>
      </c>
      <c r="G286" s="9" t="s">
        <v>18</v>
      </c>
      <c r="H286" s="10" t="s">
        <v>20</v>
      </c>
      <c r="I286" s="10" t="s">
        <v>9</v>
      </c>
      <c r="J286" s="11" t="s">
        <v>10</v>
      </c>
      <c r="K286" s="9" t="s">
        <v>768</v>
      </c>
      <c r="L286" s="12">
        <v>19</v>
      </c>
      <c r="M286" s="13">
        <v>5</v>
      </c>
      <c r="N286" s="13">
        <v>1994</v>
      </c>
      <c r="O286" s="31">
        <f t="shared" si="33"/>
        <v>34473</v>
      </c>
      <c r="P286" s="13">
        <f t="shared" ca="1" si="34"/>
        <v>31</v>
      </c>
      <c r="Q286" s="29">
        <v>5688</v>
      </c>
      <c r="R286" s="30">
        <f t="shared" si="35"/>
        <v>568.80000000000007</v>
      </c>
      <c r="S286" s="30">
        <f t="shared" si="36"/>
        <v>170.64</v>
      </c>
      <c r="T286" s="30">
        <f t="shared" si="37"/>
        <v>5289.84</v>
      </c>
      <c r="U286" s="14" t="str">
        <f t="shared" si="38"/>
        <v>normal</v>
      </c>
      <c r="V286" s="33">
        <f t="shared" si="39"/>
        <v>0.05</v>
      </c>
    </row>
    <row r="287" spans="1:22" ht="15.75" customHeight="1" x14ac:dyDescent="0.25">
      <c r="A287" s="8">
        <v>1286</v>
      </c>
      <c r="B287" s="9" t="s">
        <v>268</v>
      </c>
      <c r="C287" s="9" t="s">
        <v>535</v>
      </c>
      <c r="D287" s="9" t="str">
        <f t="shared" si="32"/>
        <v>Safa Alshahadat</v>
      </c>
      <c r="E287" s="9" t="s">
        <v>33</v>
      </c>
      <c r="F287" s="9" t="s">
        <v>1093</v>
      </c>
      <c r="G287" s="9" t="s">
        <v>13</v>
      </c>
      <c r="H287" s="10" t="s">
        <v>14</v>
      </c>
      <c r="I287" s="10" t="s">
        <v>9</v>
      </c>
      <c r="J287" s="11" t="s">
        <v>10</v>
      </c>
      <c r="K287" s="9" t="s">
        <v>769</v>
      </c>
      <c r="L287" s="12">
        <v>8</v>
      </c>
      <c r="M287" s="13">
        <v>4</v>
      </c>
      <c r="N287" s="13">
        <v>2022</v>
      </c>
      <c r="O287" s="31">
        <f t="shared" si="33"/>
        <v>44659</v>
      </c>
      <c r="P287" s="13">
        <f t="shared" ca="1" si="34"/>
        <v>4</v>
      </c>
      <c r="Q287" s="29">
        <v>3362</v>
      </c>
      <c r="R287" s="30">
        <f t="shared" si="35"/>
        <v>336.20000000000005</v>
      </c>
      <c r="S287" s="30">
        <f t="shared" si="36"/>
        <v>100.86</v>
      </c>
      <c r="T287" s="30">
        <f t="shared" si="37"/>
        <v>3126.66</v>
      </c>
      <c r="U287" s="14" t="str">
        <f t="shared" si="38"/>
        <v>normal</v>
      </c>
      <c r="V287" s="33">
        <f t="shared" si="39"/>
        <v>0.05</v>
      </c>
    </row>
    <row r="288" spans="1:22" ht="15.75" customHeight="1" x14ac:dyDescent="0.25">
      <c r="A288" s="8">
        <v>1287</v>
      </c>
      <c r="B288" s="9" t="s">
        <v>536</v>
      </c>
      <c r="C288" s="9" t="s">
        <v>537</v>
      </c>
      <c r="D288" s="9" t="str">
        <f t="shared" si="32"/>
        <v>Ayly Bahriin</v>
      </c>
      <c r="E288" s="9" t="s">
        <v>34</v>
      </c>
      <c r="F288" s="9" t="s">
        <v>1094</v>
      </c>
      <c r="G288" s="9" t="s">
        <v>16</v>
      </c>
      <c r="H288" s="10" t="s">
        <v>11</v>
      </c>
      <c r="I288" s="10" t="s">
        <v>9</v>
      </c>
      <c r="J288" s="11" t="s">
        <v>10</v>
      </c>
      <c r="K288" s="9" t="s">
        <v>770</v>
      </c>
      <c r="L288" s="12">
        <v>16</v>
      </c>
      <c r="M288" s="13">
        <v>5</v>
      </c>
      <c r="N288" s="13">
        <v>2000</v>
      </c>
      <c r="O288" s="31">
        <f t="shared" si="33"/>
        <v>36662</v>
      </c>
      <c r="P288" s="13">
        <f t="shared" ca="1" si="34"/>
        <v>25</v>
      </c>
      <c r="Q288" s="29">
        <v>6043</v>
      </c>
      <c r="R288" s="30">
        <f t="shared" si="35"/>
        <v>604.30000000000007</v>
      </c>
      <c r="S288" s="30">
        <f t="shared" si="36"/>
        <v>181.29</v>
      </c>
      <c r="T288" s="30">
        <f t="shared" si="37"/>
        <v>5619.99</v>
      </c>
      <c r="U288" s="14" t="str">
        <f t="shared" si="38"/>
        <v>normal</v>
      </c>
      <c r="V288" s="33">
        <f t="shared" si="39"/>
        <v>0.05</v>
      </c>
    </row>
    <row r="289" spans="1:22" ht="15.75" customHeight="1" x14ac:dyDescent="0.25">
      <c r="A289" s="8">
        <v>1288</v>
      </c>
      <c r="B289" s="9" t="s">
        <v>58</v>
      </c>
      <c r="C289" s="9" t="s">
        <v>538</v>
      </c>
      <c r="D289" s="9" t="str">
        <f t="shared" si="32"/>
        <v>Ayham Alqadi</v>
      </c>
      <c r="E289" s="9" t="s">
        <v>34</v>
      </c>
      <c r="F289" s="9" t="s">
        <v>1095</v>
      </c>
      <c r="G289" s="9" t="s">
        <v>16</v>
      </c>
      <c r="H289" s="10" t="s">
        <v>8</v>
      </c>
      <c r="I289" s="10" t="s">
        <v>9</v>
      </c>
      <c r="J289" s="11" t="s">
        <v>19</v>
      </c>
      <c r="K289" s="9" t="s">
        <v>771</v>
      </c>
      <c r="L289" s="12">
        <v>1</v>
      </c>
      <c r="M289" s="13">
        <v>4</v>
      </c>
      <c r="N289" s="13">
        <v>2002</v>
      </c>
      <c r="O289" s="31">
        <f t="shared" si="33"/>
        <v>37347</v>
      </c>
      <c r="P289" s="13">
        <f t="shared" ca="1" si="34"/>
        <v>24</v>
      </c>
      <c r="Q289" s="29">
        <v>6260</v>
      </c>
      <c r="R289" s="30">
        <f t="shared" si="35"/>
        <v>626</v>
      </c>
      <c r="S289" s="30">
        <f t="shared" si="36"/>
        <v>187.79999999999998</v>
      </c>
      <c r="T289" s="30">
        <f t="shared" si="37"/>
        <v>5821.8</v>
      </c>
      <c r="U289" s="14" t="str">
        <f t="shared" si="38"/>
        <v>normal</v>
      </c>
      <c r="V289" s="33">
        <f t="shared" si="39"/>
        <v>0.05</v>
      </c>
    </row>
    <row r="290" spans="1:22" ht="15.75" customHeight="1" x14ac:dyDescent="0.25">
      <c r="A290" s="8">
        <v>1289</v>
      </c>
      <c r="B290" s="9" t="s">
        <v>539</v>
      </c>
      <c r="C290" s="9" t="s">
        <v>540</v>
      </c>
      <c r="D290" s="9" t="str">
        <f t="shared" si="32"/>
        <v>Asd Bwfaeur</v>
      </c>
      <c r="E290" s="9" t="s">
        <v>34</v>
      </c>
      <c r="F290" s="9" t="s">
        <v>1096</v>
      </c>
      <c r="G290" s="9" t="s">
        <v>16</v>
      </c>
      <c r="H290" s="10" t="s">
        <v>20</v>
      </c>
      <c r="I290" s="10" t="s">
        <v>9</v>
      </c>
      <c r="J290" s="11" t="s">
        <v>10</v>
      </c>
      <c r="K290" s="9" t="s">
        <v>772</v>
      </c>
      <c r="L290" s="12">
        <v>15</v>
      </c>
      <c r="M290" s="13">
        <v>4</v>
      </c>
      <c r="N290" s="13">
        <v>2000</v>
      </c>
      <c r="O290" s="31">
        <f t="shared" si="33"/>
        <v>36631</v>
      </c>
      <c r="P290" s="13">
        <f t="shared" ca="1" si="34"/>
        <v>26</v>
      </c>
      <c r="Q290" s="29">
        <v>3754</v>
      </c>
      <c r="R290" s="30">
        <f t="shared" si="35"/>
        <v>375.40000000000003</v>
      </c>
      <c r="S290" s="30">
        <f t="shared" si="36"/>
        <v>112.61999999999999</v>
      </c>
      <c r="T290" s="30">
        <f t="shared" si="37"/>
        <v>3491.22</v>
      </c>
      <c r="U290" s="14" t="str">
        <f t="shared" si="38"/>
        <v>normal</v>
      </c>
      <c r="V290" s="33">
        <f t="shared" si="39"/>
        <v>0.05</v>
      </c>
    </row>
    <row r="291" spans="1:22" ht="15.75" customHeight="1" x14ac:dyDescent="0.25">
      <c r="A291" s="8">
        <v>1290</v>
      </c>
      <c r="B291" s="9" t="s">
        <v>520</v>
      </c>
      <c r="C291" s="9" t="s">
        <v>110</v>
      </c>
      <c r="D291" s="9" t="str">
        <f t="shared" si="32"/>
        <v>Mazin Eubayd</v>
      </c>
      <c r="E291" s="9" t="s">
        <v>34</v>
      </c>
      <c r="F291" s="9" t="s">
        <v>1097</v>
      </c>
      <c r="G291" s="9" t="s">
        <v>13</v>
      </c>
      <c r="H291" s="10" t="s">
        <v>8</v>
      </c>
      <c r="I291" s="10" t="s">
        <v>22</v>
      </c>
      <c r="J291" s="11" t="s">
        <v>12</v>
      </c>
      <c r="K291" s="9" t="s">
        <v>773</v>
      </c>
      <c r="L291" s="12">
        <v>26</v>
      </c>
      <c r="M291" s="13">
        <v>10</v>
      </c>
      <c r="N291" s="13">
        <v>2003</v>
      </c>
      <c r="O291" s="31">
        <f t="shared" si="33"/>
        <v>37920</v>
      </c>
      <c r="P291" s="13">
        <f t="shared" ca="1" si="34"/>
        <v>22</v>
      </c>
      <c r="Q291" s="29">
        <v>6579</v>
      </c>
      <c r="R291" s="30">
        <f t="shared" si="35"/>
        <v>657.90000000000009</v>
      </c>
      <c r="S291" s="30">
        <f t="shared" si="36"/>
        <v>197.37</v>
      </c>
      <c r="T291" s="30">
        <f t="shared" si="37"/>
        <v>6118.4699999999993</v>
      </c>
      <c r="U291" s="14" t="str">
        <f t="shared" si="38"/>
        <v>over</v>
      </c>
      <c r="V291" s="33">
        <f t="shared" si="39"/>
        <v>0.02</v>
      </c>
    </row>
    <row r="292" spans="1:22" ht="15.75" customHeight="1" x14ac:dyDescent="0.25">
      <c r="A292" s="8">
        <v>1291</v>
      </c>
      <c r="B292" s="9" t="s">
        <v>541</v>
      </c>
      <c r="C292" s="9" t="s">
        <v>542</v>
      </c>
      <c r="D292" s="9" t="str">
        <f t="shared" si="32"/>
        <v>Alyida Nieamah</v>
      </c>
      <c r="E292" s="9" t="s">
        <v>33</v>
      </c>
      <c r="F292" s="9" t="s">
        <v>1098</v>
      </c>
      <c r="G292" s="9" t="s">
        <v>16</v>
      </c>
      <c r="H292" s="10" t="s">
        <v>11</v>
      </c>
      <c r="I292" s="10" t="s">
        <v>17</v>
      </c>
      <c r="J292" s="11" t="s">
        <v>10</v>
      </c>
      <c r="K292" s="9" t="s">
        <v>774</v>
      </c>
      <c r="L292" s="12">
        <v>8</v>
      </c>
      <c r="M292" s="13">
        <v>12</v>
      </c>
      <c r="N292" s="13">
        <v>2021</v>
      </c>
      <c r="O292" s="31">
        <f t="shared" si="33"/>
        <v>44538</v>
      </c>
      <c r="P292" s="13">
        <f t="shared" ca="1" si="34"/>
        <v>4</v>
      </c>
      <c r="Q292" s="29">
        <v>5373</v>
      </c>
      <c r="R292" s="30">
        <f t="shared" si="35"/>
        <v>537.30000000000007</v>
      </c>
      <c r="S292" s="30">
        <f t="shared" si="36"/>
        <v>161.19</v>
      </c>
      <c r="T292" s="30">
        <f t="shared" si="37"/>
        <v>4996.8899999999994</v>
      </c>
      <c r="U292" s="14" t="str">
        <f t="shared" si="38"/>
        <v>normal</v>
      </c>
      <c r="V292" s="33">
        <f t="shared" si="39"/>
        <v>0.05</v>
      </c>
    </row>
    <row r="293" spans="1:22" ht="15.75" customHeight="1" x14ac:dyDescent="0.25">
      <c r="A293" s="8">
        <v>1292</v>
      </c>
      <c r="B293" s="9" t="s">
        <v>27</v>
      </c>
      <c r="C293" s="9" t="s">
        <v>543</v>
      </c>
      <c r="D293" s="9" t="str">
        <f t="shared" si="32"/>
        <v>Ali Nhl</v>
      </c>
      <c r="E293" s="9" t="s">
        <v>34</v>
      </c>
      <c r="F293" s="9" t="s">
        <v>1099</v>
      </c>
      <c r="G293" s="9" t="s">
        <v>13</v>
      </c>
      <c r="H293" s="10" t="s">
        <v>11</v>
      </c>
      <c r="I293" s="10" t="s">
        <v>15</v>
      </c>
      <c r="J293" s="11" t="s">
        <v>12</v>
      </c>
      <c r="K293" s="9" t="s">
        <v>775</v>
      </c>
      <c r="L293" s="12">
        <v>7</v>
      </c>
      <c r="M293" s="13">
        <v>11</v>
      </c>
      <c r="N293" s="13">
        <v>1997</v>
      </c>
      <c r="O293" s="31">
        <f t="shared" si="33"/>
        <v>35741</v>
      </c>
      <c r="P293" s="13">
        <f t="shared" ca="1" si="34"/>
        <v>28</v>
      </c>
      <c r="Q293" s="29">
        <v>1391</v>
      </c>
      <c r="R293" s="30">
        <f t="shared" si="35"/>
        <v>139.1</v>
      </c>
      <c r="S293" s="30">
        <f t="shared" si="36"/>
        <v>41.73</v>
      </c>
      <c r="T293" s="30">
        <f t="shared" si="37"/>
        <v>1293.6300000000001</v>
      </c>
      <c r="U293" s="14" t="str">
        <f t="shared" si="38"/>
        <v>normal</v>
      </c>
      <c r="V293" s="33">
        <f t="shared" si="39"/>
        <v>0.08</v>
      </c>
    </row>
    <row r="294" spans="1:22" ht="15.75" customHeight="1" x14ac:dyDescent="0.25">
      <c r="A294" s="8">
        <v>1293</v>
      </c>
      <c r="B294" s="9" t="s">
        <v>544</v>
      </c>
      <c r="C294" s="9" t="s">
        <v>545</v>
      </c>
      <c r="D294" s="9" t="str">
        <f t="shared" si="32"/>
        <v>Hasan Iismaeil</v>
      </c>
      <c r="E294" s="9" t="s">
        <v>34</v>
      </c>
      <c r="F294" s="9" t="s">
        <v>1100</v>
      </c>
      <c r="G294" s="9" t="s">
        <v>16</v>
      </c>
      <c r="H294" s="10" t="s">
        <v>14</v>
      </c>
      <c r="I294" s="10" t="s">
        <v>198</v>
      </c>
      <c r="J294" s="11" t="s">
        <v>21</v>
      </c>
      <c r="K294" s="9" t="s">
        <v>776</v>
      </c>
      <c r="L294" s="12">
        <v>28</v>
      </c>
      <c r="M294" s="13">
        <v>7</v>
      </c>
      <c r="N294" s="13">
        <v>1993</v>
      </c>
      <c r="O294" s="31">
        <f t="shared" si="33"/>
        <v>34178</v>
      </c>
      <c r="P294" s="13">
        <f t="shared" ca="1" si="34"/>
        <v>32</v>
      </c>
      <c r="Q294" s="29">
        <v>2528</v>
      </c>
      <c r="R294" s="30">
        <f t="shared" si="35"/>
        <v>252.8</v>
      </c>
      <c r="S294" s="30">
        <f t="shared" si="36"/>
        <v>75.84</v>
      </c>
      <c r="T294" s="30">
        <f t="shared" si="37"/>
        <v>2351.04</v>
      </c>
      <c r="U294" s="14" t="str">
        <f t="shared" si="38"/>
        <v>normal</v>
      </c>
      <c r="V294" s="33">
        <f t="shared" si="39"/>
        <v>0.08</v>
      </c>
    </row>
    <row r="295" spans="1:22" ht="15.75" customHeight="1" x14ac:dyDescent="0.25">
      <c r="A295" s="8">
        <v>1294</v>
      </c>
      <c r="B295" s="9" t="s">
        <v>546</v>
      </c>
      <c r="C295" s="9" t="s">
        <v>547</v>
      </c>
      <c r="D295" s="9" t="str">
        <f t="shared" si="32"/>
        <v>Emam Mansur</v>
      </c>
      <c r="E295" s="9" t="s">
        <v>34</v>
      </c>
      <c r="F295" s="9" t="s">
        <v>1101</v>
      </c>
      <c r="G295" s="9" t="s">
        <v>16</v>
      </c>
      <c r="H295" s="10" t="s">
        <v>11</v>
      </c>
      <c r="I295" s="10" t="s">
        <v>26</v>
      </c>
      <c r="J295" s="11" t="s">
        <v>12</v>
      </c>
      <c r="K295" s="9" t="s">
        <v>777</v>
      </c>
      <c r="L295" s="12">
        <v>28</v>
      </c>
      <c r="M295" s="13">
        <v>4</v>
      </c>
      <c r="N295" s="13">
        <v>1992</v>
      </c>
      <c r="O295" s="31">
        <f t="shared" si="33"/>
        <v>33722</v>
      </c>
      <c r="P295" s="13">
        <f t="shared" ca="1" si="34"/>
        <v>33</v>
      </c>
      <c r="Q295" s="29">
        <v>6040</v>
      </c>
      <c r="R295" s="30">
        <f t="shared" si="35"/>
        <v>604</v>
      </c>
      <c r="S295" s="30">
        <f t="shared" si="36"/>
        <v>181.2</v>
      </c>
      <c r="T295" s="30">
        <f t="shared" si="37"/>
        <v>5617.2</v>
      </c>
      <c r="U295" s="14" t="str">
        <f t="shared" si="38"/>
        <v>normal</v>
      </c>
      <c r="V295" s="33">
        <f t="shared" si="39"/>
        <v>0.05</v>
      </c>
    </row>
    <row r="296" spans="1:22" ht="15.75" customHeight="1" x14ac:dyDescent="0.25">
      <c r="A296" s="8">
        <v>1295</v>
      </c>
      <c r="B296" s="9" t="s">
        <v>520</v>
      </c>
      <c r="C296" s="9" t="s">
        <v>548</v>
      </c>
      <c r="D296" s="9" t="str">
        <f t="shared" si="32"/>
        <v>Mazin Zawal</v>
      </c>
      <c r="E296" s="9" t="s">
        <v>34</v>
      </c>
      <c r="F296" s="9" t="s">
        <v>1102</v>
      </c>
      <c r="G296" s="9" t="s">
        <v>795</v>
      </c>
      <c r="H296" s="10" t="s">
        <v>20</v>
      </c>
      <c r="I296" s="10" t="s">
        <v>17</v>
      </c>
      <c r="J296" s="11" t="s">
        <v>12</v>
      </c>
      <c r="K296" s="9" t="s">
        <v>778</v>
      </c>
      <c r="L296" s="12">
        <v>13</v>
      </c>
      <c r="M296" s="13">
        <v>8</v>
      </c>
      <c r="N296" s="13">
        <v>2015</v>
      </c>
      <c r="O296" s="31">
        <f t="shared" si="33"/>
        <v>42229</v>
      </c>
      <c r="P296" s="13">
        <f t="shared" ca="1" si="34"/>
        <v>10</v>
      </c>
      <c r="Q296" s="29">
        <v>3842</v>
      </c>
      <c r="R296" s="30">
        <f t="shared" si="35"/>
        <v>384.20000000000005</v>
      </c>
      <c r="S296" s="30">
        <f t="shared" si="36"/>
        <v>115.25999999999999</v>
      </c>
      <c r="T296" s="30">
        <f t="shared" si="37"/>
        <v>3573.0600000000004</v>
      </c>
      <c r="U296" s="14" t="str">
        <f t="shared" si="38"/>
        <v>normal</v>
      </c>
      <c r="V296" s="33">
        <f t="shared" si="39"/>
        <v>0.05</v>
      </c>
    </row>
    <row r="297" spans="1:22" ht="15.75" customHeight="1" x14ac:dyDescent="0.25">
      <c r="A297" s="8">
        <v>1296</v>
      </c>
      <c r="B297" s="9" t="s">
        <v>247</v>
      </c>
      <c r="C297" s="9" t="s">
        <v>549</v>
      </c>
      <c r="D297" s="9" t="str">
        <f t="shared" si="32"/>
        <v>Lama Almala</v>
      </c>
      <c r="E297" s="9" t="s">
        <v>33</v>
      </c>
      <c r="F297" s="9" t="s">
        <v>1103</v>
      </c>
      <c r="G297" s="9" t="s">
        <v>16</v>
      </c>
      <c r="H297" s="10" t="s">
        <v>11</v>
      </c>
      <c r="I297" s="10" t="s">
        <v>198</v>
      </c>
      <c r="J297" s="11" t="s">
        <v>10</v>
      </c>
      <c r="K297" s="9" t="s">
        <v>779</v>
      </c>
      <c r="L297" s="12">
        <v>9</v>
      </c>
      <c r="M297" s="13">
        <v>11</v>
      </c>
      <c r="N297" s="13">
        <v>1992</v>
      </c>
      <c r="O297" s="31">
        <f t="shared" si="33"/>
        <v>33917</v>
      </c>
      <c r="P297" s="13">
        <f t="shared" ca="1" si="34"/>
        <v>33</v>
      </c>
      <c r="Q297" s="29">
        <v>1542</v>
      </c>
      <c r="R297" s="30">
        <f t="shared" si="35"/>
        <v>154.20000000000002</v>
      </c>
      <c r="S297" s="30">
        <f t="shared" si="36"/>
        <v>46.26</v>
      </c>
      <c r="T297" s="30">
        <f t="shared" si="37"/>
        <v>1434.06</v>
      </c>
      <c r="U297" s="14" t="str">
        <f t="shared" si="38"/>
        <v>normal</v>
      </c>
      <c r="V297" s="33">
        <f t="shared" si="39"/>
        <v>0.08</v>
      </c>
    </row>
    <row r="298" spans="1:22" ht="15.75" customHeight="1" x14ac:dyDescent="0.25">
      <c r="A298" s="8">
        <v>1297</v>
      </c>
      <c r="B298" s="9" t="s">
        <v>550</v>
      </c>
      <c r="C298" s="9" t="s">
        <v>551</v>
      </c>
      <c r="D298" s="9" t="str">
        <f t="shared" si="32"/>
        <v>Esamat Alriys</v>
      </c>
      <c r="E298" s="9" t="s">
        <v>34</v>
      </c>
      <c r="F298" s="9" t="s">
        <v>1104</v>
      </c>
      <c r="G298" s="9" t="s">
        <v>16</v>
      </c>
      <c r="H298" s="10" t="s">
        <v>14</v>
      </c>
      <c r="I298" s="10" t="s">
        <v>9</v>
      </c>
      <c r="J298" s="11" t="s">
        <v>12</v>
      </c>
      <c r="K298" s="9" t="s">
        <v>780</v>
      </c>
      <c r="L298" s="12">
        <v>10</v>
      </c>
      <c r="M298" s="13">
        <v>4</v>
      </c>
      <c r="N298" s="13">
        <v>2001</v>
      </c>
      <c r="O298" s="31">
        <f t="shared" si="33"/>
        <v>36991</v>
      </c>
      <c r="P298" s="13">
        <f t="shared" ca="1" si="34"/>
        <v>25</v>
      </c>
      <c r="Q298" s="29">
        <v>3134</v>
      </c>
      <c r="R298" s="30">
        <f t="shared" si="35"/>
        <v>313.40000000000003</v>
      </c>
      <c r="S298" s="30">
        <f t="shared" si="36"/>
        <v>94.02</v>
      </c>
      <c r="T298" s="30">
        <f t="shared" si="37"/>
        <v>2914.62</v>
      </c>
      <c r="U298" s="14" t="str">
        <f t="shared" si="38"/>
        <v>normal</v>
      </c>
      <c r="V298" s="33">
        <f t="shared" si="39"/>
        <v>0.08</v>
      </c>
    </row>
    <row r="299" spans="1:22" ht="15.75" customHeight="1" x14ac:dyDescent="0.25">
      <c r="A299" s="8">
        <v>1298</v>
      </c>
      <c r="B299" s="9" t="s">
        <v>255</v>
      </c>
      <c r="C299" s="9" t="s">
        <v>210</v>
      </c>
      <c r="D299" s="9" t="str">
        <f t="shared" si="32"/>
        <v>Amir Alkhatib</v>
      </c>
      <c r="E299" s="9" t="s">
        <v>34</v>
      </c>
      <c r="F299" s="9" t="s">
        <v>1105</v>
      </c>
      <c r="G299" s="9" t="s">
        <v>16</v>
      </c>
      <c r="H299" s="10" t="s">
        <v>14</v>
      </c>
      <c r="I299" s="10" t="s">
        <v>22</v>
      </c>
      <c r="J299" s="11" t="s">
        <v>21</v>
      </c>
      <c r="K299" s="9" t="s">
        <v>781</v>
      </c>
      <c r="L299" s="12">
        <v>21</v>
      </c>
      <c r="M299" s="13">
        <v>1</v>
      </c>
      <c r="N299" s="13">
        <v>2010</v>
      </c>
      <c r="O299" s="31">
        <f t="shared" si="33"/>
        <v>40199</v>
      </c>
      <c r="P299" s="13">
        <f t="shared" ca="1" si="34"/>
        <v>16</v>
      </c>
      <c r="Q299" s="29">
        <v>4921</v>
      </c>
      <c r="R299" s="30">
        <f t="shared" si="35"/>
        <v>492.1</v>
      </c>
      <c r="S299" s="30">
        <f t="shared" si="36"/>
        <v>147.63</v>
      </c>
      <c r="T299" s="30">
        <f t="shared" si="37"/>
        <v>4576.53</v>
      </c>
      <c r="U299" s="14" t="str">
        <f t="shared" si="38"/>
        <v>normal</v>
      </c>
      <c r="V299" s="33">
        <f t="shared" si="39"/>
        <v>0.05</v>
      </c>
    </row>
    <row r="300" spans="1:22" ht="15.75" customHeight="1" x14ac:dyDescent="0.25">
      <c r="A300" s="8">
        <v>1299</v>
      </c>
      <c r="B300" s="9" t="s">
        <v>552</v>
      </c>
      <c r="C300" s="9" t="s">
        <v>553</v>
      </c>
      <c r="D300" s="9" t="str">
        <f t="shared" si="32"/>
        <v>Maria Alhizae</v>
      </c>
      <c r="E300" s="9" t="s">
        <v>33</v>
      </c>
      <c r="F300" s="9" t="s">
        <v>1106</v>
      </c>
      <c r="G300" s="9" t="s">
        <v>16</v>
      </c>
      <c r="H300" s="10" t="s">
        <v>11</v>
      </c>
      <c r="I300" s="10" t="s">
        <v>198</v>
      </c>
      <c r="J300" s="11" t="s">
        <v>19</v>
      </c>
      <c r="K300" s="9" t="s">
        <v>782</v>
      </c>
      <c r="L300" s="12">
        <v>13</v>
      </c>
      <c r="M300" s="13">
        <v>7</v>
      </c>
      <c r="N300" s="13">
        <v>2001</v>
      </c>
      <c r="O300" s="31">
        <f t="shared" si="33"/>
        <v>37085</v>
      </c>
      <c r="P300" s="13">
        <f t="shared" ca="1" si="34"/>
        <v>24</v>
      </c>
      <c r="Q300" s="29">
        <v>1948</v>
      </c>
      <c r="R300" s="30">
        <f t="shared" si="35"/>
        <v>194.8</v>
      </c>
      <c r="S300" s="30">
        <f t="shared" si="36"/>
        <v>58.44</v>
      </c>
      <c r="T300" s="30">
        <f t="shared" si="37"/>
        <v>1811.64</v>
      </c>
      <c r="U300" s="14" t="str">
        <f t="shared" si="38"/>
        <v>normal</v>
      </c>
      <c r="V300" s="33">
        <f t="shared" si="39"/>
        <v>0.08</v>
      </c>
    </row>
    <row r="301" spans="1:22" ht="15.75" customHeight="1" x14ac:dyDescent="0.25">
      <c r="A301" s="8">
        <v>1300</v>
      </c>
      <c r="B301" s="9" t="s">
        <v>36</v>
      </c>
      <c r="C301" s="9" t="s">
        <v>554</v>
      </c>
      <c r="D301" s="9" t="str">
        <f t="shared" si="32"/>
        <v>Ahmad Qadimati</v>
      </c>
      <c r="E301" s="9" t="s">
        <v>34</v>
      </c>
      <c r="F301" s="9" t="s">
        <v>1107</v>
      </c>
      <c r="G301" s="9" t="s">
        <v>18</v>
      </c>
      <c r="H301" s="10" t="s">
        <v>8</v>
      </c>
      <c r="I301" s="10" t="s">
        <v>22</v>
      </c>
      <c r="J301" s="11" t="s">
        <v>21</v>
      </c>
      <c r="K301" s="9" t="s">
        <v>783</v>
      </c>
      <c r="L301" s="12">
        <v>8</v>
      </c>
      <c r="M301" s="13">
        <v>3</v>
      </c>
      <c r="N301" s="13">
        <v>2015</v>
      </c>
      <c r="O301" s="31">
        <f t="shared" si="33"/>
        <v>42071</v>
      </c>
      <c r="P301" s="13">
        <f t="shared" ca="1" si="34"/>
        <v>11</v>
      </c>
      <c r="Q301" s="29">
        <v>3294</v>
      </c>
      <c r="R301" s="30">
        <f t="shared" si="35"/>
        <v>329.40000000000003</v>
      </c>
      <c r="S301" s="30">
        <f t="shared" si="36"/>
        <v>98.82</v>
      </c>
      <c r="T301" s="30">
        <f t="shared" si="37"/>
        <v>3063.42</v>
      </c>
      <c r="U301" s="14" t="str">
        <f t="shared" si="38"/>
        <v>normal</v>
      </c>
      <c r="V301" s="33">
        <f t="shared" si="39"/>
        <v>0.05</v>
      </c>
    </row>
    <row r="302" spans="1:22" ht="15.75" customHeight="1" x14ac:dyDescent="0.25">
      <c r="A302" s="2"/>
      <c r="B302" s="3"/>
      <c r="C302" s="3"/>
      <c r="D302" s="3"/>
      <c r="E302" s="3"/>
      <c r="F302" s="3"/>
      <c r="G302" s="3"/>
      <c r="J302" s="4"/>
      <c r="L302" s="5"/>
      <c r="M302" s="5"/>
      <c r="N302" s="5"/>
      <c r="O302" s="5"/>
      <c r="P302" s="5"/>
    </row>
    <row r="303" spans="1:22" ht="15.75" customHeight="1" x14ac:dyDescent="0.25">
      <c r="A303" s="2"/>
      <c r="B303" s="3"/>
      <c r="C303" s="3"/>
      <c r="D303" s="3"/>
      <c r="E303" s="3"/>
      <c r="F303" s="3"/>
      <c r="G303" s="3"/>
      <c r="J303" s="4"/>
      <c r="L303" s="5"/>
      <c r="M303" s="5"/>
      <c r="N303" s="5"/>
      <c r="O303" s="5"/>
      <c r="P303" s="5"/>
    </row>
    <row r="304" spans="1:22" ht="15.75" customHeight="1" x14ac:dyDescent="0.25">
      <c r="A304" s="2"/>
      <c r="B304" s="3"/>
      <c r="C304" s="3"/>
      <c r="D304" s="3"/>
      <c r="E304" s="3"/>
      <c r="F304" s="3"/>
      <c r="G304" s="3"/>
      <c r="J304" s="4"/>
      <c r="L304" s="5"/>
      <c r="M304" s="5"/>
      <c r="N304" s="5"/>
      <c r="O304" s="5"/>
      <c r="P304" s="5"/>
    </row>
    <row r="305" spans="1:16" ht="15.75" customHeight="1" x14ac:dyDescent="0.25">
      <c r="A305" s="2"/>
      <c r="B305" s="3"/>
      <c r="C305" s="3"/>
      <c r="D305" s="3"/>
      <c r="E305" s="3"/>
      <c r="F305" s="3"/>
      <c r="G305" s="3"/>
      <c r="J305" s="4"/>
      <c r="L305" s="5"/>
      <c r="M305" s="5"/>
      <c r="N305" s="5"/>
      <c r="O305" s="5"/>
      <c r="P305" s="5"/>
    </row>
    <row r="306" spans="1:16" ht="15.75" customHeight="1" x14ac:dyDescent="0.25">
      <c r="A306" s="2"/>
      <c r="B306" s="3"/>
      <c r="C306" s="3"/>
      <c r="D306" s="3"/>
      <c r="E306" s="3"/>
      <c r="F306" s="3"/>
      <c r="G306" s="3"/>
      <c r="J306" s="4"/>
      <c r="L306" s="5"/>
      <c r="M306" s="5"/>
      <c r="N306" s="5"/>
      <c r="O306" s="5"/>
      <c r="P306" s="5"/>
    </row>
    <row r="307" spans="1:16" ht="15.75" customHeight="1" x14ac:dyDescent="0.25">
      <c r="A307" s="2"/>
      <c r="B307" s="3"/>
      <c r="C307" s="3"/>
      <c r="D307" s="3"/>
      <c r="E307" s="3"/>
      <c r="F307" s="3"/>
      <c r="G307" s="3"/>
      <c r="J307" s="4"/>
      <c r="L307" s="5"/>
      <c r="M307" s="5"/>
      <c r="N307" s="5"/>
      <c r="O307" s="5"/>
      <c r="P307" s="5"/>
    </row>
    <row r="308" spans="1:16" ht="15.75" customHeight="1" x14ac:dyDescent="0.25">
      <c r="A308" s="2"/>
      <c r="B308" s="3"/>
      <c r="C308" s="3"/>
      <c r="D308" s="3"/>
      <c r="E308" s="3"/>
      <c r="F308" s="3"/>
      <c r="G308" s="3"/>
      <c r="J308" s="4"/>
      <c r="L308" s="5"/>
      <c r="M308" s="5"/>
      <c r="N308" s="5"/>
      <c r="O308" s="5"/>
      <c r="P308" s="5"/>
    </row>
    <row r="309" spans="1:16" ht="15.75" customHeight="1" x14ac:dyDescent="0.25">
      <c r="A309" s="2"/>
      <c r="B309" s="3"/>
      <c r="C309" s="3"/>
      <c r="D309" s="3"/>
      <c r="E309" s="3"/>
      <c r="F309" s="3"/>
      <c r="G309" s="3"/>
      <c r="J309" s="4"/>
      <c r="L309" s="5"/>
      <c r="M309" s="5"/>
      <c r="N309" s="5"/>
      <c r="O309" s="5"/>
      <c r="P309" s="5"/>
    </row>
    <row r="310" spans="1:16" ht="15.75" customHeight="1" x14ac:dyDescent="0.25">
      <c r="A310" s="2"/>
      <c r="B310" s="3"/>
      <c r="C310" s="3"/>
      <c r="D310" s="3"/>
      <c r="E310" s="3"/>
      <c r="F310" s="3"/>
      <c r="G310" s="3"/>
      <c r="J310" s="4"/>
      <c r="L310" s="5"/>
      <c r="M310" s="5"/>
      <c r="N310" s="5"/>
      <c r="O310" s="5"/>
      <c r="P310" s="5"/>
    </row>
    <row r="311" spans="1:16" ht="15.75" customHeight="1" x14ac:dyDescent="0.25">
      <c r="A311" s="2"/>
      <c r="B311" s="3"/>
      <c r="C311" s="3"/>
      <c r="D311" s="3"/>
      <c r="E311" s="3"/>
      <c r="F311" s="3"/>
      <c r="G311" s="3"/>
      <c r="J311" s="4"/>
      <c r="L311" s="5"/>
      <c r="M311" s="5"/>
      <c r="N311" s="5"/>
      <c r="O311" s="5"/>
      <c r="P311" s="5"/>
    </row>
    <row r="312" spans="1:16" ht="15.75" customHeight="1" x14ac:dyDescent="0.25">
      <c r="A312" s="2"/>
      <c r="B312" s="3"/>
      <c r="C312" s="3"/>
      <c r="D312" s="3"/>
      <c r="E312" s="3"/>
      <c r="F312" s="3"/>
      <c r="G312" s="3"/>
      <c r="J312" s="4"/>
      <c r="L312" s="5"/>
      <c r="M312" s="5"/>
      <c r="N312" s="5"/>
      <c r="O312" s="5"/>
      <c r="P312" s="5"/>
    </row>
    <row r="313" spans="1:16" ht="15.75" customHeight="1" x14ac:dyDescent="0.25">
      <c r="A313" s="2"/>
      <c r="B313" s="3"/>
      <c r="C313" s="3"/>
      <c r="D313" s="3"/>
      <c r="E313" s="3"/>
      <c r="F313" s="3"/>
      <c r="G313" s="3"/>
      <c r="J313" s="4"/>
      <c r="L313" s="5"/>
      <c r="M313" s="5"/>
      <c r="N313" s="5"/>
      <c r="O313" s="5"/>
      <c r="P313" s="5"/>
    </row>
    <row r="314" spans="1:16" ht="15.75" customHeight="1" x14ac:dyDescent="0.25">
      <c r="A314" s="2"/>
      <c r="B314" s="3"/>
      <c r="C314" s="3"/>
      <c r="D314" s="3"/>
      <c r="E314" s="3"/>
      <c r="F314" s="3"/>
      <c r="G314" s="3"/>
      <c r="J314" s="4"/>
      <c r="L314" s="5"/>
      <c r="M314" s="5"/>
      <c r="N314" s="5"/>
      <c r="O314" s="5"/>
      <c r="P314" s="5"/>
    </row>
    <row r="315" spans="1:16" ht="15.75" customHeight="1" x14ac:dyDescent="0.25">
      <c r="A315" s="2"/>
      <c r="B315" s="3"/>
      <c r="C315" s="3"/>
      <c r="D315" s="3"/>
      <c r="E315" s="3"/>
      <c r="F315" s="3"/>
      <c r="G315" s="3"/>
      <c r="J315" s="4"/>
      <c r="L315" s="5"/>
      <c r="M315" s="5"/>
      <c r="N315" s="5"/>
      <c r="O315" s="5"/>
      <c r="P315" s="5"/>
    </row>
    <row r="316" spans="1:16" ht="15.75" customHeight="1" x14ac:dyDescent="0.25">
      <c r="A316" s="2"/>
      <c r="B316" s="3"/>
      <c r="C316" s="3"/>
      <c r="D316" s="3"/>
      <c r="E316" s="3"/>
      <c r="F316" s="3"/>
      <c r="G316" s="3"/>
      <c r="J316" s="4"/>
      <c r="L316" s="5"/>
      <c r="M316" s="5"/>
      <c r="N316" s="5"/>
      <c r="O316" s="5"/>
      <c r="P316" s="5"/>
    </row>
    <row r="317" spans="1:16" ht="15.75" customHeight="1" x14ac:dyDescent="0.25">
      <c r="A317" s="2"/>
      <c r="B317" s="3"/>
      <c r="C317" s="3"/>
      <c r="D317" s="3"/>
      <c r="E317" s="3"/>
      <c r="F317" s="3"/>
      <c r="G317" s="3"/>
      <c r="J317" s="4"/>
      <c r="L317" s="5"/>
      <c r="M317" s="5"/>
      <c r="N317" s="5"/>
      <c r="O317" s="5"/>
      <c r="P317" s="5"/>
    </row>
    <row r="318" spans="1:16" ht="15.75" customHeight="1" x14ac:dyDescent="0.25">
      <c r="A318" s="2"/>
      <c r="B318" s="3"/>
      <c r="C318" s="3"/>
      <c r="D318" s="3"/>
      <c r="E318" s="3"/>
      <c r="F318" s="3"/>
      <c r="G318" s="3"/>
      <c r="J318" s="4"/>
      <c r="L318" s="5"/>
      <c r="M318" s="5"/>
      <c r="N318" s="5"/>
      <c r="O318" s="5"/>
      <c r="P318" s="5"/>
    </row>
    <row r="319" spans="1:16" ht="15.75" customHeight="1" x14ac:dyDescent="0.25">
      <c r="A319" s="2"/>
      <c r="B319" s="3"/>
      <c r="C319" s="3"/>
      <c r="D319" s="3"/>
      <c r="E319" s="3"/>
      <c r="F319" s="3"/>
      <c r="G319" s="3"/>
      <c r="J319" s="4"/>
      <c r="L319" s="5"/>
      <c r="M319" s="5"/>
      <c r="N319" s="5"/>
      <c r="O319" s="5"/>
      <c r="P319" s="5"/>
    </row>
    <row r="320" spans="1:16" ht="15.75" customHeight="1" x14ac:dyDescent="0.25">
      <c r="A320" s="2"/>
      <c r="B320" s="3"/>
      <c r="C320" s="3"/>
      <c r="D320" s="3"/>
      <c r="E320" s="3"/>
      <c r="F320" s="3"/>
      <c r="G320" s="3"/>
      <c r="J320" s="4"/>
      <c r="L320" s="5"/>
      <c r="M320" s="5"/>
      <c r="N320" s="5"/>
      <c r="O320" s="5"/>
      <c r="P320" s="5"/>
    </row>
    <row r="321" spans="1:16" ht="15.75" customHeight="1" x14ac:dyDescent="0.25">
      <c r="A321" s="2"/>
      <c r="B321" s="3"/>
      <c r="C321" s="3"/>
      <c r="D321" s="3"/>
      <c r="E321" s="3"/>
      <c r="F321" s="3"/>
      <c r="G321" s="3"/>
      <c r="J321" s="4"/>
      <c r="L321" s="5"/>
      <c r="M321" s="5"/>
      <c r="N321" s="5"/>
      <c r="O321" s="5"/>
      <c r="P321" s="5"/>
    </row>
    <row r="322" spans="1:16" ht="15.75" customHeight="1" x14ac:dyDescent="0.25">
      <c r="A322" s="2"/>
      <c r="B322" s="3"/>
      <c r="C322" s="3"/>
      <c r="D322" s="3"/>
      <c r="E322" s="3"/>
      <c r="F322" s="3"/>
      <c r="G322" s="3"/>
      <c r="J322" s="4"/>
      <c r="L322" s="5"/>
      <c r="M322" s="5"/>
      <c r="N322" s="5"/>
      <c r="O322" s="5"/>
      <c r="P322" s="5"/>
    </row>
    <row r="323" spans="1:16" ht="15.75" customHeight="1" x14ac:dyDescent="0.25">
      <c r="A323" s="2"/>
      <c r="B323" s="3"/>
      <c r="C323" s="3"/>
      <c r="D323" s="3"/>
      <c r="E323" s="3"/>
      <c r="F323" s="3"/>
      <c r="G323" s="3"/>
      <c r="J323" s="4"/>
      <c r="L323" s="5"/>
      <c r="M323" s="5"/>
      <c r="N323" s="5"/>
      <c r="O323" s="5"/>
      <c r="P323" s="5"/>
    </row>
    <row r="324" spans="1:16" ht="15.75" customHeight="1" x14ac:dyDescent="0.25">
      <c r="A324" s="2"/>
      <c r="B324" s="3"/>
      <c r="C324" s="3"/>
      <c r="D324" s="3"/>
      <c r="E324" s="3"/>
      <c r="F324" s="3"/>
      <c r="G324" s="3"/>
      <c r="J324" s="4"/>
      <c r="L324" s="5"/>
      <c r="M324" s="5"/>
      <c r="N324" s="5"/>
      <c r="O324" s="5"/>
      <c r="P324" s="5"/>
    </row>
    <row r="325" spans="1:16" ht="15.75" customHeight="1" x14ac:dyDescent="0.25">
      <c r="A325" s="2"/>
      <c r="B325" s="3"/>
      <c r="C325" s="3"/>
      <c r="D325" s="3"/>
      <c r="E325" s="3"/>
      <c r="F325" s="3"/>
      <c r="G325" s="3"/>
      <c r="J325" s="4"/>
      <c r="L325" s="5"/>
      <c r="M325" s="5"/>
      <c r="N325" s="5"/>
      <c r="O325" s="5"/>
      <c r="P325" s="5"/>
    </row>
    <row r="326" spans="1:16" ht="15.75" customHeight="1" x14ac:dyDescent="0.25">
      <c r="A326" s="2"/>
      <c r="B326" s="3"/>
      <c r="C326" s="3"/>
      <c r="D326" s="3"/>
      <c r="E326" s="3"/>
      <c r="F326" s="3"/>
      <c r="G326" s="3"/>
      <c r="J326" s="4"/>
      <c r="L326" s="5"/>
      <c r="M326" s="5"/>
      <c r="N326" s="5"/>
      <c r="O326" s="5"/>
      <c r="P326" s="5"/>
    </row>
    <row r="327" spans="1:16" ht="15.75" customHeight="1" x14ac:dyDescent="0.25">
      <c r="A327" s="2"/>
      <c r="B327" s="3"/>
      <c r="C327" s="3"/>
      <c r="D327" s="3"/>
      <c r="E327" s="3"/>
      <c r="F327" s="3"/>
      <c r="G327" s="3"/>
      <c r="J327" s="4"/>
      <c r="L327" s="5"/>
      <c r="M327" s="5"/>
      <c r="N327" s="5"/>
      <c r="O327" s="5"/>
      <c r="P327" s="5"/>
    </row>
    <row r="328" spans="1:16" ht="15.75" customHeight="1" x14ac:dyDescent="0.25">
      <c r="A328" s="2"/>
      <c r="B328" s="3"/>
      <c r="C328" s="3"/>
      <c r="D328" s="3"/>
      <c r="E328" s="3"/>
      <c r="F328" s="3"/>
      <c r="G328" s="3"/>
      <c r="J328" s="4"/>
      <c r="L328" s="5"/>
      <c r="M328" s="5"/>
      <c r="N328" s="5"/>
      <c r="O328" s="5"/>
      <c r="P328" s="5"/>
    </row>
    <row r="329" spans="1:16" ht="15.75" customHeight="1" x14ac:dyDescent="0.25">
      <c r="A329" s="2"/>
      <c r="B329" s="3"/>
      <c r="C329" s="3"/>
      <c r="D329" s="3"/>
      <c r="E329" s="3"/>
      <c r="F329" s="3"/>
      <c r="G329" s="3"/>
      <c r="J329" s="4"/>
      <c r="L329" s="5"/>
      <c r="M329" s="5"/>
      <c r="N329" s="5"/>
      <c r="O329" s="5"/>
      <c r="P329" s="5"/>
    </row>
    <row r="330" spans="1:16" ht="15.75" customHeight="1" x14ac:dyDescent="0.25">
      <c r="A330" s="2"/>
      <c r="B330" s="3"/>
      <c r="C330" s="3"/>
      <c r="D330" s="3"/>
      <c r="E330" s="3"/>
      <c r="F330" s="3"/>
      <c r="G330" s="3"/>
      <c r="J330" s="4"/>
      <c r="L330" s="5"/>
      <c r="M330" s="5"/>
      <c r="N330" s="5"/>
      <c r="O330" s="5"/>
      <c r="P330" s="5"/>
    </row>
    <row r="331" spans="1:16" ht="15.75" customHeight="1" x14ac:dyDescent="0.25">
      <c r="A331" s="2"/>
      <c r="B331" s="3"/>
      <c r="C331" s="3"/>
      <c r="D331" s="3"/>
      <c r="E331" s="3"/>
      <c r="F331" s="3"/>
      <c r="G331" s="3"/>
      <c r="J331" s="4"/>
      <c r="L331" s="5"/>
      <c r="M331" s="5"/>
      <c r="N331" s="5"/>
      <c r="O331" s="5"/>
      <c r="P331" s="5"/>
    </row>
    <row r="332" spans="1:16" ht="15.75" customHeight="1" x14ac:dyDescent="0.25">
      <c r="A332" s="2"/>
      <c r="B332" s="3"/>
      <c r="C332" s="3"/>
      <c r="D332" s="3"/>
      <c r="E332" s="3"/>
      <c r="F332" s="3"/>
      <c r="G332" s="3"/>
      <c r="J332" s="4"/>
      <c r="L332" s="5"/>
      <c r="M332" s="5"/>
      <c r="N332" s="5"/>
      <c r="O332" s="5"/>
      <c r="P332" s="5"/>
    </row>
    <row r="333" spans="1:16" ht="15.75" customHeight="1" x14ac:dyDescent="0.25">
      <c r="A333" s="2"/>
      <c r="B333" s="3"/>
      <c r="C333" s="3"/>
      <c r="D333" s="3"/>
      <c r="E333" s="3"/>
      <c r="F333" s="3"/>
      <c r="G333" s="3"/>
      <c r="J333" s="4"/>
      <c r="L333" s="5"/>
      <c r="M333" s="5"/>
      <c r="N333" s="5"/>
      <c r="O333" s="5"/>
      <c r="P333" s="5"/>
    </row>
    <row r="334" spans="1:16" ht="15.75" customHeight="1" x14ac:dyDescent="0.25">
      <c r="A334" s="2"/>
      <c r="B334" s="3"/>
      <c r="C334" s="3"/>
      <c r="D334" s="3"/>
      <c r="E334" s="3"/>
      <c r="F334" s="3"/>
      <c r="G334" s="3"/>
      <c r="J334" s="4"/>
      <c r="L334" s="5"/>
      <c r="M334" s="5"/>
      <c r="N334" s="5"/>
      <c r="O334" s="5"/>
      <c r="P334" s="5"/>
    </row>
    <row r="335" spans="1:16" ht="15.75" customHeight="1" x14ac:dyDescent="0.25">
      <c r="A335" s="2"/>
      <c r="B335" s="3"/>
      <c r="C335" s="3"/>
      <c r="D335" s="3"/>
      <c r="E335" s="3"/>
      <c r="F335" s="3"/>
      <c r="G335" s="3"/>
      <c r="J335" s="4"/>
      <c r="L335" s="5"/>
      <c r="M335" s="5"/>
      <c r="N335" s="5"/>
      <c r="O335" s="5"/>
      <c r="P335" s="5"/>
    </row>
    <row r="336" spans="1:16" ht="15.75" customHeight="1" x14ac:dyDescent="0.25">
      <c r="A336" s="2"/>
      <c r="B336" s="3"/>
      <c r="C336" s="3"/>
      <c r="D336" s="3"/>
      <c r="E336" s="3"/>
      <c r="F336" s="3"/>
      <c r="G336" s="3"/>
      <c r="J336" s="4"/>
      <c r="L336" s="5"/>
      <c r="M336" s="5"/>
      <c r="N336" s="5"/>
      <c r="O336" s="5"/>
      <c r="P336" s="5"/>
    </row>
    <row r="337" spans="1:16" ht="15.75" customHeight="1" x14ac:dyDescent="0.25">
      <c r="A337" s="2"/>
      <c r="B337" s="3"/>
      <c r="C337" s="3"/>
      <c r="D337" s="3"/>
      <c r="E337" s="3"/>
      <c r="F337" s="3"/>
      <c r="G337" s="3"/>
      <c r="J337" s="4"/>
      <c r="L337" s="5"/>
      <c r="M337" s="5"/>
      <c r="N337" s="5"/>
      <c r="O337" s="5"/>
      <c r="P337" s="5"/>
    </row>
    <row r="338" spans="1:16" ht="15.75" customHeight="1" x14ac:dyDescent="0.25">
      <c r="A338" s="2"/>
      <c r="B338" s="3"/>
      <c r="C338" s="3"/>
      <c r="D338" s="3"/>
      <c r="E338" s="3"/>
      <c r="F338" s="3"/>
      <c r="G338" s="3"/>
      <c r="J338" s="4"/>
      <c r="L338" s="5"/>
      <c r="M338" s="5"/>
      <c r="N338" s="5"/>
      <c r="O338" s="5"/>
      <c r="P338" s="5"/>
    </row>
    <row r="339" spans="1:16" ht="15.75" customHeight="1" x14ac:dyDescent="0.25">
      <c r="A339" s="2"/>
      <c r="B339" s="3"/>
      <c r="C339" s="3"/>
      <c r="D339" s="3"/>
      <c r="E339" s="3"/>
      <c r="F339" s="3"/>
      <c r="G339" s="3"/>
      <c r="J339" s="4"/>
      <c r="L339" s="5"/>
      <c r="M339" s="5"/>
      <c r="N339" s="5"/>
      <c r="O339" s="5"/>
      <c r="P339" s="5"/>
    </row>
    <row r="340" spans="1:16" ht="15.75" customHeight="1" x14ac:dyDescent="0.25">
      <c r="A340" s="2"/>
      <c r="B340" s="3"/>
      <c r="C340" s="3"/>
      <c r="D340" s="3"/>
      <c r="E340" s="3"/>
      <c r="F340" s="3"/>
      <c r="G340" s="3"/>
      <c r="J340" s="4"/>
      <c r="L340" s="5"/>
      <c r="M340" s="5"/>
      <c r="N340" s="5"/>
      <c r="O340" s="5"/>
      <c r="P340" s="5"/>
    </row>
    <row r="341" spans="1:16" ht="15.75" customHeight="1" x14ac:dyDescent="0.25">
      <c r="A341" s="2"/>
      <c r="B341" s="3"/>
      <c r="C341" s="3"/>
      <c r="D341" s="3"/>
      <c r="E341" s="3"/>
      <c r="F341" s="3"/>
      <c r="G341" s="3"/>
      <c r="J341" s="4"/>
      <c r="L341" s="5"/>
      <c r="M341" s="5"/>
      <c r="N341" s="5"/>
      <c r="O341" s="5"/>
      <c r="P341" s="5"/>
    </row>
    <row r="342" spans="1:16" ht="15.75" customHeight="1" x14ac:dyDescent="0.25">
      <c r="A342" s="2"/>
      <c r="B342" s="3"/>
      <c r="C342" s="3"/>
      <c r="D342" s="3"/>
      <c r="E342" s="3"/>
      <c r="F342" s="3"/>
      <c r="G342" s="3"/>
      <c r="J342" s="4"/>
      <c r="L342" s="5"/>
      <c r="M342" s="5"/>
      <c r="N342" s="5"/>
      <c r="O342" s="5"/>
      <c r="P342" s="5"/>
    </row>
    <row r="343" spans="1:16" ht="15.75" customHeight="1" x14ac:dyDescent="0.25">
      <c r="A343" s="2"/>
      <c r="B343" s="3"/>
      <c r="C343" s="3"/>
      <c r="D343" s="3"/>
      <c r="E343" s="3"/>
      <c r="F343" s="3"/>
      <c r="G343" s="3"/>
      <c r="J343" s="4"/>
      <c r="L343" s="5"/>
      <c r="M343" s="5"/>
      <c r="N343" s="5"/>
      <c r="O343" s="5"/>
      <c r="P343" s="5"/>
    </row>
    <row r="344" spans="1:16" ht="15.75" customHeight="1" x14ac:dyDescent="0.25">
      <c r="A344" s="2"/>
      <c r="B344" s="3"/>
      <c r="C344" s="3"/>
      <c r="D344" s="3"/>
      <c r="E344" s="3"/>
      <c r="F344" s="3"/>
      <c r="G344" s="3"/>
      <c r="J344" s="4"/>
      <c r="L344" s="5"/>
      <c r="M344" s="5"/>
      <c r="N344" s="5"/>
      <c r="O344" s="5"/>
      <c r="P344" s="5"/>
    </row>
    <row r="345" spans="1:16" ht="15.75" customHeight="1" x14ac:dyDescent="0.25">
      <c r="A345" s="2"/>
      <c r="B345" s="3"/>
      <c r="C345" s="3"/>
      <c r="D345" s="3"/>
      <c r="E345" s="3"/>
      <c r="F345" s="3"/>
      <c r="G345" s="3"/>
      <c r="J345" s="4"/>
      <c r="L345" s="5"/>
      <c r="M345" s="5"/>
      <c r="N345" s="5"/>
      <c r="O345" s="5"/>
      <c r="P345" s="5"/>
    </row>
    <row r="346" spans="1:16" ht="15.75" customHeight="1" x14ac:dyDescent="0.25">
      <c r="A346" s="2"/>
      <c r="B346" s="3"/>
      <c r="C346" s="3"/>
      <c r="D346" s="3"/>
      <c r="E346" s="3"/>
      <c r="F346" s="3"/>
      <c r="G346" s="3"/>
      <c r="J346" s="4"/>
      <c r="L346" s="5"/>
      <c r="M346" s="5"/>
      <c r="N346" s="5"/>
      <c r="O346" s="5"/>
      <c r="P346" s="5"/>
    </row>
    <row r="347" spans="1:16" ht="15.75" customHeight="1" x14ac:dyDescent="0.25">
      <c r="A347" s="2"/>
      <c r="B347" s="3"/>
      <c r="C347" s="3"/>
      <c r="D347" s="3"/>
      <c r="E347" s="3"/>
      <c r="F347" s="3"/>
      <c r="G347" s="3"/>
      <c r="J347" s="4"/>
      <c r="L347" s="5"/>
      <c r="M347" s="5"/>
      <c r="N347" s="5"/>
      <c r="O347" s="5"/>
      <c r="P347" s="5"/>
    </row>
    <row r="348" spans="1:16" ht="15.75" customHeight="1" x14ac:dyDescent="0.25">
      <c r="A348" s="2"/>
      <c r="B348" s="3"/>
      <c r="C348" s="3"/>
      <c r="D348" s="3"/>
      <c r="E348" s="3"/>
      <c r="F348" s="3"/>
      <c r="G348" s="3"/>
      <c r="J348" s="4"/>
      <c r="L348" s="5"/>
      <c r="M348" s="5"/>
      <c r="N348" s="5"/>
      <c r="O348" s="5"/>
      <c r="P348" s="5"/>
    </row>
    <row r="349" spans="1:16" ht="15.75" customHeight="1" x14ac:dyDescent="0.25">
      <c r="A349" s="2"/>
      <c r="B349" s="3"/>
      <c r="C349" s="3"/>
      <c r="D349" s="3"/>
      <c r="E349" s="3"/>
      <c r="F349" s="3"/>
      <c r="G349" s="3"/>
      <c r="J349" s="4"/>
      <c r="L349" s="5"/>
      <c r="M349" s="5"/>
      <c r="N349" s="5"/>
      <c r="O349" s="5"/>
      <c r="P349" s="5"/>
    </row>
    <row r="350" spans="1:16" ht="15.75" customHeight="1" x14ac:dyDescent="0.25">
      <c r="A350" s="2"/>
      <c r="B350" s="3"/>
      <c r="C350" s="3"/>
      <c r="D350" s="3"/>
      <c r="E350" s="3"/>
      <c r="F350" s="3"/>
      <c r="G350" s="3"/>
      <c r="J350" s="4"/>
      <c r="L350" s="5"/>
      <c r="M350" s="5"/>
      <c r="N350" s="5"/>
      <c r="O350" s="5"/>
      <c r="P350" s="5"/>
    </row>
    <row r="351" spans="1:16" ht="15.75" customHeight="1" x14ac:dyDescent="0.25">
      <c r="A351" s="2"/>
      <c r="B351" s="3"/>
      <c r="C351" s="3"/>
      <c r="D351" s="3"/>
      <c r="E351" s="3"/>
      <c r="F351" s="3"/>
      <c r="G351" s="3"/>
      <c r="J351" s="4"/>
      <c r="L351" s="5"/>
      <c r="M351" s="5"/>
      <c r="N351" s="5"/>
      <c r="O351" s="5"/>
      <c r="P351" s="5"/>
    </row>
    <row r="352" spans="1:16" ht="15.75" customHeight="1" x14ac:dyDescent="0.25">
      <c r="A352" s="2"/>
      <c r="B352" s="3"/>
      <c r="C352" s="3"/>
      <c r="D352" s="3"/>
      <c r="E352" s="3"/>
      <c r="F352" s="3"/>
      <c r="G352" s="3"/>
      <c r="J352" s="4"/>
      <c r="L352" s="5"/>
      <c r="M352" s="5"/>
      <c r="N352" s="5"/>
      <c r="O352" s="5"/>
      <c r="P352" s="5"/>
    </row>
    <row r="353" spans="1:16" ht="15.75" customHeight="1" x14ac:dyDescent="0.25">
      <c r="A353" s="2"/>
      <c r="B353" s="3"/>
      <c r="C353" s="3"/>
      <c r="D353" s="3"/>
      <c r="E353" s="3"/>
      <c r="F353" s="3"/>
      <c r="G353" s="3"/>
      <c r="J353" s="4"/>
      <c r="L353" s="5"/>
      <c r="M353" s="5"/>
      <c r="N353" s="5"/>
      <c r="O353" s="5"/>
      <c r="P353" s="5"/>
    </row>
    <row r="354" spans="1:16" ht="15.75" customHeight="1" x14ac:dyDescent="0.25">
      <c r="A354" s="2"/>
      <c r="B354" s="3"/>
      <c r="C354" s="3"/>
      <c r="D354" s="3"/>
      <c r="E354" s="3"/>
      <c r="F354" s="3"/>
      <c r="G354" s="3"/>
      <c r="J354" s="4"/>
      <c r="L354" s="5"/>
      <c r="M354" s="5"/>
      <c r="N354" s="5"/>
      <c r="O354" s="5"/>
      <c r="P354" s="5"/>
    </row>
    <row r="355" spans="1:16" ht="15.75" customHeight="1" x14ac:dyDescent="0.25">
      <c r="A355" s="2"/>
      <c r="B355" s="3"/>
      <c r="C355" s="3"/>
      <c r="D355" s="3"/>
      <c r="E355" s="3"/>
      <c r="F355" s="3"/>
      <c r="G355" s="3"/>
      <c r="J355" s="4"/>
      <c r="L355" s="5"/>
      <c r="M355" s="5"/>
      <c r="N355" s="5"/>
      <c r="O355" s="5"/>
      <c r="P355" s="5"/>
    </row>
    <row r="356" spans="1:16" ht="15.75" customHeight="1" x14ac:dyDescent="0.25">
      <c r="A356" s="2"/>
      <c r="B356" s="3"/>
      <c r="C356" s="3"/>
      <c r="D356" s="3"/>
      <c r="E356" s="3"/>
      <c r="F356" s="3"/>
      <c r="G356" s="3"/>
      <c r="J356" s="4"/>
      <c r="L356" s="5"/>
      <c r="M356" s="5"/>
      <c r="N356" s="5"/>
      <c r="O356" s="5"/>
      <c r="P356" s="5"/>
    </row>
    <row r="357" spans="1:16" ht="15.75" customHeight="1" x14ac:dyDescent="0.25">
      <c r="A357" s="2"/>
      <c r="B357" s="3"/>
      <c r="C357" s="3"/>
      <c r="D357" s="3"/>
      <c r="E357" s="3"/>
      <c r="F357" s="3"/>
      <c r="G357" s="3"/>
      <c r="J357" s="4"/>
      <c r="L357" s="5"/>
      <c r="M357" s="5"/>
      <c r="N357" s="5"/>
      <c r="O357" s="5"/>
      <c r="P357" s="5"/>
    </row>
    <row r="358" spans="1:16" ht="15.75" customHeight="1" x14ac:dyDescent="0.25">
      <c r="A358" s="2"/>
      <c r="B358" s="3"/>
      <c r="C358" s="3"/>
      <c r="D358" s="3"/>
      <c r="E358" s="3"/>
      <c r="F358" s="3"/>
      <c r="G358" s="3"/>
      <c r="J358" s="4"/>
      <c r="L358" s="5"/>
      <c r="M358" s="5"/>
      <c r="N358" s="5"/>
      <c r="O358" s="5"/>
      <c r="P358" s="5"/>
    </row>
    <row r="359" spans="1:16" ht="15.75" customHeight="1" x14ac:dyDescent="0.25">
      <c r="A359" s="2"/>
      <c r="B359" s="3"/>
      <c r="C359" s="3"/>
      <c r="D359" s="3"/>
      <c r="E359" s="3"/>
      <c r="F359" s="3"/>
      <c r="G359" s="3"/>
      <c r="J359" s="4"/>
      <c r="L359" s="5"/>
      <c r="M359" s="5"/>
      <c r="N359" s="5"/>
      <c r="O359" s="5"/>
      <c r="P359" s="5"/>
    </row>
    <row r="360" spans="1:16" ht="15.75" customHeight="1" x14ac:dyDescent="0.25">
      <c r="A360" s="2"/>
      <c r="B360" s="3"/>
      <c r="C360" s="3"/>
      <c r="D360" s="3"/>
      <c r="E360" s="3"/>
      <c r="F360" s="3"/>
      <c r="G360" s="3"/>
      <c r="J360" s="4"/>
      <c r="L360" s="5"/>
      <c r="M360" s="5"/>
      <c r="N360" s="5"/>
      <c r="O360" s="5"/>
      <c r="P360" s="5"/>
    </row>
    <row r="361" spans="1:16" ht="15.75" customHeight="1" x14ac:dyDescent="0.25">
      <c r="A361" s="2"/>
      <c r="B361" s="3"/>
      <c r="C361" s="3"/>
      <c r="D361" s="3"/>
      <c r="E361" s="3"/>
      <c r="F361" s="3"/>
      <c r="G361" s="3"/>
      <c r="J361" s="4"/>
      <c r="L361" s="5"/>
      <c r="M361" s="5"/>
      <c r="N361" s="5"/>
      <c r="O361" s="5"/>
      <c r="P361" s="5"/>
    </row>
    <row r="362" spans="1:16" ht="15.75" customHeight="1" x14ac:dyDescent="0.25">
      <c r="A362" s="2"/>
      <c r="B362" s="3"/>
      <c r="C362" s="3"/>
      <c r="D362" s="3"/>
      <c r="E362" s="3"/>
      <c r="F362" s="3"/>
      <c r="G362" s="3"/>
      <c r="J362" s="4"/>
      <c r="L362" s="5"/>
      <c r="M362" s="5"/>
      <c r="N362" s="5"/>
      <c r="O362" s="5"/>
      <c r="P362" s="5"/>
    </row>
    <row r="363" spans="1:16" ht="15.75" customHeight="1" x14ac:dyDescent="0.25">
      <c r="A363" s="2"/>
      <c r="B363" s="3"/>
      <c r="C363" s="3"/>
      <c r="D363" s="3"/>
      <c r="E363" s="3"/>
      <c r="F363" s="3"/>
      <c r="G363" s="3"/>
      <c r="J363" s="4"/>
      <c r="L363" s="5"/>
      <c r="M363" s="5"/>
      <c r="N363" s="5"/>
      <c r="O363" s="5"/>
      <c r="P363" s="5"/>
    </row>
    <row r="364" spans="1:16" ht="15.75" customHeight="1" x14ac:dyDescent="0.25">
      <c r="A364" s="2"/>
      <c r="B364" s="3"/>
      <c r="C364" s="3"/>
      <c r="D364" s="3"/>
      <c r="E364" s="3"/>
      <c r="F364" s="3"/>
      <c r="G364" s="3"/>
      <c r="J364" s="4"/>
      <c r="L364" s="5"/>
      <c r="M364" s="5"/>
      <c r="N364" s="5"/>
      <c r="O364" s="5"/>
      <c r="P364" s="5"/>
    </row>
    <row r="365" spans="1:16" ht="15.75" customHeight="1" x14ac:dyDescent="0.25">
      <c r="A365" s="2"/>
      <c r="B365" s="3"/>
      <c r="C365" s="3"/>
      <c r="D365" s="3"/>
      <c r="E365" s="3"/>
      <c r="F365" s="3"/>
      <c r="G365" s="3"/>
      <c r="J365" s="4"/>
      <c r="L365" s="5"/>
      <c r="M365" s="5"/>
      <c r="N365" s="5"/>
      <c r="O365" s="5"/>
      <c r="P365" s="5"/>
    </row>
    <row r="366" spans="1:16" ht="15.75" customHeight="1" x14ac:dyDescent="0.25">
      <c r="A366" s="2"/>
      <c r="B366" s="3"/>
      <c r="C366" s="3"/>
      <c r="D366" s="3"/>
      <c r="E366" s="3"/>
      <c r="F366" s="3"/>
      <c r="G366" s="3"/>
      <c r="J366" s="4"/>
      <c r="L366" s="5"/>
      <c r="M366" s="5"/>
      <c r="N366" s="5"/>
      <c r="O366" s="5"/>
      <c r="P366" s="5"/>
    </row>
    <row r="367" spans="1:16" ht="15.75" customHeight="1" x14ac:dyDescent="0.25">
      <c r="A367" s="2"/>
      <c r="B367" s="3"/>
      <c r="C367" s="3"/>
      <c r="D367" s="3"/>
      <c r="E367" s="3"/>
      <c r="F367" s="3"/>
      <c r="G367" s="3"/>
      <c r="J367" s="4"/>
      <c r="L367" s="5"/>
      <c r="M367" s="5"/>
      <c r="N367" s="5"/>
      <c r="O367" s="5"/>
      <c r="P367" s="5"/>
    </row>
    <row r="368" spans="1:16" ht="15.75" customHeight="1" x14ac:dyDescent="0.25">
      <c r="A368" s="2"/>
      <c r="B368" s="3"/>
      <c r="C368" s="3"/>
      <c r="D368" s="3"/>
      <c r="E368" s="3"/>
      <c r="F368" s="3"/>
      <c r="G368" s="3"/>
      <c r="J368" s="4"/>
      <c r="L368" s="5"/>
      <c r="M368" s="5"/>
      <c r="N368" s="5"/>
      <c r="O368" s="5"/>
      <c r="P368" s="5"/>
    </row>
    <row r="369" spans="1:16" ht="15.75" customHeight="1" x14ac:dyDescent="0.25">
      <c r="A369" s="2"/>
      <c r="B369" s="3"/>
      <c r="C369" s="3"/>
      <c r="D369" s="3"/>
      <c r="E369" s="3"/>
      <c r="F369" s="3"/>
      <c r="G369" s="3"/>
      <c r="J369" s="4"/>
      <c r="L369" s="5"/>
      <c r="M369" s="5"/>
      <c r="N369" s="5"/>
      <c r="O369" s="5"/>
      <c r="P369" s="5"/>
    </row>
    <row r="370" spans="1:16" ht="15.75" customHeight="1" x14ac:dyDescent="0.25">
      <c r="A370" s="2"/>
      <c r="B370" s="3"/>
      <c r="C370" s="3"/>
      <c r="D370" s="3"/>
      <c r="E370" s="3"/>
      <c r="F370" s="3"/>
      <c r="G370" s="3"/>
      <c r="J370" s="4"/>
      <c r="L370" s="5"/>
      <c r="M370" s="5"/>
      <c r="N370" s="5"/>
      <c r="O370" s="5"/>
      <c r="P370" s="5"/>
    </row>
    <row r="371" spans="1:16" ht="15.75" customHeight="1" x14ac:dyDescent="0.25">
      <c r="A371" s="2"/>
      <c r="B371" s="3"/>
      <c r="C371" s="3"/>
      <c r="D371" s="3"/>
      <c r="E371" s="3"/>
      <c r="F371" s="3"/>
      <c r="G371" s="3"/>
      <c r="J371" s="4"/>
      <c r="L371" s="5"/>
      <c r="M371" s="5"/>
      <c r="N371" s="5"/>
      <c r="O371" s="5"/>
      <c r="P371" s="5"/>
    </row>
    <row r="372" spans="1:16" ht="15.75" customHeight="1" x14ac:dyDescent="0.25">
      <c r="A372" s="2"/>
      <c r="B372" s="3"/>
      <c r="C372" s="3"/>
      <c r="D372" s="3"/>
      <c r="E372" s="3"/>
      <c r="F372" s="3"/>
      <c r="G372" s="3"/>
      <c r="J372" s="4"/>
      <c r="L372" s="5"/>
      <c r="M372" s="5"/>
      <c r="N372" s="5"/>
      <c r="O372" s="5"/>
      <c r="P372" s="5"/>
    </row>
    <row r="373" spans="1:16" ht="15.75" customHeight="1" x14ac:dyDescent="0.25">
      <c r="A373" s="2"/>
      <c r="B373" s="3"/>
      <c r="C373" s="3"/>
      <c r="D373" s="3"/>
      <c r="E373" s="3"/>
      <c r="F373" s="3"/>
      <c r="G373" s="3"/>
      <c r="J373" s="4"/>
      <c r="L373" s="5"/>
      <c r="M373" s="5"/>
      <c r="N373" s="5"/>
      <c r="O373" s="5"/>
      <c r="P373" s="5"/>
    </row>
    <row r="374" spans="1:16" ht="15.75" customHeight="1" x14ac:dyDescent="0.25">
      <c r="A374" s="2"/>
      <c r="B374" s="3"/>
      <c r="C374" s="3"/>
      <c r="D374" s="3"/>
      <c r="E374" s="3"/>
      <c r="F374" s="3"/>
      <c r="G374" s="3"/>
      <c r="J374" s="4"/>
      <c r="L374" s="5"/>
      <c r="M374" s="5"/>
      <c r="N374" s="5"/>
      <c r="O374" s="5"/>
      <c r="P374" s="5"/>
    </row>
    <row r="375" spans="1:16" ht="15.75" customHeight="1" x14ac:dyDescent="0.25">
      <c r="A375" s="2"/>
      <c r="B375" s="3"/>
      <c r="C375" s="3"/>
      <c r="D375" s="3"/>
      <c r="E375" s="3"/>
      <c r="F375" s="3"/>
      <c r="G375" s="3"/>
      <c r="J375" s="4"/>
      <c r="L375" s="5"/>
      <c r="M375" s="5"/>
      <c r="N375" s="5"/>
      <c r="O375" s="5"/>
      <c r="P375" s="5"/>
    </row>
    <row r="376" spans="1:16" ht="15.75" customHeight="1" x14ac:dyDescent="0.25">
      <c r="A376" s="2"/>
      <c r="B376" s="3"/>
      <c r="C376" s="3"/>
      <c r="D376" s="3"/>
      <c r="E376" s="3"/>
      <c r="F376" s="3"/>
      <c r="G376" s="3"/>
      <c r="J376" s="4"/>
      <c r="L376" s="5"/>
      <c r="M376" s="5"/>
      <c r="N376" s="5"/>
      <c r="O376" s="5"/>
      <c r="P376" s="5"/>
    </row>
    <row r="377" spans="1:16" ht="15.75" customHeight="1" x14ac:dyDescent="0.25">
      <c r="A377" s="2"/>
      <c r="B377" s="3"/>
      <c r="C377" s="3"/>
      <c r="D377" s="3"/>
      <c r="E377" s="3"/>
      <c r="F377" s="3"/>
      <c r="G377" s="3"/>
      <c r="J377" s="4"/>
      <c r="L377" s="5"/>
      <c r="M377" s="5"/>
      <c r="N377" s="5"/>
      <c r="O377" s="5"/>
      <c r="P377" s="5"/>
    </row>
    <row r="378" spans="1:16" ht="15.75" customHeight="1" x14ac:dyDescent="0.25">
      <c r="A378" s="2"/>
      <c r="B378" s="3"/>
      <c r="C378" s="3"/>
      <c r="D378" s="3"/>
      <c r="E378" s="3"/>
      <c r="F378" s="3"/>
      <c r="G378" s="3"/>
      <c r="J378" s="4"/>
      <c r="L378" s="5"/>
      <c r="M378" s="5"/>
      <c r="N378" s="5"/>
      <c r="O378" s="5"/>
      <c r="P378" s="5"/>
    </row>
    <row r="379" spans="1:16" ht="15.75" customHeight="1" x14ac:dyDescent="0.25">
      <c r="A379" s="2"/>
      <c r="B379" s="3"/>
      <c r="C379" s="3"/>
      <c r="D379" s="3"/>
      <c r="E379" s="3"/>
      <c r="F379" s="3"/>
      <c r="G379" s="3"/>
      <c r="J379" s="4"/>
      <c r="L379" s="5"/>
      <c r="M379" s="5"/>
      <c r="N379" s="5"/>
      <c r="O379" s="5"/>
      <c r="P379" s="5"/>
    </row>
    <row r="380" spans="1:16" ht="15.75" customHeight="1" x14ac:dyDescent="0.25">
      <c r="A380" s="2"/>
      <c r="B380" s="3"/>
      <c r="C380" s="3"/>
      <c r="D380" s="3"/>
      <c r="E380" s="3"/>
      <c r="F380" s="3"/>
      <c r="G380" s="3"/>
      <c r="J380" s="4"/>
      <c r="L380" s="5"/>
      <c r="M380" s="5"/>
      <c r="N380" s="5"/>
      <c r="O380" s="5"/>
      <c r="P380" s="5"/>
    </row>
    <row r="381" spans="1:16" ht="15.75" customHeight="1" x14ac:dyDescent="0.25">
      <c r="A381" s="2"/>
      <c r="B381" s="3"/>
      <c r="C381" s="3"/>
      <c r="D381" s="3"/>
      <c r="E381" s="3"/>
      <c r="F381" s="3"/>
      <c r="G381" s="3"/>
      <c r="J381" s="4"/>
      <c r="L381" s="5"/>
      <c r="M381" s="5"/>
      <c r="N381" s="5"/>
      <c r="O381" s="5"/>
      <c r="P381" s="5"/>
    </row>
    <row r="382" spans="1:16" ht="15.75" customHeight="1" x14ac:dyDescent="0.25">
      <c r="A382" s="2"/>
      <c r="B382" s="3"/>
      <c r="C382" s="3"/>
      <c r="D382" s="3"/>
      <c r="E382" s="3"/>
      <c r="F382" s="3"/>
      <c r="G382" s="3"/>
      <c r="J382" s="4"/>
      <c r="L382" s="5"/>
      <c r="M382" s="5"/>
      <c r="N382" s="5"/>
      <c r="O382" s="5"/>
      <c r="P382" s="5"/>
    </row>
    <row r="383" spans="1:16" ht="15.75" customHeight="1" x14ac:dyDescent="0.25">
      <c r="A383" s="2"/>
      <c r="B383" s="3"/>
      <c r="C383" s="3"/>
      <c r="D383" s="3"/>
      <c r="E383" s="3"/>
      <c r="F383" s="3"/>
      <c r="G383" s="3"/>
      <c r="J383" s="4"/>
      <c r="L383" s="5"/>
      <c r="M383" s="5"/>
      <c r="N383" s="5"/>
      <c r="O383" s="5"/>
      <c r="P383" s="5"/>
    </row>
    <row r="384" spans="1:16" ht="15.75" customHeight="1" x14ac:dyDescent="0.25">
      <c r="A384" s="2"/>
      <c r="B384" s="3"/>
      <c r="C384" s="3"/>
      <c r="D384" s="3"/>
      <c r="E384" s="3"/>
      <c r="F384" s="3"/>
      <c r="G384" s="3"/>
      <c r="J384" s="4"/>
      <c r="L384" s="5"/>
      <c r="M384" s="5"/>
      <c r="N384" s="5"/>
      <c r="O384" s="5"/>
      <c r="P384" s="5"/>
    </row>
    <row r="385" spans="1:16" ht="15.75" customHeight="1" x14ac:dyDescent="0.25">
      <c r="A385" s="2"/>
      <c r="B385" s="3"/>
      <c r="C385" s="3"/>
      <c r="D385" s="3"/>
      <c r="E385" s="3"/>
      <c r="F385" s="3"/>
      <c r="G385" s="3"/>
      <c r="J385" s="4"/>
      <c r="L385" s="5"/>
      <c r="M385" s="5"/>
      <c r="N385" s="5"/>
      <c r="O385" s="5"/>
      <c r="P385" s="5"/>
    </row>
    <row r="386" spans="1:16" ht="15.75" customHeight="1" x14ac:dyDescent="0.25">
      <c r="A386" s="2"/>
      <c r="B386" s="3"/>
      <c r="C386" s="3"/>
      <c r="D386" s="3"/>
      <c r="E386" s="3"/>
      <c r="F386" s="3"/>
      <c r="G386" s="3"/>
      <c r="J386" s="4"/>
      <c r="L386" s="5"/>
      <c r="M386" s="5"/>
      <c r="N386" s="5"/>
      <c r="O386" s="5"/>
      <c r="P386" s="5"/>
    </row>
    <row r="387" spans="1:16" ht="15.75" customHeight="1" x14ac:dyDescent="0.25">
      <c r="A387" s="2"/>
      <c r="B387" s="3"/>
      <c r="C387" s="3"/>
      <c r="D387" s="3"/>
      <c r="E387" s="3"/>
      <c r="F387" s="3"/>
      <c r="G387" s="3"/>
      <c r="J387" s="4"/>
      <c r="L387" s="5"/>
      <c r="M387" s="5"/>
      <c r="N387" s="5"/>
      <c r="O387" s="5"/>
      <c r="P387" s="5"/>
    </row>
    <row r="388" spans="1:16" ht="15.75" customHeight="1" x14ac:dyDescent="0.25">
      <c r="A388" s="2"/>
      <c r="B388" s="3"/>
      <c r="C388" s="3"/>
      <c r="D388" s="3"/>
      <c r="E388" s="3"/>
      <c r="F388" s="3"/>
      <c r="G388" s="3"/>
      <c r="J388" s="4"/>
      <c r="L388" s="5"/>
      <c r="M388" s="5"/>
      <c r="N388" s="5"/>
      <c r="O388" s="5"/>
      <c r="P388" s="5"/>
    </row>
    <row r="389" spans="1:16" ht="15.75" customHeight="1" x14ac:dyDescent="0.25">
      <c r="A389" s="2"/>
      <c r="B389" s="3"/>
      <c r="C389" s="3"/>
      <c r="D389" s="3"/>
      <c r="E389" s="3"/>
      <c r="F389" s="3"/>
      <c r="G389" s="3"/>
      <c r="J389" s="4"/>
      <c r="L389" s="5"/>
      <c r="M389" s="5"/>
      <c r="N389" s="5"/>
      <c r="O389" s="5"/>
      <c r="P389" s="5"/>
    </row>
    <row r="390" spans="1:16" ht="15.75" customHeight="1" x14ac:dyDescent="0.25">
      <c r="A390" s="2"/>
      <c r="B390" s="3"/>
      <c r="C390" s="3"/>
      <c r="D390" s="3"/>
      <c r="E390" s="3"/>
      <c r="F390" s="3"/>
      <c r="G390" s="3"/>
      <c r="J390" s="4"/>
      <c r="L390" s="5"/>
      <c r="M390" s="5"/>
      <c r="N390" s="5"/>
      <c r="O390" s="5"/>
      <c r="P390" s="5"/>
    </row>
    <row r="391" spans="1:16" ht="15.75" customHeight="1" x14ac:dyDescent="0.25">
      <c r="A391" s="2"/>
      <c r="B391" s="3"/>
      <c r="C391" s="3"/>
      <c r="D391" s="3"/>
      <c r="E391" s="3"/>
      <c r="F391" s="3"/>
      <c r="G391" s="3"/>
      <c r="J391" s="4"/>
      <c r="L391" s="5"/>
      <c r="M391" s="5"/>
      <c r="N391" s="5"/>
      <c r="O391" s="5"/>
      <c r="P391" s="5"/>
    </row>
    <row r="392" spans="1:16" ht="15.75" customHeight="1" x14ac:dyDescent="0.25">
      <c r="A392" s="2"/>
      <c r="B392" s="3"/>
      <c r="C392" s="3"/>
      <c r="D392" s="3"/>
      <c r="E392" s="3"/>
      <c r="F392" s="3"/>
      <c r="G392" s="3"/>
      <c r="J392" s="4"/>
      <c r="L392" s="5"/>
      <c r="M392" s="5"/>
      <c r="N392" s="5"/>
      <c r="O392" s="5"/>
      <c r="P392" s="5"/>
    </row>
    <row r="393" spans="1:16" ht="15.75" customHeight="1" x14ac:dyDescent="0.25">
      <c r="A393" s="2"/>
      <c r="B393" s="3"/>
      <c r="C393" s="3"/>
      <c r="D393" s="3"/>
      <c r="E393" s="3"/>
      <c r="F393" s="3"/>
      <c r="G393" s="3"/>
      <c r="J393" s="4"/>
      <c r="L393" s="5"/>
      <c r="M393" s="5"/>
      <c r="N393" s="5"/>
      <c r="O393" s="5"/>
      <c r="P393" s="5"/>
    </row>
    <row r="394" spans="1:16" ht="15.75" customHeight="1" x14ac:dyDescent="0.25">
      <c r="A394" s="2"/>
      <c r="B394" s="3"/>
      <c r="C394" s="3"/>
      <c r="D394" s="3"/>
      <c r="E394" s="3"/>
      <c r="F394" s="3"/>
      <c r="G394" s="3"/>
      <c r="J394" s="4"/>
      <c r="L394" s="5"/>
      <c r="M394" s="5"/>
      <c r="N394" s="5"/>
      <c r="O394" s="5"/>
      <c r="P394" s="5"/>
    </row>
    <row r="395" spans="1:16" ht="15.75" customHeight="1" x14ac:dyDescent="0.25">
      <c r="A395" s="2"/>
      <c r="B395" s="3"/>
      <c r="C395" s="3"/>
      <c r="D395" s="3"/>
      <c r="E395" s="3"/>
      <c r="F395" s="3"/>
      <c r="G395" s="3"/>
      <c r="J395" s="4"/>
      <c r="L395" s="5"/>
      <c r="M395" s="5"/>
      <c r="N395" s="5"/>
      <c r="O395" s="5"/>
      <c r="P395" s="5"/>
    </row>
    <row r="396" spans="1:16" ht="15.75" customHeight="1" x14ac:dyDescent="0.25">
      <c r="A396" s="2"/>
      <c r="B396" s="3"/>
      <c r="C396" s="3"/>
      <c r="D396" s="3"/>
      <c r="E396" s="3"/>
      <c r="F396" s="3"/>
      <c r="G396" s="3"/>
      <c r="J396" s="4"/>
      <c r="L396" s="5"/>
      <c r="M396" s="5"/>
      <c r="N396" s="5"/>
      <c r="O396" s="5"/>
      <c r="P396" s="5"/>
    </row>
    <row r="397" spans="1:16" ht="15.75" customHeight="1" x14ac:dyDescent="0.25">
      <c r="A397" s="2"/>
      <c r="B397" s="3"/>
      <c r="C397" s="3"/>
      <c r="D397" s="3"/>
      <c r="E397" s="3"/>
      <c r="F397" s="3"/>
      <c r="G397" s="3"/>
      <c r="J397" s="4"/>
      <c r="L397" s="5"/>
      <c r="M397" s="5"/>
      <c r="N397" s="5"/>
      <c r="O397" s="5"/>
      <c r="P397" s="5"/>
    </row>
    <row r="398" spans="1:16" ht="15.75" customHeight="1" x14ac:dyDescent="0.25">
      <c r="A398" s="2"/>
      <c r="B398" s="3"/>
      <c r="C398" s="3"/>
      <c r="D398" s="3"/>
      <c r="E398" s="3"/>
      <c r="F398" s="3"/>
      <c r="G398" s="3"/>
      <c r="J398" s="4"/>
      <c r="L398" s="5"/>
      <c r="M398" s="5"/>
      <c r="N398" s="5"/>
      <c r="O398" s="5"/>
      <c r="P398" s="5"/>
    </row>
    <row r="399" spans="1:16" ht="15.75" customHeight="1" x14ac:dyDescent="0.25">
      <c r="A399" s="2"/>
      <c r="B399" s="3"/>
      <c r="C399" s="3"/>
      <c r="D399" s="3"/>
      <c r="E399" s="3"/>
      <c r="F399" s="3"/>
      <c r="G399" s="3"/>
      <c r="J399" s="4"/>
      <c r="L399" s="5"/>
      <c r="M399" s="5"/>
      <c r="N399" s="5"/>
      <c r="O399" s="5"/>
      <c r="P399" s="5"/>
    </row>
    <row r="400" spans="1:16" ht="15.75" customHeight="1" x14ac:dyDescent="0.25">
      <c r="A400" s="2"/>
      <c r="B400" s="3"/>
      <c r="C400" s="3"/>
      <c r="D400" s="3"/>
      <c r="E400" s="3"/>
      <c r="F400" s="3"/>
      <c r="G400" s="3"/>
      <c r="J400" s="4"/>
      <c r="L400" s="5"/>
      <c r="M400" s="5"/>
      <c r="N400" s="5"/>
      <c r="O400" s="5"/>
      <c r="P400" s="5"/>
    </row>
    <row r="401" spans="1:16" ht="15.75" customHeight="1" x14ac:dyDescent="0.25">
      <c r="A401" s="2"/>
      <c r="B401" s="3"/>
      <c r="C401" s="3"/>
      <c r="D401" s="3"/>
      <c r="E401" s="3"/>
      <c r="F401" s="3"/>
      <c r="G401" s="3"/>
      <c r="J401" s="4"/>
      <c r="L401" s="5"/>
      <c r="M401" s="5"/>
      <c r="N401" s="5"/>
      <c r="O401" s="5"/>
      <c r="P401" s="5"/>
    </row>
    <row r="402" spans="1:16" ht="15.75" customHeight="1" x14ac:dyDescent="0.25">
      <c r="A402" s="2"/>
      <c r="B402" s="3"/>
      <c r="C402" s="3"/>
      <c r="D402" s="3"/>
      <c r="E402" s="3"/>
      <c r="F402" s="3"/>
      <c r="G402" s="3"/>
      <c r="J402" s="4"/>
      <c r="L402" s="5"/>
      <c r="M402" s="5"/>
      <c r="N402" s="5"/>
      <c r="O402" s="5"/>
      <c r="P402" s="5"/>
    </row>
    <row r="403" spans="1:16" ht="15.75" customHeight="1" x14ac:dyDescent="0.25">
      <c r="A403" s="2"/>
      <c r="B403" s="3"/>
      <c r="C403" s="3"/>
      <c r="D403" s="3"/>
      <c r="E403" s="3"/>
      <c r="F403" s="3"/>
      <c r="G403" s="3"/>
      <c r="J403" s="4"/>
      <c r="L403" s="5"/>
      <c r="M403" s="5"/>
      <c r="N403" s="5"/>
      <c r="O403" s="5"/>
      <c r="P403" s="5"/>
    </row>
    <row r="404" spans="1:16" ht="15.75" customHeight="1" x14ac:dyDescent="0.25">
      <c r="A404" s="2"/>
      <c r="B404" s="3"/>
      <c r="C404" s="3"/>
      <c r="D404" s="3"/>
      <c r="E404" s="3"/>
      <c r="F404" s="3"/>
      <c r="G404" s="3"/>
      <c r="J404" s="4"/>
      <c r="L404" s="5"/>
      <c r="M404" s="5"/>
      <c r="N404" s="5"/>
      <c r="O404" s="5"/>
      <c r="P404" s="5"/>
    </row>
    <row r="405" spans="1:16" ht="15.75" customHeight="1" x14ac:dyDescent="0.25">
      <c r="A405" s="2"/>
      <c r="B405" s="3"/>
      <c r="C405" s="3"/>
      <c r="D405" s="3"/>
      <c r="E405" s="3"/>
      <c r="F405" s="3"/>
      <c r="G405" s="3"/>
      <c r="J405" s="4"/>
      <c r="L405" s="5"/>
      <c r="M405" s="5"/>
      <c r="N405" s="5"/>
      <c r="O405" s="5"/>
      <c r="P405" s="5"/>
    </row>
    <row r="406" spans="1:16" ht="15.75" customHeight="1" x14ac:dyDescent="0.25">
      <c r="A406" s="2"/>
      <c r="B406" s="3"/>
      <c r="C406" s="3"/>
      <c r="D406" s="3"/>
      <c r="E406" s="3"/>
      <c r="F406" s="3"/>
      <c r="G406" s="3"/>
      <c r="J406" s="4"/>
      <c r="L406" s="5"/>
      <c r="M406" s="5"/>
      <c r="N406" s="5"/>
      <c r="O406" s="5"/>
      <c r="P406" s="5"/>
    </row>
    <row r="407" spans="1:16" ht="15.75" customHeight="1" x14ac:dyDescent="0.25">
      <c r="A407" s="2"/>
      <c r="B407" s="3"/>
      <c r="C407" s="3"/>
      <c r="D407" s="3"/>
      <c r="E407" s="3"/>
      <c r="F407" s="3"/>
      <c r="G407" s="3"/>
      <c r="J407" s="4"/>
      <c r="L407" s="5"/>
      <c r="M407" s="5"/>
      <c r="N407" s="5"/>
      <c r="O407" s="5"/>
      <c r="P407" s="5"/>
    </row>
    <row r="408" spans="1:16" ht="15.75" customHeight="1" x14ac:dyDescent="0.25">
      <c r="A408" s="2"/>
      <c r="B408" s="3"/>
      <c r="C408" s="3"/>
      <c r="D408" s="3"/>
      <c r="E408" s="3"/>
      <c r="F408" s="3"/>
      <c r="G408" s="3"/>
      <c r="J408" s="4"/>
      <c r="L408" s="5"/>
      <c r="M408" s="5"/>
      <c r="N408" s="5"/>
      <c r="O408" s="5"/>
      <c r="P408" s="5"/>
    </row>
    <row r="409" spans="1:16" ht="15.75" customHeight="1" x14ac:dyDescent="0.25">
      <c r="A409" s="2"/>
      <c r="B409" s="3"/>
      <c r="C409" s="3"/>
      <c r="D409" s="3"/>
      <c r="E409" s="3"/>
      <c r="F409" s="3"/>
      <c r="G409" s="3"/>
      <c r="J409" s="4"/>
      <c r="L409" s="5"/>
      <c r="M409" s="5"/>
      <c r="N409" s="5"/>
      <c r="O409" s="5"/>
      <c r="P409" s="5"/>
    </row>
    <row r="410" spans="1:16" ht="15.75" customHeight="1" x14ac:dyDescent="0.25">
      <c r="A410" s="2"/>
      <c r="B410" s="3"/>
      <c r="C410" s="3"/>
      <c r="D410" s="3"/>
      <c r="E410" s="3"/>
      <c r="F410" s="3"/>
      <c r="G410" s="3"/>
      <c r="J410" s="4"/>
      <c r="L410" s="5"/>
      <c r="M410" s="5"/>
      <c r="N410" s="5"/>
      <c r="O410" s="5"/>
      <c r="P410" s="5"/>
    </row>
    <row r="411" spans="1:16" ht="15.75" customHeight="1" x14ac:dyDescent="0.25">
      <c r="A411" s="2"/>
      <c r="B411" s="3"/>
      <c r="C411" s="3"/>
      <c r="D411" s="3"/>
      <c r="E411" s="3"/>
      <c r="F411" s="3"/>
      <c r="G411" s="3"/>
      <c r="J411" s="4"/>
      <c r="L411" s="5"/>
      <c r="M411" s="5"/>
      <c r="N411" s="5"/>
      <c r="O411" s="5"/>
      <c r="P411" s="5"/>
    </row>
    <row r="412" spans="1:16" ht="15.75" customHeight="1" x14ac:dyDescent="0.25">
      <c r="A412" s="2"/>
      <c r="B412" s="3"/>
      <c r="C412" s="3"/>
      <c r="D412" s="3"/>
      <c r="E412" s="3"/>
      <c r="F412" s="3"/>
      <c r="G412" s="3"/>
      <c r="J412" s="4"/>
      <c r="L412" s="5"/>
      <c r="M412" s="5"/>
      <c r="N412" s="5"/>
      <c r="O412" s="5"/>
      <c r="P412" s="5"/>
    </row>
    <row r="413" spans="1:16" ht="15.75" customHeight="1" x14ac:dyDescent="0.25">
      <c r="A413" s="2"/>
      <c r="B413" s="3"/>
      <c r="C413" s="3"/>
      <c r="D413" s="3"/>
      <c r="E413" s="3"/>
      <c r="F413" s="3"/>
      <c r="G413" s="3"/>
      <c r="J413" s="4"/>
      <c r="L413" s="5"/>
      <c r="M413" s="5"/>
      <c r="N413" s="5"/>
      <c r="O413" s="5"/>
      <c r="P413" s="5"/>
    </row>
    <row r="414" spans="1:16" ht="15.75" customHeight="1" x14ac:dyDescent="0.25">
      <c r="A414" s="2"/>
      <c r="B414" s="3"/>
      <c r="C414" s="3"/>
      <c r="D414" s="3"/>
      <c r="E414" s="3"/>
      <c r="F414" s="3"/>
      <c r="G414" s="3"/>
      <c r="J414" s="4"/>
      <c r="L414" s="5"/>
      <c r="M414" s="5"/>
      <c r="N414" s="5"/>
      <c r="O414" s="5"/>
      <c r="P414" s="5"/>
    </row>
    <row r="415" spans="1:16" ht="15.75" customHeight="1" x14ac:dyDescent="0.25">
      <c r="A415" s="2"/>
      <c r="B415" s="3"/>
      <c r="C415" s="3"/>
      <c r="D415" s="3"/>
      <c r="E415" s="3"/>
      <c r="F415" s="3"/>
      <c r="G415" s="3"/>
      <c r="J415" s="4"/>
      <c r="L415" s="5"/>
      <c r="M415" s="5"/>
      <c r="N415" s="5"/>
      <c r="O415" s="5"/>
      <c r="P415" s="5"/>
    </row>
    <row r="416" spans="1:16" ht="15.75" customHeight="1" x14ac:dyDescent="0.25">
      <c r="A416" s="2"/>
      <c r="B416" s="3"/>
      <c r="C416" s="3"/>
      <c r="D416" s="3"/>
      <c r="E416" s="3"/>
      <c r="F416" s="3"/>
      <c r="G416" s="3"/>
      <c r="J416" s="4"/>
      <c r="L416" s="5"/>
      <c r="M416" s="5"/>
      <c r="N416" s="5"/>
      <c r="O416" s="5"/>
      <c r="P416" s="5"/>
    </row>
    <row r="417" spans="1:16" ht="15.75" customHeight="1" x14ac:dyDescent="0.25">
      <c r="A417" s="2"/>
      <c r="B417" s="3"/>
      <c r="C417" s="3"/>
      <c r="D417" s="3"/>
      <c r="E417" s="3"/>
      <c r="F417" s="3"/>
      <c r="G417" s="3"/>
      <c r="J417" s="4"/>
      <c r="L417" s="5"/>
      <c r="M417" s="5"/>
      <c r="N417" s="5"/>
      <c r="O417" s="5"/>
      <c r="P417" s="5"/>
    </row>
    <row r="418" spans="1:16" ht="15.75" customHeight="1" x14ac:dyDescent="0.25">
      <c r="A418" s="2"/>
      <c r="B418" s="3"/>
      <c r="C418" s="3"/>
      <c r="D418" s="3"/>
      <c r="E418" s="3"/>
      <c r="F418" s="3"/>
      <c r="G418" s="3"/>
      <c r="J418" s="4"/>
      <c r="L418" s="5"/>
      <c r="M418" s="5"/>
      <c r="N418" s="5"/>
      <c r="O418" s="5"/>
      <c r="P418" s="5"/>
    </row>
    <row r="419" spans="1:16" ht="15.75" customHeight="1" x14ac:dyDescent="0.25">
      <c r="A419" s="2"/>
      <c r="B419" s="3"/>
      <c r="C419" s="3"/>
      <c r="D419" s="3"/>
      <c r="E419" s="3"/>
      <c r="F419" s="3"/>
      <c r="G419" s="3"/>
      <c r="J419" s="4"/>
      <c r="L419" s="5"/>
      <c r="M419" s="5"/>
      <c r="N419" s="5"/>
      <c r="O419" s="5"/>
      <c r="P419" s="5"/>
    </row>
    <row r="420" spans="1:16" ht="15.75" customHeight="1" x14ac:dyDescent="0.25">
      <c r="A420" s="2"/>
      <c r="B420" s="3"/>
      <c r="C420" s="3"/>
      <c r="D420" s="3"/>
      <c r="E420" s="3"/>
      <c r="F420" s="3"/>
      <c r="G420" s="3"/>
      <c r="J420" s="4"/>
      <c r="L420" s="5"/>
      <c r="M420" s="5"/>
      <c r="N420" s="5"/>
      <c r="O420" s="5"/>
      <c r="P420" s="5"/>
    </row>
    <row r="421" spans="1:16" ht="15.75" customHeight="1" x14ac:dyDescent="0.25">
      <c r="A421" s="2"/>
      <c r="B421" s="3"/>
      <c r="C421" s="3"/>
      <c r="D421" s="3"/>
      <c r="E421" s="3"/>
      <c r="F421" s="3"/>
      <c r="G421" s="3"/>
      <c r="J421" s="4"/>
      <c r="L421" s="5"/>
      <c r="M421" s="5"/>
      <c r="N421" s="5"/>
      <c r="O421" s="5"/>
      <c r="P421" s="5"/>
    </row>
    <row r="422" spans="1:16" ht="15.75" customHeight="1" x14ac:dyDescent="0.25">
      <c r="A422" s="2"/>
      <c r="B422" s="3"/>
      <c r="C422" s="3"/>
      <c r="D422" s="3"/>
      <c r="E422" s="3"/>
      <c r="F422" s="3"/>
      <c r="G422" s="3"/>
      <c r="J422" s="4"/>
      <c r="L422" s="5"/>
      <c r="M422" s="5"/>
      <c r="N422" s="5"/>
      <c r="O422" s="5"/>
      <c r="P422" s="5"/>
    </row>
    <row r="423" spans="1:16" ht="15.75" customHeight="1" x14ac:dyDescent="0.25">
      <c r="A423" s="2"/>
      <c r="B423" s="3"/>
      <c r="C423" s="3"/>
      <c r="D423" s="3"/>
      <c r="E423" s="3"/>
      <c r="F423" s="3"/>
      <c r="G423" s="3"/>
      <c r="J423" s="4"/>
      <c r="L423" s="5"/>
      <c r="M423" s="5"/>
      <c r="N423" s="5"/>
      <c r="O423" s="5"/>
      <c r="P423" s="5"/>
    </row>
    <row r="424" spans="1:16" ht="15.75" customHeight="1" x14ac:dyDescent="0.25">
      <c r="A424" s="2"/>
      <c r="B424" s="3"/>
      <c r="C424" s="3"/>
      <c r="D424" s="3"/>
      <c r="E424" s="3"/>
      <c r="F424" s="3"/>
      <c r="G424" s="3"/>
      <c r="J424" s="4"/>
      <c r="L424" s="5"/>
      <c r="M424" s="5"/>
      <c r="N424" s="5"/>
      <c r="O424" s="5"/>
      <c r="P424" s="5"/>
    </row>
    <row r="425" spans="1:16" ht="15.75" customHeight="1" x14ac:dyDescent="0.25">
      <c r="A425" s="2"/>
      <c r="B425" s="3"/>
      <c r="C425" s="3"/>
      <c r="D425" s="3"/>
      <c r="E425" s="3"/>
      <c r="F425" s="3"/>
      <c r="G425" s="3"/>
      <c r="J425" s="4"/>
      <c r="L425" s="5"/>
      <c r="M425" s="5"/>
      <c r="N425" s="5"/>
      <c r="O425" s="5"/>
      <c r="P425" s="5"/>
    </row>
    <row r="426" spans="1:16" ht="15.75" customHeight="1" x14ac:dyDescent="0.25">
      <c r="A426" s="2"/>
      <c r="B426" s="3"/>
      <c r="C426" s="3"/>
      <c r="D426" s="3"/>
      <c r="E426" s="3"/>
      <c r="F426" s="3"/>
      <c r="G426" s="3"/>
      <c r="J426" s="4"/>
      <c r="L426" s="5"/>
      <c r="M426" s="5"/>
      <c r="N426" s="5"/>
      <c r="O426" s="5"/>
      <c r="P426" s="5"/>
    </row>
    <row r="427" spans="1:16" ht="15.75" customHeight="1" x14ac:dyDescent="0.25">
      <c r="A427" s="2"/>
      <c r="B427" s="3"/>
      <c r="C427" s="3"/>
      <c r="D427" s="3"/>
      <c r="E427" s="3"/>
      <c r="F427" s="3"/>
      <c r="G427" s="3"/>
      <c r="J427" s="4"/>
      <c r="L427" s="5"/>
      <c r="M427" s="5"/>
      <c r="N427" s="5"/>
      <c r="O427" s="5"/>
      <c r="P427" s="5"/>
    </row>
    <row r="428" spans="1:16" ht="15.75" customHeight="1" x14ac:dyDescent="0.25">
      <c r="A428" s="2"/>
      <c r="B428" s="3"/>
      <c r="C428" s="3"/>
      <c r="D428" s="3"/>
      <c r="E428" s="3"/>
      <c r="F428" s="3"/>
      <c r="G428" s="3"/>
      <c r="J428" s="4"/>
      <c r="L428" s="5"/>
      <c r="M428" s="5"/>
      <c r="N428" s="5"/>
      <c r="O428" s="5"/>
      <c r="P428" s="5"/>
    </row>
    <row r="429" spans="1:16" ht="15.75" customHeight="1" x14ac:dyDescent="0.25">
      <c r="A429" s="2"/>
      <c r="B429" s="3"/>
      <c r="C429" s="3"/>
      <c r="D429" s="3"/>
      <c r="E429" s="3"/>
      <c r="F429" s="3"/>
      <c r="G429" s="3"/>
      <c r="J429" s="4"/>
      <c r="L429" s="5"/>
      <c r="M429" s="5"/>
      <c r="N429" s="5"/>
      <c r="O429" s="5"/>
      <c r="P429" s="5"/>
    </row>
    <row r="430" spans="1:16" ht="15.75" customHeight="1" x14ac:dyDescent="0.25">
      <c r="A430" s="2"/>
      <c r="B430" s="3"/>
      <c r="C430" s="3"/>
      <c r="D430" s="3"/>
      <c r="E430" s="3"/>
      <c r="F430" s="3"/>
      <c r="G430" s="3"/>
      <c r="J430" s="4"/>
      <c r="L430" s="5"/>
      <c r="M430" s="5"/>
      <c r="N430" s="5"/>
      <c r="O430" s="5"/>
      <c r="P430" s="5"/>
    </row>
    <row r="431" spans="1:16" ht="15.75" customHeight="1" x14ac:dyDescent="0.25">
      <c r="A431" s="2"/>
      <c r="B431" s="3"/>
      <c r="C431" s="3"/>
      <c r="D431" s="3"/>
      <c r="E431" s="3"/>
      <c r="F431" s="3"/>
      <c r="G431" s="3"/>
      <c r="J431" s="4"/>
      <c r="L431" s="5"/>
      <c r="M431" s="5"/>
      <c r="N431" s="5"/>
      <c r="O431" s="5"/>
      <c r="P431" s="5"/>
    </row>
    <row r="432" spans="1:16" ht="15.75" customHeight="1" x14ac:dyDescent="0.25">
      <c r="A432" s="2"/>
      <c r="B432" s="3"/>
      <c r="C432" s="3"/>
      <c r="D432" s="3"/>
      <c r="E432" s="3"/>
      <c r="F432" s="3"/>
      <c r="G432" s="3"/>
      <c r="J432" s="4"/>
      <c r="L432" s="5"/>
      <c r="M432" s="5"/>
      <c r="N432" s="5"/>
      <c r="O432" s="5"/>
      <c r="P432" s="5"/>
    </row>
    <row r="433" spans="1:16" ht="15.75" customHeight="1" x14ac:dyDescent="0.25">
      <c r="A433" s="2"/>
      <c r="B433" s="3"/>
      <c r="C433" s="3"/>
      <c r="D433" s="3"/>
      <c r="E433" s="3"/>
      <c r="F433" s="3"/>
      <c r="G433" s="3"/>
      <c r="J433" s="4"/>
      <c r="L433" s="5"/>
      <c r="M433" s="5"/>
      <c r="N433" s="5"/>
      <c r="O433" s="5"/>
      <c r="P433" s="5"/>
    </row>
    <row r="434" spans="1:16" ht="15.75" customHeight="1" x14ac:dyDescent="0.25">
      <c r="A434" s="2"/>
      <c r="B434" s="3"/>
      <c r="C434" s="3"/>
      <c r="D434" s="3"/>
      <c r="E434" s="3"/>
      <c r="F434" s="3"/>
      <c r="G434" s="3"/>
      <c r="J434" s="4"/>
      <c r="L434" s="5"/>
      <c r="M434" s="5"/>
      <c r="N434" s="5"/>
      <c r="O434" s="5"/>
      <c r="P434" s="5"/>
    </row>
    <row r="435" spans="1:16" ht="15.75" customHeight="1" x14ac:dyDescent="0.25">
      <c r="A435" s="2"/>
      <c r="B435" s="3"/>
      <c r="C435" s="3"/>
      <c r="D435" s="3"/>
      <c r="E435" s="3"/>
      <c r="F435" s="3"/>
      <c r="G435" s="3"/>
      <c r="J435" s="4"/>
      <c r="L435" s="5"/>
      <c r="M435" s="5"/>
      <c r="N435" s="5"/>
      <c r="O435" s="5"/>
      <c r="P435" s="5"/>
    </row>
    <row r="436" spans="1:16" ht="15.75" customHeight="1" x14ac:dyDescent="0.25">
      <c r="A436" s="2"/>
      <c r="B436" s="3"/>
      <c r="C436" s="3"/>
      <c r="D436" s="3"/>
      <c r="E436" s="3"/>
      <c r="F436" s="3"/>
      <c r="G436" s="3"/>
      <c r="J436" s="4"/>
      <c r="L436" s="5"/>
      <c r="M436" s="5"/>
      <c r="N436" s="5"/>
      <c r="O436" s="5"/>
      <c r="P436" s="5"/>
    </row>
    <row r="437" spans="1:16" ht="15.75" customHeight="1" x14ac:dyDescent="0.25">
      <c r="A437" s="2"/>
      <c r="B437" s="3"/>
      <c r="C437" s="3"/>
      <c r="D437" s="3"/>
      <c r="E437" s="3"/>
      <c r="F437" s="3"/>
      <c r="G437" s="3"/>
      <c r="J437" s="4"/>
      <c r="L437" s="5"/>
      <c r="M437" s="5"/>
      <c r="N437" s="5"/>
      <c r="O437" s="5"/>
      <c r="P437" s="5"/>
    </row>
    <row r="438" spans="1:16" ht="15.75" customHeight="1" x14ac:dyDescent="0.25">
      <c r="A438" s="2"/>
      <c r="B438" s="3"/>
      <c r="C438" s="3"/>
      <c r="D438" s="3"/>
      <c r="E438" s="3"/>
      <c r="F438" s="3"/>
      <c r="G438" s="3"/>
      <c r="J438" s="4"/>
      <c r="L438" s="5"/>
      <c r="M438" s="5"/>
      <c r="N438" s="5"/>
      <c r="O438" s="5"/>
      <c r="P438" s="5"/>
    </row>
    <row r="439" spans="1:16" ht="15.75" customHeight="1" x14ac:dyDescent="0.25">
      <c r="A439" s="2"/>
      <c r="B439" s="3"/>
      <c r="C439" s="3"/>
      <c r="D439" s="3"/>
      <c r="E439" s="3"/>
      <c r="F439" s="3"/>
      <c r="G439" s="3"/>
      <c r="J439" s="4"/>
      <c r="L439" s="5"/>
      <c r="M439" s="5"/>
      <c r="N439" s="5"/>
      <c r="O439" s="5"/>
      <c r="P439" s="5"/>
    </row>
    <row r="440" spans="1:16" ht="15.75" customHeight="1" x14ac:dyDescent="0.25">
      <c r="A440" s="2"/>
      <c r="B440" s="3"/>
      <c r="C440" s="3"/>
      <c r="D440" s="3"/>
      <c r="E440" s="3"/>
      <c r="F440" s="3"/>
      <c r="G440" s="3"/>
      <c r="J440" s="4"/>
      <c r="L440" s="5"/>
      <c r="M440" s="5"/>
      <c r="N440" s="5"/>
      <c r="O440" s="5"/>
      <c r="P440" s="5"/>
    </row>
    <row r="441" spans="1:16" ht="15.75" customHeight="1" x14ac:dyDescent="0.25">
      <c r="A441" s="2"/>
      <c r="B441" s="3"/>
      <c r="C441" s="3"/>
      <c r="D441" s="3"/>
      <c r="E441" s="3"/>
      <c r="F441" s="3"/>
      <c r="G441" s="3"/>
      <c r="J441" s="4"/>
      <c r="L441" s="5"/>
      <c r="M441" s="5"/>
      <c r="N441" s="5"/>
      <c r="O441" s="5"/>
      <c r="P441" s="5"/>
    </row>
    <row r="442" spans="1:16" ht="15.75" customHeight="1" x14ac:dyDescent="0.25">
      <c r="A442" s="2"/>
      <c r="B442" s="3"/>
      <c r="C442" s="3"/>
      <c r="D442" s="3"/>
      <c r="E442" s="3"/>
      <c r="F442" s="3"/>
      <c r="G442" s="3"/>
      <c r="J442" s="4"/>
      <c r="L442" s="5"/>
      <c r="M442" s="5"/>
      <c r="N442" s="5"/>
      <c r="O442" s="5"/>
      <c r="P442" s="5"/>
    </row>
    <row r="443" spans="1:16" ht="15.75" customHeight="1" x14ac:dyDescent="0.25">
      <c r="A443" s="2"/>
      <c r="B443" s="3"/>
      <c r="C443" s="3"/>
      <c r="D443" s="3"/>
      <c r="E443" s="3"/>
      <c r="F443" s="3"/>
      <c r="G443" s="3"/>
      <c r="J443" s="4"/>
      <c r="L443" s="5"/>
      <c r="M443" s="5"/>
      <c r="N443" s="5"/>
      <c r="O443" s="5"/>
      <c r="P443" s="5"/>
    </row>
    <row r="444" spans="1:16" ht="15.75" customHeight="1" x14ac:dyDescent="0.25">
      <c r="A444" s="2"/>
      <c r="B444" s="3"/>
      <c r="C444" s="3"/>
      <c r="D444" s="3"/>
      <c r="E444" s="3"/>
      <c r="F444" s="3"/>
      <c r="G444" s="3"/>
      <c r="J444" s="4"/>
      <c r="L444" s="5"/>
      <c r="M444" s="5"/>
      <c r="N444" s="5"/>
      <c r="O444" s="5"/>
      <c r="P444" s="5"/>
    </row>
    <row r="445" spans="1:16" ht="15.75" customHeight="1" x14ac:dyDescent="0.25">
      <c r="A445" s="2"/>
      <c r="B445" s="3"/>
      <c r="C445" s="3"/>
      <c r="D445" s="3"/>
      <c r="E445" s="3"/>
      <c r="F445" s="3"/>
      <c r="G445" s="3"/>
      <c r="J445" s="4"/>
      <c r="L445" s="5"/>
      <c r="M445" s="5"/>
      <c r="N445" s="5"/>
      <c r="O445" s="5"/>
      <c r="P445" s="5"/>
    </row>
    <row r="446" spans="1:16" ht="15.75" customHeight="1" x14ac:dyDescent="0.25">
      <c r="A446" s="2"/>
      <c r="B446" s="3"/>
      <c r="C446" s="3"/>
      <c r="D446" s="3"/>
      <c r="E446" s="3"/>
      <c r="F446" s="3"/>
      <c r="G446" s="3"/>
      <c r="J446" s="4"/>
      <c r="L446" s="5"/>
      <c r="M446" s="5"/>
      <c r="N446" s="5"/>
      <c r="O446" s="5"/>
      <c r="P446" s="5"/>
    </row>
    <row r="447" spans="1:16" ht="15.75" customHeight="1" x14ac:dyDescent="0.25">
      <c r="A447" s="2"/>
      <c r="B447" s="3"/>
      <c r="C447" s="3"/>
      <c r="D447" s="3"/>
      <c r="E447" s="3"/>
      <c r="F447" s="3"/>
      <c r="G447" s="3"/>
      <c r="J447" s="4"/>
      <c r="L447" s="5"/>
      <c r="M447" s="5"/>
      <c r="N447" s="5"/>
      <c r="O447" s="5"/>
      <c r="P447" s="5"/>
    </row>
    <row r="448" spans="1:16" ht="15.75" customHeight="1" x14ac:dyDescent="0.25">
      <c r="A448" s="2"/>
      <c r="B448" s="3"/>
      <c r="C448" s="3"/>
      <c r="D448" s="3"/>
      <c r="E448" s="3"/>
      <c r="F448" s="3"/>
      <c r="G448" s="3"/>
      <c r="J448" s="4"/>
      <c r="L448" s="5"/>
      <c r="M448" s="5"/>
      <c r="N448" s="5"/>
      <c r="O448" s="5"/>
      <c r="P448" s="5"/>
    </row>
    <row r="449" spans="1:16" ht="15.75" customHeight="1" x14ac:dyDescent="0.25">
      <c r="A449" s="2"/>
      <c r="B449" s="3"/>
      <c r="C449" s="3"/>
      <c r="D449" s="3"/>
      <c r="E449" s="3"/>
      <c r="F449" s="3"/>
      <c r="G449" s="3"/>
      <c r="J449" s="4"/>
      <c r="L449" s="5"/>
      <c r="M449" s="5"/>
      <c r="N449" s="5"/>
      <c r="O449" s="5"/>
      <c r="P449" s="5"/>
    </row>
    <row r="450" spans="1:16" ht="15.75" customHeight="1" x14ac:dyDescent="0.25">
      <c r="A450" s="2"/>
      <c r="B450" s="3"/>
      <c r="C450" s="3"/>
      <c r="D450" s="3"/>
      <c r="E450" s="3"/>
      <c r="F450" s="3"/>
      <c r="G450" s="3"/>
      <c r="J450" s="4"/>
      <c r="L450" s="5"/>
      <c r="M450" s="5"/>
      <c r="N450" s="5"/>
      <c r="O450" s="5"/>
      <c r="P450" s="5"/>
    </row>
    <row r="451" spans="1:16" ht="15.75" customHeight="1" x14ac:dyDescent="0.25">
      <c r="A451" s="2"/>
      <c r="B451" s="3"/>
      <c r="C451" s="3"/>
      <c r="D451" s="3"/>
      <c r="E451" s="3"/>
      <c r="F451" s="3"/>
      <c r="G451" s="3"/>
      <c r="J451" s="4"/>
      <c r="L451" s="5"/>
      <c r="M451" s="5"/>
      <c r="N451" s="5"/>
      <c r="O451" s="5"/>
      <c r="P451" s="5"/>
    </row>
    <row r="452" spans="1:16" ht="15.75" customHeight="1" x14ac:dyDescent="0.25">
      <c r="A452" s="2"/>
      <c r="B452" s="3"/>
      <c r="C452" s="3"/>
      <c r="D452" s="3"/>
      <c r="E452" s="3"/>
      <c r="F452" s="3"/>
      <c r="G452" s="3"/>
      <c r="J452" s="4"/>
      <c r="L452" s="5"/>
      <c r="M452" s="5"/>
      <c r="N452" s="5"/>
      <c r="O452" s="5"/>
      <c r="P452" s="5"/>
    </row>
    <row r="453" spans="1:16" ht="15.75" customHeight="1" x14ac:dyDescent="0.25">
      <c r="A453" s="2"/>
      <c r="B453" s="3"/>
      <c r="C453" s="3"/>
      <c r="D453" s="3"/>
      <c r="E453" s="3"/>
      <c r="F453" s="3"/>
      <c r="G453" s="3"/>
      <c r="J453" s="4"/>
      <c r="L453" s="5"/>
      <c r="M453" s="5"/>
      <c r="N453" s="5"/>
      <c r="O453" s="5"/>
      <c r="P453" s="5"/>
    </row>
    <row r="454" spans="1:16" ht="15.75" customHeight="1" x14ac:dyDescent="0.25">
      <c r="A454" s="2"/>
      <c r="B454" s="3"/>
      <c r="C454" s="3"/>
      <c r="D454" s="3"/>
      <c r="E454" s="3"/>
      <c r="F454" s="3"/>
      <c r="G454" s="3"/>
      <c r="J454" s="4"/>
      <c r="L454" s="5"/>
      <c r="M454" s="5"/>
      <c r="N454" s="5"/>
      <c r="O454" s="5"/>
      <c r="P454" s="5"/>
    </row>
    <row r="455" spans="1:16" ht="15.75" customHeight="1" x14ac:dyDescent="0.25">
      <c r="A455" s="2"/>
      <c r="B455" s="3"/>
      <c r="C455" s="3"/>
      <c r="D455" s="3"/>
      <c r="E455" s="3"/>
      <c r="F455" s="3"/>
      <c r="G455" s="3"/>
      <c r="J455" s="4"/>
      <c r="L455" s="5"/>
      <c r="M455" s="5"/>
      <c r="N455" s="5"/>
      <c r="O455" s="5"/>
      <c r="P455" s="5"/>
    </row>
    <row r="456" spans="1:16" ht="15.75" customHeight="1" x14ac:dyDescent="0.25">
      <c r="A456" s="2"/>
      <c r="B456" s="3"/>
      <c r="C456" s="3"/>
      <c r="D456" s="3"/>
      <c r="E456" s="3"/>
      <c r="F456" s="3"/>
      <c r="G456" s="3"/>
      <c r="J456" s="4"/>
      <c r="L456" s="5"/>
      <c r="M456" s="5"/>
      <c r="N456" s="5"/>
      <c r="O456" s="5"/>
      <c r="P456" s="5"/>
    </row>
    <row r="457" spans="1:16" ht="15.75" customHeight="1" x14ac:dyDescent="0.25">
      <c r="A457" s="2"/>
      <c r="B457" s="3"/>
      <c r="C457" s="3"/>
      <c r="D457" s="3"/>
      <c r="E457" s="3"/>
      <c r="F457" s="3"/>
      <c r="G457" s="3"/>
      <c r="J457" s="4"/>
      <c r="L457" s="5"/>
      <c r="M457" s="5"/>
      <c r="N457" s="5"/>
      <c r="O457" s="5"/>
      <c r="P457" s="5"/>
    </row>
    <row r="458" spans="1:16" ht="15.75" customHeight="1" x14ac:dyDescent="0.25">
      <c r="A458" s="2"/>
      <c r="B458" s="3"/>
      <c r="C458" s="3"/>
      <c r="D458" s="3"/>
      <c r="E458" s="3"/>
      <c r="F458" s="3"/>
      <c r="G458" s="3"/>
      <c r="J458" s="4"/>
      <c r="L458" s="5"/>
      <c r="M458" s="5"/>
      <c r="N458" s="5"/>
      <c r="O458" s="5"/>
      <c r="P458" s="5"/>
    </row>
    <row r="459" spans="1:16" ht="15.75" customHeight="1" x14ac:dyDescent="0.25">
      <c r="A459" s="2"/>
      <c r="B459" s="3"/>
      <c r="C459" s="3"/>
      <c r="D459" s="3"/>
      <c r="E459" s="3"/>
      <c r="F459" s="3"/>
      <c r="G459" s="3"/>
      <c r="J459" s="4"/>
      <c r="L459" s="5"/>
      <c r="M459" s="5"/>
      <c r="N459" s="5"/>
      <c r="O459" s="5"/>
      <c r="P459" s="5"/>
    </row>
    <row r="460" spans="1:16" ht="15.75" customHeight="1" x14ac:dyDescent="0.25">
      <c r="A460" s="2"/>
      <c r="B460" s="3"/>
      <c r="C460" s="3"/>
      <c r="D460" s="3"/>
      <c r="E460" s="3"/>
      <c r="F460" s="3"/>
      <c r="G460" s="3"/>
      <c r="J460" s="4"/>
      <c r="L460" s="5"/>
      <c r="M460" s="5"/>
      <c r="N460" s="5"/>
      <c r="O460" s="5"/>
      <c r="P460" s="5"/>
    </row>
    <row r="461" spans="1:16" ht="15.75" customHeight="1" x14ac:dyDescent="0.25">
      <c r="A461" s="2"/>
      <c r="B461" s="3"/>
      <c r="C461" s="3"/>
      <c r="D461" s="3"/>
      <c r="E461" s="3"/>
      <c r="F461" s="3"/>
      <c r="G461" s="3"/>
      <c r="J461" s="4"/>
      <c r="L461" s="5"/>
      <c r="M461" s="5"/>
      <c r="N461" s="5"/>
      <c r="O461" s="5"/>
      <c r="P461" s="5"/>
    </row>
    <row r="462" spans="1:16" ht="15.75" customHeight="1" x14ac:dyDescent="0.25">
      <c r="A462" s="2"/>
      <c r="B462" s="3"/>
      <c r="C462" s="3"/>
      <c r="D462" s="3"/>
      <c r="E462" s="3"/>
      <c r="F462" s="3"/>
      <c r="G462" s="3"/>
      <c r="J462" s="4"/>
      <c r="L462" s="5"/>
      <c r="M462" s="5"/>
      <c r="N462" s="5"/>
      <c r="O462" s="5"/>
      <c r="P462" s="5"/>
    </row>
    <row r="463" spans="1:16" ht="15.75" customHeight="1" x14ac:dyDescent="0.25">
      <c r="A463" s="2"/>
      <c r="B463" s="3"/>
      <c r="C463" s="3"/>
      <c r="D463" s="3"/>
      <c r="E463" s="3"/>
      <c r="F463" s="3"/>
      <c r="G463" s="3"/>
      <c r="J463" s="4"/>
      <c r="L463" s="5"/>
      <c r="M463" s="5"/>
      <c r="N463" s="5"/>
      <c r="O463" s="5"/>
      <c r="P463" s="5"/>
    </row>
    <row r="464" spans="1:16" ht="15.75" customHeight="1" x14ac:dyDescent="0.25">
      <c r="A464" s="2"/>
      <c r="B464" s="3"/>
      <c r="C464" s="3"/>
      <c r="D464" s="3"/>
      <c r="E464" s="3"/>
      <c r="F464" s="3"/>
      <c r="G464" s="3"/>
      <c r="J464" s="4"/>
      <c r="L464" s="5"/>
      <c r="M464" s="5"/>
      <c r="N464" s="5"/>
      <c r="O464" s="5"/>
      <c r="P464" s="5"/>
    </row>
    <row r="465" spans="1:16" ht="15.75" customHeight="1" x14ac:dyDescent="0.25">
      <c r="A465" s="2"/>
      <c r="B465" s="3"/>
      <c r="C465" s="3"/>
      <c r="D465" s="3"/>
      <c r="E465" s="3"/>
      <c r="F465" s="3"/>
      <c r="G465" s="3"/>
      <c r="J465" s="4"/>
      <c r="L465" s="5"/>
      <c r="M465" s="5"/>
      <c r="N465" s="5"/>
      <c r="O465" s="5"/>
      <c r="P465" s="5"/>
    </row>
    <row r="466" spans="1:16" ht="15.75" customHeight="1" x14ac:dyDescent="0.25">
      <c r="A466" s="2"/>
      <c r="B466" s="3"/>
      <c r="C466" s="3"/>
      <c r="D466" s="3"/>
      <c r="E466" s="3"/>
      <c r="F466" s="3"/>
      <c r="G466" s="3"/>
      <c r="J466" s="4"/>
      <c r="L466" s="5"/>
      <c r="M466" s="5"/>
      <c r="N466" s="5"/>
      <c r="O466" s="5"/>
      <c r="P466" s="5"/>
    </row>
    <row r="467" spans="1:16" ht="15.75" customHeight="1" x14ac:dyDescent="0.25">
      <c r="A467" s="2"/>
      <c r="B467" s="3"/>
      <c r="C467" s="3"/>
      <c r="D467" s="3"/>
      <c r="E467" s="3"/>
      <c r="F467" s="3"/>
      <c r="G467" s="3"/>
      <c r="J467" s="4"/>
      <c r="L467" s="5"/>
      <c r="M467" s="5"/>
      <c r="N467" s="5"/>
      <c r="O467" s="5"/>
      <c r="P467" s="5"/>
    </row>
    <row r="468" spans="1:16" ht="15.75" customHeight="1" x14ac:dyDescent="0.25">
      <c r="A468" s="2"/>
      <c r="B468" s="3"/>
      <c r="C468" s="3"/>
      <c r="D468" s="3"/>
      <c r="E468" s="3"/>
      <c r="F468" s="3"/>
      <c r="G468" s="3"/>
      <c r="J468" s="4"/>
      <c r="L468" s="5"/>
      <c r="M468" s="5"/>
      <c r="N468" s="5"/>
      <c r="O468" s="5"/>
      <c r="P468" s="5"/>
    </row>
    <row r="469" spans="1:16" ht="15.75" customHeight="1" x14ac:dyDescent="0.25">
      <c r="A469" s="2"/>
      <c r="B469" s="3"/>
      <c r="C469" s="3"/>
      <c r="D469" s="3"/>
      <c r="E469" s="3"/>
      <c r="F469" s="3"/>
      <c r="G469" s="3"/>
      <c r="J469" s="4"/>
      <c r="L469" s="5"/>
      <c r="M469" s="5"/>
      <c r="N469" s="5"/>
      <c r="O469" s="5"/>
      <c r="P469" s="5"/>
    </row>
    <row r="470" spans="1:16" ht="15.75" customHeight="1" x14ac:dyDescent="0.25">
      <c r="A470" s="2"/>
      <c r="B470" s="3"/>
      <c r="C470" s="3"/>
      <c r="D470" s="3"/>
      <c r="E470" s="3"/>
      <c r="F470" s="3"/>
      <c r="G470" s="3"/>
      <c r="J470" s="4"/>
      <c r="L470" s="5"/>
      <c r="M470" s="5"/>
      <c r="N470" s="5"/>
      <c r="O470" s="5"/>
      <c r="P470" s="5"/>
    </row>
    <row r="471" spans="1:16" ht="15.75" customHeight="1" x14ac:dyDescent="0.25">
      <c r="A471" s="2"/>
      <c r="B471" s="3"/>
      <c r="C471" s="3"/>
      <c r="D471" s="3"/>
      <c r="E471" s="3"/>
      <c r="F471" s="3"/>
      <c r="G471" s="3"/>
      <c r="J471" s="4"/>
      <c r="L471" s="5"/>
      <c r="M471" s="5"/>
      <c r="N471" s="5"/>
      <c r="O471" s="5"/>
      <c r="P471" s="5"/>
    </row>
    <row r="472" spans="1:16" ht="15.75" customHeight="1" x14ac:dyDescent="0.25">
      <c r="A472" s="2"/>
      <c r="B472" s="3"/>
      <c r="C472" s="3"/>
      <c r="D472" s="3"/>
      <c r="E472" s="3"/>
      <c r="F472" s="3"/>
      <c r="G472" s="3"/>
      <c r="J472" s="4"/>
      <c r="L472" s="5"/>
      <c r="M472" s="5"/>
      <c r="N472" s="5"/>
      <c r="O472" s="5"/>
      <c r="P472" s="5"/>
    </row>
    <row r="473" spans="1:16" ht="15.75" customHeight="1" x14ac:dyDescent="0.25">
      <c r="A473" s="2"/>
      <c r="B473" s="3"/>
      <c r="C473" s="3"/>
      <c r="D473" s="3"/>
      <c r="E473" s="3"/>
      <c r="F473" s="3"/>
      <c r="G473" s="3"/>
      <c r="J473" s="4"/>
      <c r="L473" s="5"/>
      <c r="M473" s="5"/>
      <c r="N473" s="5"/>
      <c r="O473" s="5"/>
      <c r="P473" s="5"/>
    </row>
    <row r="474" spans="1:16" ht="15.75" customHeight="1" x14ac:dyDescent="0.25">
      <c r="A474" s="2"/>
      <c r="B474" s="3"/>
      <c r="C474" s="3"/>
      <c r="D474" s="3"/>
      <c r="E474" s="3"/>
      <c r="F474" s="3"/>
      <c r="G474" s="3"/>
      <c r="J474" s="4"/>
      <c r="L474" s="5"/>
      <c r="M474" s="5"/>
      <c r="N474" s="5"/>
      <c r="O474" s="5"/>
      <c r="P474" s="5"/>
    </row>
    <row r="475" spans="1:16" ht="15.75" customHeight="1" x14ac:dyDescent="0.25">
      <c r="A475" s="2"/>
      <c r="B475" s="3"/>
      <c r="C475" s="3"/>
      <c r="D475" s="3"/>
      <c r="E475" s="3"/>
      <c r="F475" s="3"/>
      <c r="G475" s="3"/>
      <c r="J475" s="4"/>
      <c r="L475" s="5"/>
      <c r="M475" s="5"/>
      <c r="N475" s="5"/>
      <c r="O475" s="5"/>
      <c r="P475" s="5"/>
    </row>
    <row r="476" spans="1:16" ht="15.75" customHeight="1" x14ac:dyDescent="0.25">
      <c r="A476" s="2"/>
      <c r="B476" s="3"/>
      <c r="C476" s="3"/>
      <c r="D476" s="3"/>
      <c r="E476" s="3"/>
      <c r="F476" s="3"/>
      <c r="G476" s="3"/>
      <c r="J476" s="4"/>
      <c r="L476" s="5"/>
      <c r="M476" s="5"/>
      <c r="N476" s="5"/>
      <c r="O476" s="5"/>
      <c r="P476" s="5"/>
    </row>
    <row r="477" spans="1:16" ht="15.75" customHeight="1" x14ac:dyDescent="0.25">
      <c r="A477" s="2"/>
      <c r="B477" s="3"/>
      <c r="C477" s="3"/>
      <c r="D477" s="3"/>
      <c r="E477" s="3"/>
      <c r="F477" s="3"/>
      <c r="G477" s="3"/>
      <c r="J477" s="4"/>
      <c r="L477" s="5"/>
      <c r="M477" s="5"/>
      <c r="N477" s="5"/>
      <c r="O477" s="5"/>
      <c r="P477" s="5"/>
    </row>
    <row r="478" spans="1:16" ht="15.75" customHeight="1" x14ac:dyDescent="0.25">
      <c r="A478" s="2"/>
      <c r="B478" s="3"/>
      <c r="C478" s="3"/>
      <c r="D478" s="3"/>
      <c r="E478" s="3"/>
      <c r="F478" s="3"/>
      <c r="G478" s="3"/>
      <c r="J478" s="4"/>
      <c r="L478" s="5"/>
      <c r="M478" s="5"/>
      <c r="N478" s="5"/>
      <c r="O478" s="5"/>
      <c r="P478" s="5"/>
    </row>
    <row r="479" spans="1:16" ht="15.75" customHeight="1" x14ac:dyDescent="0.25">
      <c r="A479" s="2"/>
      <c r="B479" s="3"/>
      <c r="C479" s="3"/>
      <c r="D479" s="3"/>
      <c r="E479" s="3"/>
      <c r="F479" s="3"/>
      <c r="G479" s="3"/>
      <c r="J479" s="4"/>
      <c r="L479" s="5"/>
      <c r="M479" s="5"/>
      <c r="N479" s="5"/>
      <c r="O479" s="5"/>
      <c r="P479" s="5"/>
    </row>
    <row r="480" spans="1:16" ht="15.75" customHeight="1" x14ac:dyDescent="0.25">
      <c r="A480" s="2"/>
      <c r="B480" s="3"/>
      <c r="C480" s="3"/>
      <c r="D480" s="3"/>
      <c r="E480" s="3"/>
      <c r="F480" s="3"/>
      <c r="G480" s="3"/>
      <c r="J480" s="4"/>
      <c r="L480" s="5"/>
      <c r="M480" s="5"/>
      <c r="N480" s="5"/>
      <c r="O480" s="5"/>
      <c r="P480" s="5"/>
    </row>
    <row r="481" spans="1:16" ht="15.75" customHeight="1" x14ac:dyDescent="0.25">
      <c r="A481" s="2"/>
      <c r="B481" s="3"/>
      <c r="C481" s="3"/>
      <c r="D481" s="3"/>
      <c r="E481" s="3"/>
      <c r="F481" s="3"/>
      <c r="G481" s="3"/>
      <c r="J481" s="4"/>
      <c r="L481" s="5"/>
      <c r="M481" s="5"/>
      <c r="N481" s="5"/>
      <c r="O481" s="5"/>
      <c r="P481" s="5"/>
    </row>
    <row r="482" spans="1:16" ht="15.75" customHeight="1" x14ac:dyDescent="0.25">
      <c r="A482" s="2"/>
      <c r="B482" s="3"/>
      <c r="C482" s="3"/>
      <c r="D482" s="3"/>
      <c r="E482" s="3"/>
      <c r="F482" s="3"/>
      <c r="G482" s="3"/>
      <c r="J482" s="4"/>
      <c r="L482" s="5"/>
      <c r="M482" s="5"/>
      <c r="N482" s="5"/>
      <c r="O482" s="5"/>
      <c r="P482" s="5"/>
    </row>
    <row r="483" spans="1:16" ht="15.75" customHeight="1" x14ac:dyDescent="0.25">
      <c r="A483" s="2"/>
      <c r="B483" s="3"/>
      <c r="C483" s="3"/>
      <c r="D483" s="3"/>
      <c r="E483" s="3"/>
      <c r="F483" s="3"/>
      <c r="G483" s="3"/>
      <c r="J483" s="4"/>
      <c r="L483" s="5"/>
      <c r="M483" s="5"/>
      <c r="N483" s="5"/>
      <c r="O483" s="5"/>
      <c r="P483" s="5"/>
    </row>
    <row r="484" spans="1:16" ht="15.75" customHeight="1" x14ac:dyDescent="0.25">
      <c r="A484" s="2"/>
      <c r="B484" s="3"/>
      <c r="C484" s="3"/>
      <c r="D484" s="3"/>
      <c r="E484" s="3"/>
      <c r="F484" s="3"/>
      <c r="G484" s="3"/>
      <c r="J484" s="4"/>
      <c r="L484" s="5"/>
      <c r="M484" s="5"/>
      <c r="N484" s="5"/>
      <c r="O484" s="5"/>
      <c r="P484" s="5"/>
    </row>
    <row r="485" spans="1:16" ht="15.75" customHeight="1" x14ac:dyDescent="0.25">
      <c r="A485" s="2"/>
      <c r="B485" s="3"/>
      <c r="C485" s="3"/>
      <c r="D485" s="3"/>
      <c r="E485" s="3"/>
      <c r="F485" s="3"/>
      <c r="G485" s="3"/>
      <c r="J485" s="4"/>
      <c r="L485" s="5"/>
      <c r="M485" s="5"/>
      <c r="N485" s="5"/>
      <c r="O485" s="5"/>
      <c r="P485" s="5"/>
    </row>
    <row r="486" spans="1:16" ht="15.75" customHeight="1" x14ac:dyDescent="0.25">
      <c r="A486" s="2"/>
      <c r="B486" s="3"/>
      <c r="C486" s="3"/>
      <c r="D486" s="3"/>
      <c r="E486" s="3"/>
      <c r="F486" s="3"/>
      <c r="G486" s="3"/>
      <c r="J486" s="4"/>
      <c r="L486" s="5"/>
      <c r="M486" s="5"/>
      <c r="N486" s="5"/>
      <c r="O486" s="5"/>
      <c r="P486" s="5"/>
    </row>
    <row r="487" spans="1:16" ht="15.75" customHeight="1" x14ac:dyDescent="0.25">
      <c r="A487" s="2"/>
      <c r="B487" s="3"/>
      <c r="C487" s="3"/>
      <c r="D487" s="3"/>
      <c r="E487" s="3"/>
      <c r="F487" s="3"/>
      <c r="G487" s="3"/>
      <c r="J487" s="4"/>
      <c r="L487" s="5"/>
      <c r="M487" s="5"/>
      <c r="N487" s="5"/>
      <c r="O487" s="5"/>
      <c r="P487" s="5"/>
    </row>
    <row r="488" spans="1:16" ht="15.75" customHeight="1" x14ac:dyDescent="0.25">
      <c r="A488" s="2"/>
      <c r="B488" s="3"/>
      <c r="C488" s="3"/>
      <c r="D488" s="3"/>
      <c r="E488" s="3"/>
      <c r="F488" s="3"/>
      <c r="G488" s="3"/>
      <c r="J488" s="4"/>
      <c r="L488" s="5"/>
      <c r="M488" s="5"/>
      <c r="N488" s="5"/>
      <c r="O488" s="5"/>
      <c r="P488" s="5"/>
    </row>
    <row r="489" spans="1:16" ht="15.75" customHeight="1" x14ac:dyDescent="0.25">
      <c r="A489" s="2"/>
      <c r="B489" s="3"/>
      <c r="C489" s="3"/>
      <c r="D489" s="3"/>
      <c r="E489" s="3"/>
      <c r="F489" s="3"/>
      <c r="G489" s="3"/>
      <c r="J489" s="4"/>
      <c r="L489" s="5"/>
      <c r="M489" s="5"/>
      <c r="N489" s="5"/>
      <c r="O489" s="5"/>
      <c r="P489" s="5"/>
    </row>
    <row r="490" spans="1:16" ht="15.75" customHeight="1" x14ac:dyDescent="0.25">
      <c r="A490" s="2"/>
      <c r="B490" s="3"/>
      <c r="C490" s="3"/>
      <c r="D490" s="3"/>
      <c r="E490" s="3"/>
      <c r="F490" s="3"/>
      <c r="G490" s="3"/>
      <c r="J490" s="4"/>
      <c r="L490" s="5"/>
      <c r="M490" s="5"/>
      <c r="N490" s="5"/>
      <c r="O490" s="5"/>
      <c r="P490" s="5"/>
    </row>
    <row r="491" spans="1:16" ht="15.75" customHeight="1" x14ac:dyDescent="0.25">
      <c r="A491" s="2"/>
      <c r="B491" s="3"/>
      <c r="C491" s="3"/>
      <c r="D491" s="3"/>
      <c r="E491" s="3"/>
      <c r="F491" s="3"/>
      <c r="G491" s="3"/>
      <c r="J491" s="4"/>
      <c r="L491" s="5"/>
      <c r="M491" s="5"/>
      <c r="N491" s="5"/>
      <c r="O491" s="5"/>
      <c r="P491" s="5"/>
    </row>
    <row r="492" spans="1:16" ht="15.75" customHeight="1" x14ac:dyDescent="0.25">
      <c r="A492" s="2"/>
      <c r="B492" s="3"/>
      <c r="C492" s="3"/>
      <c r="D492" s="3"/>
      <c r="E492" s="3"/>
      <c r="F492" s="3"/>
      <c r="G492" s="3"/>
      <c r="J492" s="4"/>
      <c r="L492" s="5"/>
      <c r="M492" s="5"/>
      <c r="N492" s="5"/>
      <c r="O492" s="5"/>
      <c r="P492" s="5"/>
    </row>
    <row r="493" spans="1:16" ht="15.75" customHeight="1" x14ac:dyDescent="0.25">
      <c r="A493" s="2"/>
      <c r="B493" s="3"/>
      <c r="C493" s="3"/>
      <c r="D493" s="3"/>
      <c r="E493" s="3"/>
      <c r="F493" s="3"/>
      <c r="G493" s="3"/>
      <c r="J493" s="4"/>
      <c r="L493" s="5"/>
      <c r="M493" s="5"/>
      <c r="N493" s="5"/>
      <c r="O493" s="5"/>
      <c r="P493" s="5"/>
    </row>
    <row r="494" spans="1:16" ht="15.75" customHeight="1" x14ac:dyDescent="0.25">
      <c r="A494" s="2"/>
      <c r="B494" s="3"/>
      <c r="C494" s="3"/>
      <c r="D494" s="3"/>
      <c r="E494" s="3"/>
      <c r="F494" s="3"/>
      <c r="G494" s="3"/>
      <c r="J494" s="4"/>
      <c r="L494" s="5"/>
      <c r="M494" s="5"/>
      <c r="N494" s="5"/>
      <c r="O494" s="5"/>
      <c r="P494" s="5"/>
    </row>
    <row r="495" spans="1:16" ht="15.75" customHeight="1" x14ac:dyDescent="0.25">
      <c r="A495" s="2"/>
      <c r="B495" s="3"/>
      <c r="C495" s="3"/>
      <c r="D495" s="3"/>
      <c r="E495" s="3"/>
      <c r="F495" s="3"/>
      <c r="G495" s="3"/>
      <c r="J495" s="4"/>
      <c r="L495" s="5"/>
      <c r="M495" s="5"/>
      <c r="N495" s="5"/>
      <c r="O495" s="5"/>
      <c r="P495" s="5"/>
    </row>
    <row r="496" spans="1:16" ht="15.75" customHeight="1" x14ac:dyDescent="0.25">
      <c r="A496" s="2"/>
      <c r="B496" s="3"/>
      <c r="C496" s="3"/>
      <c r="D496" s="3"/>
      <c r="E496" s="3"/>
      <c r="F496" s="3"/>
      <c r="G496" s="3"/>
      <c r="J496" s="4"/>
      <c r="L496" s="5"/>
      <c r="M496" s="5"/>
      <c r="N496" s="5"/>
      <c r="O496" s="5"/>
      <c r="P496" s="5"/>
    </row>
    <row r="497" spans="1:16" ht="15.75" customHeight="1" x14ac:dyDescent="0.25">
      <c r="A497" s="2"/>
      <c r="B497" s="3"/>
      <c r="C497" s="3"/>
      <c r="D497" s="3"/>
      <c r="E497" s="3"/>
      <c r="F497" s="3"/>
      <c r="G497" s="3"/>
      <c r="J497" s="4"/>
      <c r="L497" s="5"/>
      <c r="M497" s="5"/>
      <c r="N497" s="5"/>
      <c r="O497" s="5"/>
      <c r="P497" s="5"/>
    </row>
    <row r="498" spans="1:16" ht="15.75" customHeight="1" x14ac:dyDescent="0.25">
      <c r="A498" s="2"/>
      <c r="B498" s="3"/>
      <c r="C498" s="3"/>
      <c r="D498" s="3"/>
      <c r="E498" s="3"/>
      <c r="F498" s="3"/>
      <c r="G498" s="3"/>
      <c r="J498" s="4"/>
      <c r="L498" s="5"/>
      <c r="M498" s="5"/>
      <c r="N498" s="5"/>
      <c r="O498" s="5"/>
      <c r="P498" s="5"/>
    </row>
    <row r="499" spans="1:16" ht="15.75" customHeight="1" x14ac:dyDescent="0.25">
      <c r="A499" s="2"/>
      <c r="B499" s="3"/>
      <c r="C499" s="3"/>
      <c r="D499" s="3"/>
      <c r="E499" s="3"/>
      <c r="F499" s="3"/>
      <c r="G499" s="3"/>
      <c r="J499" s="4"/>
      <c r="L499" s="5"/>
      <c r="M499" s="5"/>
      <c r="N499" s="5"/>
      <c r="O499" s="5"/>
      <c r="P499" s="5"/>
    </row>
    <row r="500" spans="1:16" ht="15.75" customHeight="1" x14ac:dyDescent="0.25">
      <c r="A500" s="2"/>
      <c r="B500" s="3"/>
      <c r="C500" s="3"/>
      <c r="D500" s="3"/>
      <c r="E500" s="3"/>
      <c r="F500" s="3"/>
      <c r="G500" s="3"/>
      <c r="J500" s="4"/>
      <c r="L500" s="5"/>
      <c r="M500" s="5"/>
      <c r="N500" s="5"/>
      <c r="O500" s="5"/>
      <c r="P500" s="5"/>
    </row>
    <row r="501" spans="1:16" ht="15.75" customHeight="1" x14ac:dyDescent="0.25">
      <c r="A501" s="2"/>
      <c r="B501" s="3"/>
      <c r="C501" s="3"/>
      <c r="D501" s="3"/>
      <c r="E501" s="3"/>
      <c r="F501" s="3"/>
      <c r="G501" s="3"/>
      <c r="J501" s="4"/>
      <c r="L501" s="5"/>
      <c r="M501" s="5"/>
      <c r="N501" s="5"/>
      <c r="O501" s="5"/>
      <c r="P501" s="5"/>
    </row>
    <row r="502" spans="1:16" ht="15.75" customHeight="1" x14ac:dyDescent="0.25">
      <c r="A502" s="2"/>
      <c r="B502" s="3"/>
      <c r="C502" s="3"/>
      <c r="D502" s="3"/>
      <c r="E502" s="3"/>
      <c r="F502" s="3"/>
      <c r="G502" s="3"/>
      <c r="J502" s="4"/>
      <c r="L502" s="5"/>
      <c r="M502" s="5"/>
      <c r="N502" s="5"/>
      <c r="O502" s="5"/>
      <c r="P502" s="5"/>
    </row>
    <row r="503" spans="1:16" ht="15.75" customHeight="1" x14ac:dyDescent="0.25">
      <c r="A503" s="2"/>
      <c r="B503" s="3"/>
      <c r="C503" s="3"/>
      <c r="D503" s="3"/>
      <c r="E503" s="3"/>
      <c r="F503" s="3"/>
      <c r="G503" s="3"/>
      <c r="J503" s="4"/>
      <c r="L503" s="5"/>
      <c r="M503" s="5"/>
      <c r="N503" s="5"/>
      <c r="O503" s="5"/>
      <c r="P503" s="5"/>
    </row>
    <row r="504" spans="1:16" ht="15.75" customHeight="1" x14ac:dyDescent="0.25">
      <c r="A504" s="2"/>
      <c r="B504" s="3"/>
      <c r="C504" s="3"/>
      <c r="D504" s="3"/>
      <c r="E504" s="3"/>
      <c r="F504" s="3"/>
      <c r="G504" s="3"/>
      <c r="J504" s="4"/>
      <c r="L504" s="5"/>
      <c r="M504" s="5"/>
      <c r="N504" s="5"/>
      <c r="O504" s="5"/>
      <c r="P504" s="5"/>
    </row>
    <row r="505" spans="1:16" ht="15.75" customHeight="1" x14ac:dyDescent="0.25">
      <c r="A505" s="2"/>
      <c r="B505" s="3"/>
      <c r="C505" s="3"/>
      <c r="D505" s="3"/>
      <c r="E505" s="3"/>
      <c r="F505" s="3"/>
      <c r="G505" s="3"/>
      <c r="J505" s="4"/>
      <c r="L505" s="5"/>
      <c r="M505" s="5"/>
      <c r="N505" s="5"/>
      <c r="O505" s="5"/>
      <c r="P505" s="5"/>
    </row>
    <row r="506" spans="1:16" ht="15.75" customHeight="1" x14ac:dyDescent="0.25">
      <c r="A506" s="2"/>
      <c r="B506" s="3"/>
      <c r="C506" s="3"/>
      <c r="D506" s="3"/>
      <c r="E506" s="3"/>
      <c r="F506" s="3"/>
      <c r="G506" s="3"/>
      <c r="J506" s="4"/>
      <c r="L506" s="5"/>
      <c r="M506" s="5"/>
      <c r="N506" s="5"/>
      <c r="O506" s="5"/>
      <c r="P506" s="5"/>
    </row>
    <row r="507" spans="1:16" ht="15.75" customHeight="1" x14ac:dyDescent="0.25">
      <c r="A507" s="2"/>
      <c r="B507" s="3"/>
      <c r="C507" s="3"/>
      <c r="D507" s="3"/>
      <c r="E507" s="3"/>
      <c r="F507" s="3"/>
      <c r="G507" s="3"/>
      <c r="J507" s="4"/>
      <c r="L507" s="5"/>
      <c r="M507" s="5"/>
      <c r="N507" s="5"/>
      <c r="O507" s="5"/>
      <c r="P507" s="5"/>
    </row>
    <row r="508" spans="1:16" ht="15.75" customHeight="1" x14ac:dyDescent="0.25">
      <c r="A508" s="2"/>
      <c r="B508" s="3"/>
      <c r="C508" s="3"/>
      <c r="D508" s="3"/>
      <c r="E508" s="3"/>
      <c r="F508" s="3"/>
      <c r="G508" s="3"/>
      <c r="J508" s="4"/>
      <c r="L508" s="5"/>
      <c r="M508" s="5"/>
      <c r="N508" s="5"/>
      <c r="O508" s="5"/>
      <c r="P508" s="5"/>
    </row>
    <row r="509" spans="1:16" ht="15.75" customHeight="1" x14ac:dyDescent="0.25">
      <c r="A509" s="2"/>
      <c r="B509" s="3"/>
      <c r="C509" s="3"/>
      <c r="D509" s="3"/>
      <c r="E509" s="3"/>
      <c r="F509" s="3"/>
      <c r="G509" s="3"/>
      <c r="J509" s="4"/>
      <c r="L509" s="5"/>
      <c r="M509" s="5"/>
      <c r="N509" s="5"/>
      <c r="O509" s="5"/>
      <c r="P509" s="5"/>
    </row>
    <row r="510" spans="1:16" ht="15.75" customHeight="1" x14ac:dyDescent="0.25">
      <c r="A510" s="2"/>
      <c r="B510" s="3"/>
      <c r="C510" s="3"/>
      <c r="D510" s="3"/>
      <c r="E510" s="3"/>
      <c r="F510" s="3"/>
      <c r="G510" s="3"/>
      <c r="J510" s="4"/>
      <c r="L510" s="5"/>
      <c r="M510" s="5"/>
      <c r="N510" s="5"/>
      <c r="O510" s="5"/>
      <c r="P510" s="5"/>
    </row>
    <row r="511" spans="1:16" ht="15.75" customHeight="1" x14ac:dyDescent="0.25">
      <c r="A511" s="2"/>
      <c r="B511" s="3"/>
      <c r="C511" s="3"/>
      <c r="D511" s="3"/>
      <c r="E511" s="3"/>
      <c r="F511" s="3"/>
      <c r="G511" s="3"/>
      <c r="J511" s="4"/>
      <c r="L511" s="5"/>
      <c r="M511" s="5"/>
      <c r="N511" s="5"/>
      <c r="O511" s="5"/>
      <c r="P511" s="5"/>
    </row>
    <row r="512" spans="1:16" ht="15.75" customHeight="1" x14ac:dyDescent="0.25">
      <c r="A512" s="2"/>
      <c r="B512" s="3"/>
      <c r="C512" s="3"/>
      <c r="D512" s="3"/>
      <c r="E512" s="3"/>
      <c r="F512" s="3"/>
      <c r="G512" s="3"/>
      <c r="J512" s="4"/>
      <c r="L512" s="5"/>
      <c r="M512" s="5"/>
      <c r="N512" s="5"/>
      <c r="O512" s="5"/>
      <c r="P512" s="5"/>
    </row>
    <row r="513" spans="1:16" ht="15.75" customHeight="1" x14ac:dyDescent="0.25">
      <c r="A513" s="2"/>
      <c r="B513" s="3"/>
      <c r="C513" s="3"/>
      <c r="D513" s="3"/>
      <c r="E513" s="3"/>
      <c r="F513" s="3"/>
      <c r="G513" s="3"/>
      <c r="J513" s="4"/>
      <c r="L513" s="5"/>
      <c r="M513" s="5"/>
      <c r="N513" s="5"/>
      <c r="O513" s="5"/>
      <c r="P513" s="5"/>
    </row>
    <row r="514" spans="1:16" ht="15.75" customHeight="1" x14ac:dyDescent="0.25">
      <c r="A514" s="2"/>
      <c r="B514" s="3"/>
      <c r="C514" s="3"/>
      <c r="D514" s="3"/>
      <c r="E514" s="3"/>
      <c r="F514" s="3"/>
      <c r="G514" s="3"/>
      <c r="J514" s="4"/>
      <c r="L514" s="5"/>
      <c r="M514" s="5"/>
      <c r="N514" s="5"/>
      <c r="O514" s="5"/>
      <c r="P514" s="5"/>
    </row>
    <row r="515" spans="1:16" ht="15.75" customHeight="1" x14ac:dyDescent="0.25">
      <c r="A515" s="2"/>
      <c r="B515" s="3"/>
      <c r="C515" s="3"/>
      <c r="D515" s="3"/>
      <c r="E515" s="3"/>
      <c r="F515" s="3"/>
      <c r="G515" s="3"/>
      <c r="J515" s="4"/>
      <c r="L515" s="5"/>
      <c r="M515" s="5"/>
      <c r="N515" s="5"/>
      <c r="O515" s="5"/>
      <c r="P515" s="5"/>
    </row>
    <row r="516" spans="1:16" ht="15.75" customHeight="1" x14ac:dyDescent="0.25">
      <c r="A516" s="2"/>
      <c r="B516" s="3"/>
      <c r="C516" s="3"/>
      <c r="D516" s="3"/>
      <c r="E516" s="3"/>
      <c r="F516" s="3"/>
      <c r="G516" s="3"/>
      <c r="J516" s="4"/>
      <c r="L516" s="5"/>
      <c r="M516" s="5"/>
      <c r="N516" s="5"/>
      <c r="O516" s="5"/>
      <c r="P516" s="5"/>
    </row>
    <row r="517" spans="1:16" ht="15.75" customHeight="1" x14ac:dyDescent="0.25">
      <c r="A517" s="2"/>
      <c r="B517" s="3"/>
      <c r="C517" s="3"/>
      <c r="D517" s="3"/>
      <c r="E517" s="3"/>
      <c r="F517" s="3"/>
      <c r="G517" s="3"/>
      <c r="J517" s="4"/>
      <c r="L517" s="5"/>
      <c r="M517" s="5"/>
      <c r="N517" s="5"/>
      <c r="O517" s="5"/>
      <c r="P517" s="5"/>
    </row>
    <row r="518" spans="1:16" ht="15.75" customHeight="1" x14ac:dyDescent="0.25">
      <c r="A518" s="2"/>
      <c r="B518" s="3"/>
      <c r="C518" s="3"/>
      <c r="D518" s="3"/>
      <c r="E518" s="3"/>
      <c r="F518" s="3"/>
      <c r="G518" s="3"/>
      <c r="J518" s="4"/>
      <c r="L518" s="5"/>
      <c r="M518" s="5"/>
      <c r="N518" s="5"/>
      <c r="O518" s="5"/>
      <c r="P518" s="5"/>
    </row>
    <row r="519" spans="1:16" ht="15.75" customHeight="1" x14ac:dyDescent="0.25">
      <c r="A519" s="2"/>
      <c r="B519" s="3"/>
      <c r="C519" s="3"/>
      <c r="D519" s="3"/>
      <c r="E519" s="3"/>
      <c r="F519" s="3"/>
      <c r="G519" s="3"/>
      <c r="J519" s="4"/>
      <c r="L519" s="5"/>
      <c r="M519" s="5"/>
      <c r="N519" s="5"/>
      <c r="O519" s="5"/>
      <c r="P519" s="5"/>
    </row>
    <row r="520" spans="1:16" ht="15.75" customHeight="1" x14ac:dyDescent="0.25">
      <c r="A520" s="2"/>
      <c r="B520" s="3"/>
      <c r="C520" s="3"/>
      <c r="D520" s="3"/>
      <c r="E520" s="3"/>
      <c r="F520" s="3"/>
      <c r="G520" s="3"/>
      <c r="J520" s="4"/>
      <c r="L520" s="5"/>
      <c r="M520" s="5"/>
      <c r="N520" s="5"/>
      <c r="O520" s="5"/>
      <c r="P520" s="5"/>
    </row>
    <row r="521" spans="1:16" ht="15.75" customHeight="1" x14ac:dyDescent="0.25">
      <c r="A521" s="2"/>
      <c r="B521" s="3"/>
      <c r="C521" s="3"/>
      <c r="D521" s="3"/>
      <c r="E521" s="3"/>
      <c r="F521" s="3"/>
      <c r="G521" s="3"/>
      <c r="J521" s="4"/>
      <c r="L521" s="5"/>
      <c r="M521" s="5"/>
      <c r="N521" s="5"/>
      <c r="O521" s="5"/>
      <c r="P521" s="5"/>
    </row>
    <row r="522" spans="1:16" ht="15.75" customHeight="1" x14ac:dyDescent="0.25">
      <c r="A522" s="2"/>
      <c r="B522" s="3"/>
      <c r="C522" s="3"/>
      <c r="D522" s="3"/>
      <c r="E522" s="3"/>
      <c r="F522" s="3"/>
      <c r="G522" s="3"/>
      <c r="J522" s="4"/>
      <c r="L522" s="5"/>
      <c r="M522" s="5"/>
      <c r="N522" s="5"/>
      <c r="O522" s="5"/>
      <c r="P522" s="5"/>
    </row>
    <row r="523" spans="1:16" ht="15.75" customHeight="1" x14ac:dyDescent="0.25">
      <c r="A523" s="2"/>
      <c r="B523" s="3"/>
      <c r="C523" s="3"/>
      <c r="D523" s="3"/>
      <c r="E523" s="3"/>
      <c r="F523" s="3"/>
      <c r="G523" s="3"/>
      <c r="J523" s="4"/>
      <c r="L523" s="5"/>
      <c r="M523" s="5"/>
      <c r="N523" s="5"/>
      <c r="O523" s="5"/>
      <c r="P523" s="5"/>
    </row>
    <row r="524" spans="1:16" ht="15.75" customHeight="1" x14ac:dyDescent="0.25">
      <c r="A524" s="2"/>
      <c r="B524" s="3"/>
      <c r="C524" s="3"/>
      <c r="D524" s="3"/>
      <c r="E524" s="3"/>
      <c r="F524" s="3"/>
      <c r="G524" s="3"/>
      <c r="J524" s="4"/>
      <c r="L524" s="5"/>
      <c r="M524" s="5"/>
      <c r="N524" s="5"/>
      <c r="O524" s="5"/>
      <c r="P524" s="5"/>
    </row>
    <row r="525" spans="1:16" ht="15.75" customHeight="1" x14ac:dyDescent="0.25">
      <c r="A525" s="2"/>
      <c r="B525" s="3"/>
      <c r="C525" s="3"/>
      <c r="D525" s="3"/>
      <c r="E525" s="3"/>
      <c r="F525" s="3"/>
      <c r="G525" s="3"/>
      <c r="J525" s="4"/>
      <c r="L525" s="5"/>
      <c r="M525" s="5"/>
      <c r="N525" s="5"/>
      <c r="O525" s="5"/>
      <c r="P525" s="5"/>
    </row>
    <row r="526" spans="1:16" ht="15.75" customHeight="1" x14ac:dyDescent="0.25">
      <c r="A526" s="2"/>
      <c r="B526" s="3"/>
      <c r="C526" s="3"/>
      <c r="D526" s="3"/>
      <c r="E526" s="3"/>
      <c r="F526" s="3"/>
      <c r="G526" s="3"/>
      <c r="J526" s="4"/>
      <c r="L526" s="5"/>
      <c r="M526" s="5"/>
      <c r="N526" s="5"/>
      <c r="O526" s="5"/>
      <c r="P526" s="5"/>
    </row>
    <row r="527" spans="1:16" ht="15.75" customHeight="1" x14ac:dyDescent="0.25">
      <c r="A527" s="2"/>
      <c r="B527" s="3"/>
      <c r="C527" s="3"/>
      <c r="D527" s="3"/>
      <c r="E527" s="3"/>
      <c r="F527" s="3"/>
      <c r="G527" s="3"/>
      <c r="J527" s="4"/>
      <c r="L527" s="5"/>
      <c r="M527" s="5"/>
      <c r="N527" s="5"/>
      <c r="O527" s="5"/>
      <c r="P527" s="5"/>
    </row>
    <row r="528" spans="1:16" ht="15.75" customHeight="1" x14ac:dyDescent="0.25">
      <c r="A528" s="2"/>
      <c r="B528" s="3"/>
      <c r="C528" s="3"/>
      <c r="D528" s="3"/>
      <c r="E528" s="3"/>
      <c r="F528" s="3"/>
      <c r="G528" s="3"/>
      <c r="J528" s="4"/>
      <c r="L528" s="5"/>
      <c r="M528" s="5"/>
      <c r="N528" s="5"/>
      <c r="O528" s="5"/>
      <c r="P528" s="5"/>
    </row>
    <row r="529" spans="1:16" ht="15.75" customHeight="1" x14ac:dyDescent="0.25">
      <c r="A529" s="2"/>
      <c r="B529" s="3"/>
      <c r="C529" s="3"/>
      <c r="D529" s="3"/>
      <c r="E529" s="3"/>
      <c r="F529" s="3"/>
      <c r="G529" s="3"/>
      <c r="J529" s="4"/>
      <c r="L529" s="5"/>
      <c r="M529" s="5"/>
      <c r="N529" s="5"/>
      <c r="O529" s="5"/>
      <c r="P529" s="5"/>
    </row>
    <row r="530" spans="1:16" ht="15.75" customHeight="1" x14ac:dyDescent="0.25">
      <c r="A530" s="2"/>
      <c r="B530" s="3"/>
      <c r="C530" s="3"/>
      <c r="D530" s="3"/>
      <c r="E530" s="3"/>
      <c r="F530" s="3"/>
      <c r="G530" s="3"/>
      <c r="J530" s="4"/>
      <c r="L530" s="5"/>
      <c r="M530" s="5"/>
      <c r="N530" s="5"/>
      <c r="O530" s="5"/>
      <c r="P530" s="5"/>
    </row>
    <row r="531" spans="1:16" ht="15.75" customHeight="1" x14ac:dyDescent="0.25">
      <c r="A531" s="2"/>
      <c r="B531" s="3"/>
      <c r="C531" s="3"/>
      <c r="D531" s="3"/>
      <c r="E531" s="3"/>
      <c r="F531" s="3"/>
      <c r="G531" s="3"/>
      <c r="J531" s="4"/>
      <c r="L531" s="5"/>
      <c r="M531" s="5"/>
      <c r="N531" s="5"/>
      <c r="O531" s="5"/>
      <c r="P531" s="5"/>
    </row>
    <row r="532" spans="1:16" ht="15.75" customHeight="1" x14ac:dyDescent="0.25">
      <c r="A532" s="2"/>
      <c r="B532" s="3"/>
      <c r="C532" s="3"/>
      <c r="D532" s="3"/>
      <c r="E532" s="3"/>
      <c r="F532" s="3"/>
      <c r="G532" s="3"/>
      <c r="J532" s="4"/>
      <c r="L532" s="5"/>
      <c r="M532" s="5"/>
      <c r="N532" s="5"/>
      <c r="O532" s="5"/>
      <c r="P532" s="5"/>
    </row>
    <row r="533" spans="1:16" ht="15.75" customHeight="1" x14ac:dyDescent="0.25">
      <c r="A533" s="2"/>
      <c r="B533" s="3"/>
      <c r="C533" s="3"/>
      <c r="D533" s="3"/>
      <c r="E533" s="3"/>
      <c r="F533" s="3"/>
      <c r="G533" s="3"/>
      <c r="J533" s="4"/>
      <c r="L533" s="5"/>
      <c r="M533" s="5"/>
      <c r="N533" s="5"/>
      <c r="O533" s="5"/>
      <c r="P533" s="5"/>
    </row>
    <row r="534" spans="1:16" ht="15.75" customHeight="1" x14ac:dyDescent="0.25">
      <c r="A534" s="2"/>
      <c r="B534" s="3"/>
      <c r="C534" s="3"/>
      <c r="D534" s="3"/>
      <c r="E534" s="3"/>
      <c r="F534" s="3"/>
      <c r="G534" s="3"/>
      <c r="J534" s="4"/>
      <c r="L534" s="5"/>
      <c r="M534" s="5"/>
      <c r="N534" s="5"/>
      <c r="O534" s="5"/>
      <c r="P534" s="5"/>
    </row>
    <row r="535" spans="1:16" ht="15.75" customHeight="1" x14ac:dyDescent="0.25">
      <c r="A535" s="2"/>
      <c r="B535" s="3"/>
      <c r="C535" s="3"/>
      <c r="D535" s="3"/>
      <c r="E535" s="3"/>
      <c r="F535" s="3"/>
      <c r="G535" s="3"/>
      <c r="J535" s="4"/>
      <c r="L535" s="5"/>
      <c r="M535" s="5"/>
      <c r="N535" s="5"/>
      <c r="O535" s="5"/>
      <c r="P535" s="5"/>
    </row>
    <row r="536" spans="1:16" ht="15.75" customHeight="1" x14ac:dyDescent="0.25">
      <c r="A536" s="2"/>
      <c r="B536" s="3"/>
      <c r="C536" s="3"/>
      <c r="D536" s="3"/>
      <c r="E536" s="3"/>
      <c r="F536" s="3"/>
      <c r="G536" s="3"/>
      <c r="J536" s="4"/>
      <c r="L536" s="5"/>
      <c r="M536" s="5"/>
      <c r="N536" s="5"/>
      <c r="O536" s="5"/>
      <c r="P536" s="5"/>
    </row>
    <row r="537" spans="1:16" ht="15.75" customHeight="1" x14ac:dyDescent="0.25">
      <c r="A537" s="2"/>
      <c r="B537" s="3"/>
      <c r="C537" s="3"/>
      <c r="D537" s="3"/>
      <c r="E537" s="3"/>
      <c r="F537" s="3"/>
      <c r="G537" s="3"/>
      <c r="J537" s="4"/>
      <c r="L537" s="5"/>
      <c r="M537" s="5"/>
      <c r="N537" s="5"/>
      <c r="O537" s="5"/>
      <c r="P537" s="5"/>
    </row>
    <row r="538" spans="1:16" ht="15.75" customHeight="1" x14ac:dyDescent="0.25">
      <c r="A538" s="2"/>
      <c r="B538" s="3"/>
      <c r="C538" s="3"/>
      <c r="D538" s="3"/>
      <c r="E538" s="3"/>
      <c r="F538" s="3"/>
      <c r="G538" s="3"/>
      <c r="J538" s="4"/>
      <c r="L538" s="5"/>
      <c r="M538" s="5"/>
      <c r="N538" s="5"/>
      <c r="O538" s="5"/>
      <c r="P538" s="5"/>
    </row>
    <row r="539" spans="1:16" ht="15.75" customHeight="1" x14ac:dyDescent="0.25">
      <c r="A539" s="2"/>
      <c r="B539" s="3"/>
      <c r="C539" s="3"/>
      <c r="D539" s="3"/>
      <c r="E539" s="3"/>
      <c r="F539" s="3"/>
      <c r="G539" s="3"/>
      <c r="J539" s="4"/>
      <c r="L539" s="5"/>
      <c r="M539" s="5"/>
      <c r="N539" s="5"/>
      <c r="O539" s="5"/>
      <c r="P539" s="5"/>
    </row>
    <row r="540" spans="1:16" ht="15.75" customHeight="1" x14ac:dyDescent="0.25">
      <c r="A540" s="2"/>
      <c r="B540" s="3"/>
      <c r="C540" s="3"/>
      <c r="D540" s="3"/>
      <c r="E540" s="3"/>
      <c r="F540" s="3"/>
      <c r="G540" s="3"/>
      <c r="J540" s="4"/>
      <c r="L540" s="5"/>
      <c r="M540" s="5"/>
      <c r="N540" s="5"/>
      <c r="O540" s="5"/>
      <c r="P540" s="5"/>
    </row>
    <row r="541" spans="1:16" ht="15.75" customHeight="1" x14ac:dyDescent="0.25">
      <c r="A541" s="2"/>
      <c r="B541" s="3"/>
      <c r="C541" s="3"/>
      <c r="D541" s="3"/>
      <c r="E541" s="3"/>
      <c r="F541" s="3"/>
      <c r="G541" s="3"/>
      <c r="J541" s="4"/>
      <c r="L541" s="5"/>
      <c r="M541" s="5"/>
      <c r="N541" s="5"/>
      <c r="O541" s="5"/>
      <c r="P541" s="5"/>
    </row>
    <row r="542" spans="1:16" ht="15.75" customHeight="1" x14ac:dyDescent="0.25">
      <c r="A542" s="2"/>
      <c r="B542" s="3"/>
      <c r="C542" s="3"/>
      <c r="D542" s="3"/>
      <c r="E542" s="3"/>
      <c r="F542" s="3"/>
      <c r="G542" s="3"/>
      <c r="J542" s="4"/>
      <c r="L542" s="5"/>
      <c r="M542" s="5"/>
      <c r="N542" s="5"/>
      <c r="O542" s="5"/>
      <c r="P542" s="5"/>
    </row>
    <row r="543" spans="1:16" ht="15.75" customHeight="1" x14ac:dyDescent="0.25">
      <c r="A543" s="2"/>
      <c r="B543" s="3"/>
      <c r="C543" s="3"/>
      <c r="D543" s="3"/>
      <c r="E543" s="3"/>
      <c r="F543" s="3"/>
      <c r="G543" s="3"/>
      <c r="J543" s="4"/>
      <c r="L543" s="5"/>
      <c r="M543" s="5"/>
      <c r="N543" s="5"/>
      <c r="O543" s="5"/>
      <c r="P543" s="5"/>
    </row>
    <row r="544" spans="1:16" ht="15.75" customHeight="1" x14ac:dyDescent="0.25">
      <c r="A544" s="2"/>
      <c r="B544" s="3"/>
      <c r="C544" s="3"/>
      <c r="D544" s="3"/>
      <c r="E544" s="3"/>
      <c r="F544" s="3"/>
      <c r="G544" s="3"/>
      <c r="J544" s="4"/>
      <c r="L544" s="5"/>
      <c r="M544" s="5"/>
      <c r="N544" s="5"/>
      <c r="O544" s="5"/>
      <c r="P544" s="5"/>
    </row>
    <row r="545" spans="1:16" ht="15.75" customHeight="1" x14ac:dyDescent="0.25">
      <c r="A545" s="2"/>
      <c r="B545" s="3"/>
      <c r="C545" s="3"/>
      <c r="D545" s="3"/>
      <c r="E545" s="3"/>
      <c r="F545" s="3"/>
      <c r="G545" s="3"/>
      <c r="J545" s="4"/>
      <c r="L545" s="5"/>
      <c r="M545" s="5"/>
      <c r="N545" s="5"/>
      <c r="O545" s="5"/>
      <c r="P545" s="5"/>
    </row>
    <row r="546" spans="1:16" ht="15.75" customHeight="1" x14ac:dyDescent="0.25">
      <c r="A546" s="2"/>
      <c r="B546" s="3"/>
      <c r="C546" s="3"/>
      <c r="D546" s="3"/>
      <c r="E546" s="3"/>
      <c r="F546" s="3"/>
      <c r="G546" s="3"/>
      <c r="J546" s="4"/>
      <c r="L546" s="5"/>
      <c r="M546" s="5"/>
      <c r="N546" s="5"/>
      <c r="O546" s="5"/>
      <c r="P546" s="5"/>
    </row>
    <row r="547" spans="1:16" ht="15.75" customHeight="1" x14ac:dyDescent="0.25">
      <c r="A547" s="2"/>
      <c r="B547" s="3"/>
      <c r="C547" s="3"/>
      <c r="D547" s="3"/>
      <c r="E547" s="3"/>
      <c r="F547" s="3"/>
      <c r="G547" s="3"/>
      <c r="J547" s="4"/>
      <c r="L547" s="5"/>
      <c r="M547" s="5"/>
      <c r="N547" s="5"/>
      <c r="O547" s="5"/>
      <c r="P547" s="5"/>
    </row>
    <row r="548" spans="1:16" ht="15.75" customHeight="1" x14ac:dyDescent="0.25">
      <c r="A548" s="2"/>
      <c r="B548" s="3"/>
      <c r="C548" s="3"/>
      <c r="D548" s="3"/>
      <c r="E548" s="3"/>
      <c r="F548" s="3"/>
      <c r="G548" s="3"/>
      <c r="J548" s="4"/>
      <c r="L548" s="5"/>
      <c r="M548" s="5"/>
      <c r="N548" s="5"/>
      <c r="O548" s="5"/>
      <c r="P548" s="5"/>
    </row>
    <row r="549" spans="1:16" ht="15.75" customHeight="1" x14ac:dyDescent="0.25">
      <c r="A549" s="2"/>
      <c r="B549" s="3"/>
      <c r="C549" s="3"/>
      <c r="D549" s="3"/>
      <c r="E549" s="3"/>
      <c r="F549" s="3"/>
      <c r="G549" s="3"/>
      <c r="J549" s="4"/>
      <c r="L549" s="5"/>
      <c r="M549" s="5"/>
      <c r="N549" s="5"/>
      <c r="O549" s="5"/>
      <c r="P549" s="5"/>
    </row>
    <row r="550" spans="1:16" ht="15.75" customHeight="1" x14ac:dyDescent="0.25">
      <c r="A550" s="2"/>
      <c r="B550" s="3"/>
      <c r="C550" s="3"/>
      <c r="D550" s="3"/>
      <c r="E550" s="3"/>
      <c r="F550" s="3"/>
      <c r="G550" s="3"/>
      <c r="J550" s="4"/>
      <c r="L550" s="5"/>
      <c r="M550" s="5"/>
      <c r="N550" s="5"/>
      <c r="O550" s="5"/>
      <c r="P550" s="5"/>
    </row>
    <row r="551" spans="1:16" ht="15.75" customHeight="1" x14ac:dyDescent="0.25">
      <c r="A551" s="2"/>
      <c r="B551" s="3"/>
      <c r="C551" s="3"/>
      <c r="D551" s="3"/>
      <c r="E551" s="3"/>
      <c r="F551" s="3"/>
      <c r="G551" s="3"/>
      <c r="J551" s="4"/>
      <c r="L551" s="5"/>
      <c r="M551" s="5"/>
      <c r="N551" s="5"/>
      <c r="O551" s="5"/>
      <c r="P551" s="5"/>
    </row>
    <row r="552" spans="1:16" ht="15.75" customHeight="1" x14ac:dyDescent="0.25">
      <c r="A552" s="2"/>
      <c r="B552" s="3"/>
      <c r="C552" s="3"/>
      <c r="D552" s="3"/>
      <c r="E552" s="3"/>
      <c r="F552" s="3"/>
      <c r="G552" s="3"/>
      <c r="J552" s="4"/>
      <c r="L552" s="5"/>
      <c r="M552" s="5"/>
      <c r="N552" s="5"/>
      <c r="O552" s="5"/>
      <c r="P552" s="5"/>
    </row>
    <row r="553" spans="1:16" ht="15.75" customHeight="1" x14ac:dyDescent="0.25">
      <c r="A553" s="2"/>
      <c r="B553" s="3"/>
      <c r="C553" s="3"/>
      <c r="D553" s="3"/>
      <c r="E553" s="3"/>
      <c r="F553" s="3"/>
      <c r="G553" s="3"/>
      <c r="J553" s="4"/>
      <c r="L553" s="5"/>
      <c r="M553" s="5"/>
      <c r="N553" s="5"/>
      <c r="O553" s="5"/>
      <c r="P553" s="5"/>
    </row>
    <row r="554" spans="1:16" ht="15.75" customHeight="1" x14ac:dyDescent="0.25">
      <c r="A554" s="2"/>
      <c r="B554" s="3"/>
      <c r="C554" s="3"/>
      <c r="D554" s="3"/>
      <c r="E554" s="3"/>
      <c r="F554" s="3"/>
      <c r="G554" s="3"/>
      <c r="J554" s="4"/>
      <c r="L554" s="5"/>
      <c r="M554" s="5"/>
      <c r="N554" s="5"/>
      <c r="O554" s="5"/>
      <c r="P554" s="5"/>
    </row>
    <row r="555" spans="1:16" ht="15.75" customHeight="1" x14ac:dyDescent="0.25">
      <c r="A555" s="2"/>
      <c r="B555" s="3"/>
      <c r="C555" s="3"/>
      <c r="D555" s="3"/>
      <c r="E555" s="3"/>
      <c r="F555" s="3"/>
      <c r="G555" s="3"/>
      <c r="J555" s="4"/>
      <c r="L555" s="5"/>
      <c r="M555" s="5"/>
      <c r="N555" s="5"/>
      <c r="O555" s="5"/>
      <c r="P555" s="5"/>
    </row>
    <row r="556" spans="1:16" ht="15.75" customHeight="1" x14ac:dyDescent="0.25">
      <c r="A556" s="2"/>
      <c r="B556" s="3"/>
      <c r="C556" s="3"/>
      <c r="D556" s="3"/>
      <c r="E556" s="3"/>
      <c r="F556" s="3"/>
      <c r="G556" s="3"/>
      <c r="J556" s="4"/>
      <c r="L556" s="5"/>
      <c r="M556" s="5"/>
      <c r="N556" s="5"/>
      <c r="O556" s="5"/>
      <c r="P556" s="5"/>
    </row>
    <row r="557" spans="1:16" ht="15.75" customHeight="1" x14ac:dyDescent="0.25">
      <c r="A557" s="2"/>
      <c r="B557" s="3"/>
      <c r="C557" s="3"/>
      <c r="D557" s="3"/>
      <c r="E557" s="3"/>
      <c r="F557" s="3"/>
      <c r="G557" s="3"/>
      <c r="J557" s="4"/>
      <c r="L557" s="5"/>
      <c r="M557" s="5"/>
      <c r="N557" s="5"/>
      <c r="O557" s="5"/>
      <c r="P557" s="5"/>
    </row>
    <row r="558" spans="1:16" ht="15.75" customHeight="1" x14ac:dyDescent="0.25">
      <c r="A558" s="2"/>
      <c r="B558" s="3"/>
      <c r="C558" s="3"/>
      <c r="D558" s="3"/>
      <c r="E558" s="3"/>
      <c r="F558" s="3"/>
      <c r="G558" s="3"/>
      <c r="J558" s="4"/>
      <c r="L558" s="5"/>
      <c r="M558" s="5"/>
      <c r="N558" s="5"/>
      <c r="O558" s="5"/>
      <c r="P558" s="5"/>
    </row>
    <row r="559" spans="1:16" ht="15.75" customHeight="1" x14ac:dyDescent="0.25">
      <c r="A559" s="2"/>
      <c r="B559" s="3"/>
      <c r="C559" s="3"/>
      <c r="D559" s="3"/>
      <c r="E559" s="3"/>
      <c r="F559" s="3"/>
      <c r="G559" s="3"/>
      <c r="J559" s="4"/>
      <c r="L559" s="5"/>
      <c r="M559" s="5"/>
      <c r="N559" s="5"/>
      <c r="O559" s="5"/>
      <c r="P559" s="5"/>
    </row>
    <row r="560" spans="1:16" ht="15.75" customHeight="1" x14ac:dyDescent="0.25">
      <c r="A560" s="2"/>
      <c r="B560" s="3"/>
      <c r="C560" s="3"/>
      <c r="D560" s="3"/>
      <c r="E560" s="3"/>
      <c r="F560" s="3"/>
      <c r="G560" s="3"/>
      <c r="J560" s="4"/>
      <c r="L560" s="5"/>
      <c r="M560" s="5"/>
      <c r="N560" s="5"/>
      <c r="O560" s="5"/>
      <c r="P560" s="5"/>
    </row>
    <row r="561" spans="1:16" ht="15.75" customHeight="1" x14ac:dyDescent="0.25">
      <c r="A561" s="2"/>
      <c r="B561" s="3"/>
      <c r="C561" s="3"/>
      <c r="D561" s="3"/>
      <c r="E561" s="3"/>
      <c r="F561" s="3"/>
      <c r="G561" s="3"/>
      <c r="J561" s="4"/>
      <c r="L561" s="5"/>
      <c r="M561" s="5"/>
      <c r="N561" s="5"/>
      <c r="O561" s="5"/>
      <c r="P561" s="5"/>
    </row>
    <row r="562" spans="1:16" ht="15.75" customHeight="1" x14ac:dyDescent="0.25">
      <c r="A562" s="2"/>
      <c r="B562" s="3"/>
      <c r="C562" s="3"/>
      <c r="D562" s="3"/>
      <c r="E562" s="3"/>
      <c r="F562" s="3"/>
      <c r="G562" s="3"/>
      <c r="J562" s="4"/>
      <c r="L562" s="5"/>
      <c r="M562" s="5"/>
      <c r="N562" s="5"/>
      <c r="O562" s="5"/>
      <c r="P562" s="5"/>
    </row>
    <row r="563" spans="1:16" ht="15.75" customHeight="1" x14ac:dyDescent="0.25">
      <c r="A563" s="2"/>
      <c r="B563" s="3"/>
      <c r="C563" s="3"/>
      <c r="D563" s="3"/>
      <c r="E563" s="3"/>
      <c r="F563" s="3"/>
      <c r="G563" s="3"/>
      <c r="J563" s="4"/>
      <c r="L563" s="5"/>
      <c r="M563" s="5"/>
      <c r="N563" s="5"/>
      <c r="O563" s="5"/>
      <c r="P563" s="5"/>
    </row>
    <row r="564" spans="1:16" ht="15.75" customHeight="1" x14ac:dyDescent="0.25">
      <c r="A564" s="2"/>
      <c r="B564" s="3"/>
      <c r="C564" s="3"/>
      <c r="D564" s="3"/>
      <c r="E564" s="3"/>
      <c r="F564" s="3"/>
      <c r="G564" s="3"/>
      <c r="J564" s="4"/>
      <c r="L564" s="5"/>
      <c r="M564" s="5"/>
      <c r="N564" s="5"/>
      <c r="O564" s="5"/>
      <c r="P564" s="5"/>
    </row>
    <row r="565" spans="1:16" ht="15.75" customHeight="1" x14ac:dyDescent="0.25">
      <c r="A565" s="2"/>
      <c r="B565" s="3"/>
      <c r="C565" s="3"/>
      <c r="D565" s="3"/>
      <c r="E565" s="3"/>
      <c r="F565" s="3"/>
      <c r="G565" s="3"/>
      <c r="J565" s="4"/>
      <c r="L565" s="5"/>
      <c r="M565" s="5"/>
      <c r="N565" s="5"/>
      <c r="O565" s="5"/>
      <c r="P565" s="5"/>
    </row>
    <row r="566" spans="1:16" ht="15.75" customHeight="1" x14ac:dyDescent="0.25">
      <c r="A566" s="2"/>
      <c r="B566" s="3"/>
      <c r="C566" s="3"/>
      <c r="D566" s="3"/>
      <c r="E566" s="3"/>
      <c r="F566" s="3"/>
      <c r="G566" s="3"/>
      <c r="J566" s="4"/>
      <c r="L566" s="5"/>
      <c r="M566" s="5"/>
      <c r="N566" s="5"/>
      <c r="O566" s="5"/>
      <c r="P566" s="5"/>
    </row>
    <row r="567" spans="1:16" ht="15.75" customHeight="1" x14ac:dyDescent="0.25">
      <c r="A567" s="2"/>
      <c r="B567" s="3"/>
      <c r="C567" s="3"/>
      <c r="D567" s="3"/>
      <c r="E567" s="3"/>
      <c r="F567" s="3"/>
      <c r="G567" s="3"/>
      <c r="J567" s="4"/>
      <c r="L567" s="5"/>
      <c r="M567" s="5"/>
      <c r="N567" s="5"/>
      <c r="O567" s="5"/>
      <c r="P567" s="5"/>
    </row>
    <row r="568" spans="1:16" ht="15.75" customHeight="1" x14ac:dyDescent="0.25">
      <c r="A568" s="2"/>
      <c r="B568" s="3"/>
      <c r="C568" s="3"/>
      <c r="D568" s="3"/>
      <c r="E568" s="3"/>
      <c r="F568" s="3"/>
      <c r="G568" s="3"/>
      <c r="J568" s="4"/>
      <c r="L568" s="5"/>
      <c r="M568" s="5"/>
      <c r="N568" s="5"/>
      <c r="O568" s="5"/>
      <c r="P568" s="5"/>
    </row>
    <row r="569" spans="1:16" ht="15.75" customHeight="1" x14ac:dyDescent="0.25">
      <c r="A569" s="2"/>
      <c r="B569" s="3"/>
      <c r="C569" s="3"/>
      <c r="D569" s="3"/>
      <c r="E569" s="3"/>
      <c r="F569" s="3"/>
      <c r="G569" s="3"/>
      <c r="J569" s="4"/>
      <c r="L569" s="5"/>
      <c r="M569" s="5"/>
      <c r="N569" s="5"/>
      <c r="O569" s="5"/>
      <c r="P569" s="5"/>
    </row>
    <row r="570" spans="1:16" ht="15.75" customHeight="1" x14ac:dyDescent="0.25">
      <c r="A570" s="2"/>
      <c r="B570" s="3"/>
      <c r="C570" s="3"/>
      <c r="D570" s="3"/>
      <c r="E570" s="3"/>
      <c r="F570" s="3"/>
      <c r="G570" s="3"/>
      <c r="J570" s="4"/>
      <c r="L570" s="5"/>
      <c r="M570" s="5"/>
      <c r="N570" s="5"/>
      <c r="O570" s="5"/>
      <c r="P570" s="5"/>
    </row>
    <row r="571" spans="1:16" ht="15.75" customHeight="1" x14ac:dyDescent="0.25">
      <c r="A571" s="2"/>
      <c r="B571" s="3"/>
      <c r="C571" s="3"/>
      <c r="D571" s="3"/>
      <c r="E571" s="3"/>
      <c r="F571" s="3"/>
      <c r="G571" s="3"/>
      <c r="J571" s="4"/>
      <c r="L571" s="5"/>
      <c r="M571" s="5"/>
      <c r="N571" s="5"/>
      <c r="O571" s="5"/>
      <c r="P571" s="5"/>
    </row>
    <row r="572" spans="1:16" ht="15.75" customHeight="1" x14ac:dyDescent="0.25">
      <c r="A572" s="2"/>
      <c r="B572" s="3"/>
      <c r="C572" s="3"/>
      <c r="D572" s="3"/>
      <c r="E572" s="3"/>
      <c r="F572" s="3"/>
      <c r="G572" s="3"/>
      <c r="J572" s="4"/>
      <c r="L572" s="5"/>
      <c r="M572" s="5"/>
      <c r="N572" s="5"/>
      <c r="O572" s="5"/>
      <c r="P572" s="5"/>
    </row>
    <row r="573" spans="1:16" ht="15.75" customHeight="1" x14ac:dyDescent="0.25">
      <c r="A573" s="2"/>
      <c r="B573" s="3"/>
      <c r="C573" s="3"/>
      <c r="D573" s="3"/>
      <c r="E573" s="3"/>
      <c r="F573" s="3"/>
      <c r="G573" s="3"/>
      <c r="J573" s="4"/>
      <c r="L573" s="5"/>
      <c r="M573" s="5"/>
      <c r="N573" s="5"/>
      <c r="O573" s="5"/>
      <c r="P573" s="5"/>
    </row>
    <row r="574" spans="1:16" ht="15.75" customHeight="1" x14ac:dyDescent="0.25">
      <c r="A574" s="2"/>
      <c r="B574" s="3"/>
      <c r="C574" s="3"/>
      <c r="D574" s="3"/>
      <c r="E574" s="3"/>
      <c r="F574" s="3"/>
      <c r="G574" s="3"/>
      <c r="J574" s="4"/>
      <c r="L574" s="5"/>
      <c r="M574" s="5"/>
      <c r="N574" s="5"/>
      <c r="O574" s="5"/>
      <c r="P574" s="5"/>
    </row>
    <row r="575" spans="1:16" ht="15.75" customHeight="1" x14ac:dyDescent="0.25">
      <c r="A575" s="2"/>
      <c r="B575" s="3"/>
      <c r="C575" s="3"/>
      <c r="D575" s="3"/>
      <c r="E575" s="3"/>
      <c r="F575" s="3"/>
      <c r="G575" s="3"/>
      <c r="J575" s="4"/>
      <c r="L575" s="5"/>
      <c r="M575" s="5"/>
      <c r="N575" s="5"/>
      <c r="O575" s="5"/>
      <c r="P575" s="5"/>
    </row>
    <row r="576" spans="1:16" ht="15.75" customHeight="1" x14ac:dyDescent="0.25">
      <c r="A576" s="2"/>
      <c r="B576" s="3"/>
      <c r="C576" s="3"/>
      <c r="D576" s="3"/>
      <c r="E576" s="3"/>
      <c r="F576" s="3"/>
      <c r="G576" s="3"/>
      <c r="J576" s="4"/>
      <c r="L576" s="5"/>
      <c r="M576" s="5"/>
      <c r="N576" s="5"/>
      <c r="O576" s="5"/>
      <c r="P576" s="5"/>
    </row>
    <row r="577" spans="1:16" ht="15.75" customHeight="1" x14ac:dyDescent="0.25">
      <c r="A577" s="2"/>
      <c r="B577" s="3"/>
      <c r="C577" s="3"/>
      <c r="D577" s="3"/>
      <c r="E577" s="3"/>
      <c r="F577" s="3"/>
      <c r="G577" s="3"/>
      <c r="J577" s="4"/>
      <c r="L577" s="5"/>
      <c r="M577" s="5"/>
      <c r="N577" s="5"/>
      <c r="O577" s="5"/>
      <c r="P577" s="5"/>
    </row>
    <row r="578" spans="1:16" ht="15.75" customHeight="1" x14ac:dyDescent="0.25">
      <c r="A578" s="2"/>
      <c r="B578" s="3"/>
      <c r="C578" s="3"/>
      <c r="D578" s="3"/>
      <c r="E578" s="3"/>
      <c r="F578" s="3"/>
      <c r="G578" s="3"/>
      <c r="J578" s="4"/>
      <c r="L578" s="5"/>
      <c r="M578" s="5"/>
      <c r="N578" s="5"/>
      <c r="O578" s="5"/>
      <c r="P578" s="5"/>
    </row>
    <row r="579" spans="1:16" ht="15.75" customHeight="1" x14ac:dyDescent="0.25">
      <c r="A579" s="2"/>
      <c r="B579" s="3"/>
      <c r="C579" s="3"/>
      <c r="D579" s="3"/>
      <c r="E579" s="3"/>
      <c r="F579" s="3"/>
      <c r="G579" s="3"/>
      <c r="J579" s="4"/>
      <c r="L579" s="5"/>
      <c r="M579" s="5"/>
      <c r="N579" s="5"/>
      <c r="O579" s="5"/>
      <c r="P579" s="5"/>
    </row>
    <row r="580" spans="1:16" ht="15.75" customHeight="1" x14ac:dyDescent="0.25">
      <c r="A580" s="2"/>
      <c r="B580" s="3"/>
      <c r="C580" s="3"/>
      <c r="D580" s="3"/>
      <c r="E580" s="3"/>
      <c r="F580" s="3"/>
      <c r="G580" s="3"/>
      <c r="J580" s="4"/>
      <c r="L580" s="5"/>
      <c r="M580" s="5"/>
      <c r="N580" s="5"/>
      <c r="O580" s="5"/>
      <c r="P580" s="5"/>
    </row>
    <row r="581" spans="1:16" ht="15.75" customHeight="1" x14ac:dyDescent="0.25">
      <c r="A581" s="2"/>
      <c r="B581" s="3"/>
      <c r="C581" s="3"/>
      <c r="D581" s="3"/>
      <c r="E581" s="3"/>
      <c r="F581" s="3"/>
      <c r="G581" s="3"/>
      <c r="J581" s="4"/>
      <c r="L581" s="5"/>
      <c r="M581" s="5"/>
      <c r="N581" s="5"/>
      <c r="O581" s="5"/>
      <c r="P581" s="5"/>
    </row>
    <row r="582" spans="1:16" ht="15.75" customHeight="1" x14ac:dyDescent="0.25">
      <c r="A582" s="2"/>
      <c r="B582" s="3"/>
      <c r="C582" s="3"/>
      <c r="D582" s="3"/>
      <c r="E582" s="3"/>
      <c r="F582" s="3"/>
      <c r="G582" s="3"/>
      <c r="J582" s="4"/>
      <c r="L582" s="5"/>
      <c r="M582" s="5"/>
      <c r="N582" s="5"/>
      <c r="O582" s="5"/>
      <c r="P582" s="5"/>
    </row>
    <row r="583" spans="1:16" ht="15.75" customHeight="1" x14ac:dyDescent="0.25">
      <c r="A583" s="2"/>
      <c r="B583" s="3"/>
      <c r="C583" s="3"/>
      <c r="D583" s="3"/>
      <c r="E583" s="3"/>
      <c r="F583" s="3"/>
      <c r="G583" s="3"/>
      <c r="J583" s="4"/>
      <c r="L583" s="5"/>
      <c r="M583" s="5"/>
      <c r="N583" s="5"/>
      <c r="O583" s="5"/>
      <c r="P583" s="5"/>
    </row>
    <row r="584" spans="1:16" ht="15.75" customHeight="1" x14ac:dyDescent="0.25">
      <c r="A584" s="2"/>
      <c r="B584" s="3"/>
      <c r="C584" s="3"/>
      <c r="D584" s="3"/>
      <c r="E584" s="3"/>
      <c r="F584" s="3"/>
      <c r="G584" s="3"/>
      <c r="J584" s="4"/>
      <c r="L584" s="5"/>
      <c r="M584" s="5"/>
      <c r="N584" s="5"/>
      <c r="O584" s="5"/>
      <c r="P584" s="5"/>
    </row>
    <row r="585" spans="1:16" ht="15.75" customHeight="1" x14ac:dyDescent="0.25">
      <c r="A585" s="2"/>
      <c r="B585" s="3"/>
      <c r="C585" s="3"/>
      <c r="D585" s="3"/>
      <c r="E585" s="3"/>
      <c r="F585" s="3"/>
      <c r="G585" s="3"/>
      <c r="J585" s="4"/>
      <c r="L585" s="5"/>
      <c r="M585" s="5"/>
      <c r="N585" s="5"/>
      <c r="O585" s="5"/>
      <c r="P585" s="5"/>
    </row>
    <row r="586" spans="1:16" ht="15.75" customHeight="1" x14ac:dyDescent="0.25">
      <c r="A586" s="2"/>
      <c r="B586" s="3"/>
      <c r="C586" s="3"/>
      <c r="D586" s="3"/>
      <c r="E586" s="3"/>
      <c r="F586" s="3"/>
      <c r="G586" s="3"/>
      <c r="J586" s="4"/>
      <c r="L586" s="5"/>
      <c r="M586" s="5"/>
      <c r="N586" s="5"/>
      <c r="O586" s="5"/>
      <c r="P586" s="5"/>
    </row>
    <row r="587" spans="1:16" ht="15.75" customHeight="1" x14ac:dyDescent="0.25">
      <c r="A587" s="2"/>
      <c r="B587" s="3"/>
      <c r="C587" s="3"/>
      <c r="D587" s="3"/>
      <c r="E587" s="3"/>
      <c r="F587" s="3"/>
      <c r="G587" s="3"/>
      <c r="J587" s="4"/>
      <c r="L587" s="5"/>
      <c r="M587" s="5"/>
      <c r="N587" s="5"/>
      <c r="O587" s="5"/>
      <c r="P587" s="5"/>
    </row>
    <row r="588" spans="1:16" ht="15.75" customHeight="1" x14ac:dyDescent="0.25">
      <c r="A588" s="2"/>
      <c r="B588" s="3"/>
      <c r="C588" s="3"/>
      <c r="D588" s="3"/>
      <c r="E588" s="3"/>
      <c r="F588" s="3"/>
      <c r="G588" s="3"/>
      <c r="J588" s="4"/>
      <c r="L588" s="5"/>
      <c r="M588" s="5"/>
      <c r="N588" s="5"/>
      <c r="O588" s="5"/>
      <c r="P588" s="5"/>
    </row>
    <row r="589" spans="1:16" ht="15.75" customHeight="1" x14ac:dyDescent="0.25">
      <c r="A589" s="2"/>
      <c r="B589" s="3"/>
      <c r="C589" s="3"/>
      <c r="D589" s="3"/>
      <c r="E589" s="3"/>
      <c r="F589" s="3"/>
      <c r="G589" s="3"/>
      <c r="J589" s="4"/>
      <c r="L589" s="5"/>
      <c r="M589" s="5"/>
      <c r="N589" s="5"/>
      <c r="O589" s="5"/>
      <c r="P589" s="5"/>
    </row>
    <row r="590" spans="1:16" ht="15.75" customHeight="1" x14ac:dyDescent="0.25">
      <c r="A590" s="2"/>
      <c r="B590" s="3"/>
      <c r="C590" s="3"/>
      <c r="D590" s="3"/>
      <c r="E590" s="3"/>
      <c r="F590" s="3"/>
      <c r="G590" s="3"/>
      <c r="J590" s="4"/>
      <c r="L590" s="5"/>
      <c r="M590" s="5"/>
      <c r="N590" s="5"/>
      <c r="O590" s="5"/>
      <c r="P590" s="5"/>
    </row>
    <row r="591" spans="1:16" ht="15.75" customHeight="1" x14ac:dyDescent="0.25">
      <c r="A591" s="2"/>
      <c r="B591" s="3"/>
      <c r="C591" s="3"/>
      <c r="D591" s="3"/>
      <c r="E591" s="3"/>
      <c r="F591" s="3"/>
      <c r="G591" s="3"/>
      <c r="J591" s="4"/>
      <c r="L591" s="5"/>
      <c r="M591" s="5"/>
      <c r="N591" s="5"/>
      <c r="O591" s="5"/>
      <c r="P591" s="5"/>
    </row>
    <row r="592" spans="1:16" ht="15.75" customHeight="1" x14ac:dyDescent="0.25">
      <c r="A592" s="2"/>
      <c r="B592" s="3"/>
      <c r="C592" s="3"/>
      <c r="D592" s="3"/>
      <c r="E592" s="3"/>
      <c r="F592" s="3"/>
      <c r="G592" s="3"/>
      <c r="J592" s="4"/>
      <c r="L592" s="5"/>
      <c r="M592" s="5"/>
      <c r="N592" s="5"/>
      <c r="O592" s="5"/>
      <c r="P592" s="5"/>
    </row>
    <row r="593" spans="1:16" ht="15.75" customHeight="1" x14ac:dyDescent="0.25">
      <c r="A593" s="2"/>
      <c r="B593" s="3"/>
      <c r="C593" s="3"/>
      <c r="D593" s="3"/>
      <c r="E593" s="3"/>
      <c r="F593" s="3"/>
      <c r="G593" s="3"/>
      <c r="J593" s="4"/>
      <c r="L593" s="5"/>
      <c r="M593" s="5"/>
      <c r="N593" s="5"/>
      <c r="O593" s="5"/>
      <c r="P593" s="5"/>
    </row>
    <row r="594" spans="1:16" ht="15.75" customHeight="1" x14ac:dyDescent="0.25">
      <c r="A594" s="2"/>
      <c r="B594" s="3"/>
      <c r="C594" s="3"/>
      <c r="D594" s="3"/>
      <c r="E594" s="3"/>
      <c r="F594" s="3"/>
      <c r="G594" s="3"/>
      <c r="J594" s="4"/>
      <c r="L594" s="5"/>
      <c r="M594" s="5"/>
      <c r="N594" s="5"/>
      <c r="O594" s="5"/>
      <c r="P594" s="5"/>
    </row>
    <row r="595" spans="1:16" ht="15.75" customHeight="1" x14ac:dyDescent="0.25">
      <c r="A595" s="2"/>
      <c r="B595" s="3"/>
      <c r="C595" s="3"/>
      <c r="D595" s="3"/>
      <c r="E595" s="3"/>
      <c r="F595" s="3"/>
      <c r="G595" s="3"/>
      <c r="J595" s="4"/>
      <c r="L595" s="5"/>
      <c r="M595" s="5"/>
      <c r="N595" s="5"/>
      <c r="O595" s="5"/>
      <c r="P595" s="5"/>
    </row>
    <row r="596" spans="1:16" ht="15.75" customHeight="1" x14ac:dyDescent="0.25">
      <c r="A596" s="2"/>
      <c r="B596" s="3"/>
      <c r="C596" s="3"/>
      <c r="D596" s="3"/>
      <c r="E596" s="3"/>
      <c r="F596" s="3"/>
      <c r="G596" s="3"/>
      <c r="J596" s="4"/>
      <c r="L596" s="5"/>
      <c r="M596" s="5"/>
      <c r="N596" s="5"/>
      <c r="O596" s="5"/>
      <c r="P596" s="5"/>
    </row>
    <row r="597" spans="1:16" ht="15.75" customHeight="1" x14ac:dyDescent="0.25">
      <c r="A597" s="2"/>
      <c r="B597" s="3"/>
      <c r="C597" s="3"/>
      <c r="D597" s="3"/>
      <c r="E597" s="3"/>
      <c r="F597" s="3"/>
      <c r="G597" s="3"/>
      <c r="J597" s="4"/>
      <c r="L597" s="5"/>
      <c r="M597" s="5"/>
      <c r="N597" s="5"/>
      <c r="O597" s="5"/>
      <c r="P597" s="5"/>
    </row>
    <row r="598" spans="1:16" ht="15.75" customHeight="1" x14ac:dyDescent="0.25">
      <c r="A598" s="2"/>
      <c r="B598" s="3"/>
      <c r="C598" s="3"/>
      <c r="D598" s="3"/>
      <c r="E598" s="3"/>
      <c r="F598" s="3"/>
      <c r="G598" s="3"/>
      <c r="J598" s="4"/>
      <c r="L598" s="5"/>
      <c r="M598" s="5"/>
      <c r="N598" s="5"/>
      <c r="O598" s="5"/>
      <c r="P598" s="5"/>
    </row>
    <row r="599" spans="1:16" ht="15.75" customHeight="1" x14ac:dyDescent="0.25">
      <c r="A599" s="2"/>
      <c r="B599" s="3"/>
      <c r="C599" s="3"/>
      <c r="D599" s="3"/>
      <c r="E599" s="3"/>
      <c r="F599" s="3"/>
      <c r="G599" s="3"/>
      <c r="J599" s="4"/>
      <c r="L599" s="5"/>
      <c r="M599" s="5"/>
      <c r="N599" s="5"/>
      <c r="O599" s="5"/>
      <c r="P599" s="5"/>
    </row>
    <row r="600" spans="1:16" ht="15.75" customHeight="1" x14ac:dyDescent="0.25">
      <c r="A600" s="2"/>
      <c r="B600" s="3"/>
      <c r="C600" s="3"/>
      <c r="D600" s="3"/>
      <c r="E600" s="3"/>
      <c r="F600" s="3"/>
      <c r="G600" s="3"/>
      <c r="J600" s="4"/>
      <c r="L600" s="5"/>
      <c r="M600" s="5"/>
      <c r="N600" s="5"/>
      <c r="O600" s="5"/>
      <c r="P600" s="5"/>
    </row>
    <row r="601" spans="1:16" ht="15.75" customHeight="1" x14ac:dyDescent="0.25">
      <c r="A601" s="2"/>
      <c r="B601" s="3"/>
      <c r="C601" s="3"/>
      <c r="D601" s="3"/>
      <c r="E601" s="3"/>
      <c r="F601" s="3"/>
      <c r="G601" s="3"/>
      <c r="J601" s="4"/>
      <c r="L601" s="5"/>
      <c r="M601" s="5"/>
      <c r="N601" s="5"/>
      <c r="O601" s="5"/>
      <c r="P601" s="5"/>
    </row>
    <row r="602" spans="1:16" ht="15.75" customHeight="1" x14ac:dyDescent="0.25">
      <c r="A602" s="2"/>
      <c r="B602" s="3"/>
      <c r="C602" s="3"/>
      <c r="D602" s="3"/>
      <c r="E602" s="3"/>
      <c r="F602" s="3"/>
      <c r="G602" s="3"/>
      <c r="J602" s="4"/>
      <c r="L602" s="5"/>
      <c r="M602" s="5"/>
      <c r="N602" s="5"/>
      <c r="O602" s="5"/>
      <c r="P602" s="5"/>
    </row>
    <row r="603" spans="1:16" ht="15.75" customHeight="1" x14ac:dyDescent="0.25">
      <c r="A603" s="2"/>
      <c r="B603" s="3"/>
      <c r="C603" s="3"/>
      <c r="D603" s="3"/>
      <c r="E603" s="3"/>
      <c r="F603" s="3"/>
      <c r="G603" s="3"/>
      <c r="J603" s="4"/>
      <c r="L603" s="5"/>
      <c r="M603" s="5"/>
      <c r="N603" s="5"/>
      <c r="O603" s="5"/>
      <c r="P603" s="5"/>
    </row>
    <row r="604" spans="1:16" ht="15.75" customHeight="1" x14ac:dyDescent="0.25">
      <c r="A604" s="2"/>
      <c r="B604" s="3"/>
      <c r="C604" s="3"/>
      <c r="D604" s="3"/>
      <c r="E604" s="3"/>
      <c r="F604" s="3"/>
      <c r="G604" s="3"/>
      <c r="J604" s="4"/>
      <c r="L604" s="5"/>
      <c r="M604" s="5"/>
      <c r="N604" s="5"/>
      <c r="O604" s="5"/>
      <c r="P604" s="5"/>
    </row>
    <row r="605" spans="1:16" ht="15.75" customHeight="1" x14ac:dyDescent="0.25">
      <c r="A605" s="2"/>
      <c r="B605" s="3"/>
      <c r="C605" s="3"/>
      <c r="D605" s="3"/>
      <c r="E605" s="3"/>
      <c r="F605" s="3"/>
      <c r="G605" s="3"/>
      <c r="J605" s="4"/>
      <c r="L605" s="5"/>
      <c r="M605" s="5"/>
      <c r="N605" s="5"/>
      <c r="O605" s="5"/>
      <c r="P605" s="5"/>
    </row>
    <row r="606" spans="1:16" ht="15.75" customHeight="1" x14ac:dyDescent="0.25">
      <c r="A606" s="2"/>
      <c r="B606" s="3"/>
      <c r="C606" s="3"/>
      <c r="D606" s="3"/>
      <c r="E606" s="3"/>
      <c r="F606" s="3"/>
      <c r="G606" s="3"/>
      <c r="J606" s="4"/>
      <c r="L606" s="5"/>
      <c r="M606" s="5"/>
      <c r="N606" s="5"/>
      <c r="O606" s="5"/>
      <c r="P606" s="5"/>
    </row>
    <row r="607" spans="1:16" ht="15.75" customHeight="1" x14ac:dyDescent="0.25">
      <c r="A607" s="2"/>
      <c r="B607" s="3"/>
      <c r="C607" s="3"/>
      <c r="D607" s="3"/>
      <c r="E607" s="3"/>
      <c r="F607" s="3"/>
      <c r="G607" s="3"/>
      <c r="J607" s="4"/>
      <c r="L607" s="5"/>
      <c r="M607" s="5"/>
      <c r="N607" s="5"/>
      <c r="O607" s="5"/>
      <c r="P607" s="5"/>
    </row>
    <row r="608" spans="1:16" ht="15.75" customHeight="1" x14ac:dyDescent="0.25">
      <c r="A608" s="2"/>
      <c r="B608" s="3"/>
      <c r="C608" s="3"/>
      <c r="D608" s="3"/>
      <c r="E608" s="3"/>
      <c r="F608" s="3"/>
      <c r="G608" s="3"/>
      <c r="J608" s="4"/>
      <c r="L608" s="5"/>
      <c r="M608" s="5"/>
      <c r="N608" s="5"/>
      <c r="O608" s="5"/>
      <c r="P608" s="5"/>
    </row>
    <row r="609" spans="1:16" ht="15.75" customHeight="1" x14ac:dyDescent="0.25">
      <c r="A609" s="2"/>
      <c r="B609" s="3"/>
      <c r="C609" s="3"/>
      <c r="D609" s="3"/>
      <c r="E609" s="3"/>
      <c r="F609" s="3"/>
      <c r="G609" s="3"/>
      <c r="J609" s="4"/>
      <c r="L609" s="5"/>
      <c r="M609" s="5"/>
      <c r="N609" s="5"/>
      <c r="O609" s="5"/>
      <c r="P609" s="5"/>
    </row>
    <row r="610" spans="1:16" ht="15.75" customHeight="1" x14ac:dyDescent="0.25">
      <c r="A610" s="2"/>
      <c r="B610" s="3"/>
      <c r="C610" s="3"/>
      <c r="D610" s="3"/>
      <c r="E610" s="3"/>
      <c r="F610" s="3"/>
      <c r="G610" s="3"/>
      <c r="J610" s="4"/>
      <c r="L610" s="5"/>
      <c r="M610" s="5"/>
      <c r="N610" s="5"/>
      <c r="O610" s="5"/>
      <c r="P610" s="5"/>
    </row>
    <row r="611" spans="1:16" ht="15.75" customHeight="1" x14ac:dyDescent="0.25">
      <c r="A611" s="2"/>
      <c r="B611" s="3"/>
      <c r="C611" s="3"/>
      <c r="D611" s="3"/>
      <c r="E611" s="3"/>
      <c r="F611" s="3"/>
      <c r="G611" s="3"/>
      <c r="J611" s="4"/>
      <c r="L611" s="5"/>
      <c r="M611" s="5"/>
      <c r="N611" s="5"/>
      <c r="O611" s="5"/>
      <c r="P611" s="5"/>
    </row>
    <row r="612" spans="1:16" ht="15.75" customHeight="1" x14ac:dyDescent="0.25">
      <c r="A612" s="2"/>
      <c r="B612" s="3"/>
      <c r="C612" s="3"/>
      <c r="D612" s="3"/>
      <c r="E612" s="3"/>
      <c r="F612" s="3"/>
      <c r="G612" s="3"/>
      <c r="J612" s="4"/>
      <c r="L612" s="5"/>
      <c r="M612" s="5"/>
      <c r="N612" s="5"/>
      <c r="O612" s="5"/>
      <c r="P612" s="5"/>
    </row>
    <row r="613" spans="1:16" ht="15.75" customHeight="1" x14ac:dyDescent="0.25">
      <c r="A613" s="2"/>
      <c r="B613" s="3"/>
      <c r="C613" s="3"/>
      <c r="D613" s="3"/>
      <c r="E613" s="3"/>
      <c r="F613" s="3"/>
      <c r="G613" s="3"/>
      <c r="J613" s="4"/>
      <c r="L613" s="5"/>
      <c r="M613" s="5"/>
      <c r="N613" s="5"/>
      <c r="O613" s="5"/>
      <c r="P613" s="5"/>
    </row>
    <row r="614" spans="1:16" ht="15.75" customHeight="1" x14ac:dyDescent="0.25">
      <c r="A614" s="2"/>
      <c r="B614" s="3"/>
      <c r="C614" s="3"/>
      <c r="D614" s="3"/>
      <c r="E614" s="3"/>
      <c r="F614" s="3"/>
      <c r="G614" s="3"/>
      <c r="J614" s="4"/>
      <c r="L614" s="5"/>
      <c r="M614" s="5"/>
      <c r="N614" s="5"/>
      <c r="O614" s="5"/>
      <c r="P614" s="5"/>
    </row>
    <row r="615" spans="1:16" ht="15.75" customHeight="1" x14ac:dyDescent="0.25">
      <c r="A615" s="2"/>
      <c r="B615" s="3"/>
      <c r="C615" s="3"/>
      <c r="D615" s="3"/>
      <c r="E615" s="3"/>
      <c r="F615" s="3"/>
      <c r="G615" s="3"/>
      <c r="J615" s="4"/>
      <c r="L615" s="5"/>
      <c r="M615" s="5"/>
      <c r="N615" s="5"/>
      <c r="O615" s="5"/>
      <c r="P615" s="5"/>
    </row>
    <row r="616" spans="1:16" ht="15.75" customHeight="1" x14ac:dyDescent="0.25">
      <c r="A616" s="2"/>
      <c r="B616" s="3"/>
      <c r="C616" s="3"/>
      <c r="D616" s="3"/>
      <c r="E616" s="3"/>
      <c r="F616" s="3"/>
      <c r="G616" s="3"/>
      <c r="J616" s="4"/>
      <c r="L616" s="5"/>
      <c r="M616" s="5"/>
      <c r="N616" s="5"/>
      <c r="O616" s="5"/>
      <c r="P616" s="5"/>
    </row>
    <row r="617" spans="1:16" ht="15.75" customHeight="1" x14ac:dyDescent="0.25">
      <c r="A617" s="2"/>
      <c r="B617" s="3"/>
      <c r="C617" s="3"/>
      <c r="D617" s="3"/>
      <c r="E617" s="3"/>
      <c r="F617" s="3"/>
      <c r="G617" s="3"/>
      <c r="J617" s="4"/>
      <c r="L617" s="5"/>
      <c r="M617" s="5"/>
      <c r="N617" s="5"/>
      <c r="O617" s="5"/>
      <c r="P617" s="5"/>
    </row>
    <row r="618" spans="1:16" ht="15.75" customHeight="1" x14ac:dyDescent="0.25">
      <c r="A618" s="2"/>
      <c r="B618" s="3"/>
      <c r="C618" s="3"/>
      <c r="D618" s="3"/>
      <c r="E618" s="3"/>
      <c r="F618" s="3"/>
      <c r="G618" s="3"/>
      <c r="J618" s="4"/>
      <c r="L618" s="5"/>
      <c r="M618" s="5"/>
      <c r="N618" s="5"/>
      <c r="O618" s="5"/>
      <c r="P618" s="5"/>
    </row>
    <row r="619" spans="1:16" ht="15.75" customHeight="1" x14ac:dyDescent="0.25">
      <c r="A619" s="2"/>
      <c r="B619" s="3"/>
      <c r="C619" s="3"/>
      <c r="D619" s="3"/>
      <c r="E619" s="3"/>
      <c r="F619" s="3"/>
      <c r="G619" s="3"/>
      <c r="J619" s="4"/>
      <c r="L619" s="5"/>
      <c r="M619" s="5"/>
      <c r="N619" s="5"/>
      <c r="O619" s="5"/>
      <c r="P619" s="5"/>
    </row>
    <row r="620" spans="1:16" ht="15.75" customHeight="1" x14ac:dyDescent="0.25">
      <c r="A620" s="2"/>
      <c r="B620" s="3"/>
      <c r="C620" s="3"/>
      <c r="D620" s="3"/>
      <c r="E620" s="3"/>
      <c r="F620" s="3"/>
      <c r="G620" s="3"/>
      <c r="J620" s="4"/>
      <c r="L620" s="5"/>
      <c r="M620" s="5"/>
      <c r="N620" s="5"/>
      <c r="O620" s="5"/>
      <c r="P620" s="5"/>
    </row>
    <row r="621" spans="1:16" ht="15.75" customHeight="1" x14ac:dyDescent="0.25">
      <c r="A621" s="2"/>
      <c r="B621" s="3"/>
      <c r="C621" s="3"/>
      <c r="D621" s="3"/>
      <c r="E621" s="3"/>
      <c r="F621" s="3"/>
      <c r="G621" s="3"/>
      <c r="J621" s="4"/>
      <c r="L621" s="5"/>
      <c r="M621" s="5"/>
      <c r="N621" s="5"/>
      <c r="O621" s="5"/>
      <c r="P621" s="5"/>
    </row>
    <row r="622" spans="1:16" ht="15.75" customHeight="1" x14ac:dyDescent="0.25">
      <c r="A622" s="2"/>
      <c r="B622" s="3"/>
      <c r="C622" s="3"/>
      <c r="D622" s="3"/>
      <c r="E622" s="3"/>
      <c r="F622" s="3"/>
      <c r="G622" s="3"/>
      <c r="J622" s="4"/>
      <c r="L622" s="5"/>
      <c r="M622" s="5"/>
      <c r="N622" s="5"/>
      <c r="O622" s="5"/>
      <c r="P622" s="5"/>
    </row>
    <row r="623" spans="1:16" ht="15.75" customHeight="1" x14ac:dyDescent="0.25">
      <c r="A623" s="2"/>
      <c r="B623" s="3"/>
      <c r="C623" s="3"/>
      <c r="D623" s="3"/>
      <c r="E623" s="3"/>
      <c r="F623" s="3"/>
      <c r="G623" s="3"/>
      <c r="J623" s="4"/>
      <c r="L623" s="5"/>
      <c r="M623" s="5"/>
      <c r="N623" s="5"/>
      <c r="O623" s="5"/>
      <c r="P623" s="5"/>
    </row>
    <row r="624" spans="1:16" ht="15.75" customHeight="1" x14ac:dyDescent="0.25">
      <c r="A624" s="2"/>
      <c r="B624" s="3"/>
      <c r="C624" s="3"/>
      <c r="D624" s="3"/>
      <c r="E624" s="3"/>
      <c r="F624" s="3"/>
      <c r="G624" s="3"/>
      <c r="J624" s="4"/>
      <c r="L624" s="5"/>
      <c r="M624" s="5"/>
      <c r="N624" s="5"/>
      <c r="O624" s="5"/>
      <c r="P624" s="5"/>
    </row>
    <row r="625" spans="1:16" ht="15.75" customHeight="1" x14ac:dyDescent="0.25">
      <c r="A625" s="2"/>
      <c r="B625" s="3"/>
      <c r="C625" s="3"/>
      <c r="D625" s="3"/>
      <c r="E625" s="3"/>
      <c r="F625" s="3"/>
      <c r="G625" s="3"/>
      <c r="J625" s="4"/>
      <c r="L625" s="5"/>
      <c r="M625" s="5"/>
      <c r="N625" s="5"/>
      <c r="O625" s="5"/>
      <c r="P625" s="5"/>
    </row>
    <row r="626" spans="1:16" ht="15.75" customHeight="1" x14ac:dyDescent="0.25">
      <c r="A626" s="2"/>
      <c r="B626" s="3"/>
      <c r="C626" s="3"/>
      <c r="D626" s="3"/>
      <c r="E626" s="3"/>
      <c r="F626" s="3"/>
      <c r="G626" s="3"/>
      <c r="J626" s="4"/>
      <c r="L626" s="5"/>
      <c r="M626" s="5"/>
      <c r="N626" s="5"/>
      <c r="O626" s="5"/>
      <c r="P626" s="5"/>
    </row>
    <row r="627" spans="1:16" ht="15.75" customHeight="1" x14ac:dyDescent="0.25">
      <c r="A627" s="2"/>
      <c r="B627" s="3"/>
      <c r="C627" s="3"/>
      <c r="D627" s="3"/>
      <c r="E627" s="3"/>
      <c r="F627" s="3"/>
      <c r="G627" s="3"/>
      <c r="J627" s="4"/>
      <c r="L627" s="5"/>
      <c r="M627" s="5"/>
      <c r="N627" s="5"/>
      <c r="O627" s="5"/>
      <c r="P627" s="5"/>
    </row>
    <row r="628" spans="1:16" ht="15.75" customHeight="1" x14ac:dyDescent="0.25">
      <c r="A628" s="2"/>
      <c r="B628" s="3"/>
      <c r="C628" s="3"/>
      <c r="D628" s="3"/>
      <c r="E628" s="3"/>
      <c r="F628" s="3"/>
      <c r="G628" s="3"/>
      <c r="J628" s="4"/>
      <c r="L628" s="5"/>
      <c r="M628" s="5"/>
      <c r="N628" s="5"/>
      <c r="O628" s="5"/>
      <c r="P628" s="5"/>
    </row>
    <row r="629" spans="1:16" ht="15.75" customHeight="1" x14ac:dyDescent="0.25">
      <c r="A629" s="2"/>
      <c r="B629" s="3"/>
      <c r="C629" s="3"/>
      <c r="D629" s="3"/>
      <c r="E629" s="3"/>
      <c r="F629" s="3"/>
      <c r="G629" s="3"/>
      <c r="J629" s="4"/>
      <c r="L629" s="5"/>
      <c r="M629" s="5"/>
      <c r="N629" s="5"/>
      <c r="O629" s="5"/>
      <c r="P629" s="5"/>
    </row>
    <row r="630" spans="1:16" ht="15.75" customHeight="1" x14ac:dyDescent="0.25">
      <c r="A630" s="2"/>
      <c r="B630" s="3"/>
      <c r="C630" s="3"/>
      <c r="D630" s="3"/>
      <c r="E630" s="3"/>
      <c r="F630" s="3"/>
      <c r="G630" s="3"/>
      <c r="J630" s="4"/>
      <c r="L630" s="5"/>
      <c r="M630" s="5"/>
      <c r="N630" s="5"/>
      <c r="O630" s="5"/>
      <c r="P630" s="5"/>
    </row>
    <row r="631" spans="1:16" ht="15.75" customHeight="1" x14ac:dyDescent="0.25">
      <c r="A631" s="2"/>
      <c r="B631" s="3"/>
      <c r="C631" s="3"/>
      <c r="D631" s="3"/>
      <c r="E631" s="3"/>
      <c r="F631" s="3"/>
      <c r="G631" s="3"/>
      <c r="J631" s="4"/>
      <c r="L631" s="5"/>
      <c r="M631" s="5"/>
      <c r="N631" s="5"/>
      <c r="O631" s="5"/>
      <c r="P631" s="5"/>
    </row>
    <row r="632" spans="1:16" ht="15.75" customHeight="1" x14ac:dyDescent="0.25">
      <c r="A632" s="2"/>
      <c r="B632" s="3"/>
      <c r="C632" s="3"/>
      <c r="D632" s="3"/>
      <c r="E632" s="3"/>
      <c r="F632" s="3"/>
      <c r="G632" s="3"/>
      <c r="J632" s="4"/>
      <c r="L632" s="5"/>
      <c r="M632" s="5"/>
      <c r="N632" s="5"/>
      <c r="O632" s="5"/>
      <c r="P632" s="5"/>
    </row>
    <row r="633" spans="1:16" ht="15.75" customHeight="1" x14ac:dyDescent="0.25">
      <c r="A633" s="2"/>
      <c r="B633" s="3"/>
      <c r="C633" s="3"/>
      <c r="D633" s="3"/>
      <c r="E633" s="3"/>
      <c r="F633" s="3"/>
      <c r="G633" s="3"/>
      <c r="J633" s="4"/>
      <c r="L633" s="5"/>
      <c r="M633" s="5"/>
      <c r="N633" s="5"/>
      <c r="O633" s="5"/>
      <c r="P633" s="5"/>
    </row>
    <row r="634" spans="1:16" ht="15.75" customHeight="1" x14ac:dyDescent="0.25">
      <c r="A634" s="2"/>
      <c r="B634" s="3"/>
      <c r="C634" s="3"/>
      <c r="D634" s="3"/>
      <c r="E634" s="3"/>
      <c r="F634" s="3"/>
      <c r="G634" s="3"/>
      <c r="J634" s="4"/>
      <c r="L634" s="5"/>
      <c r="M634" s="5"/>
      <c r="N634" s="5"/>
      <c r="O634" s="5"/>
      <c r="P634" s="5"/>
    </row>
    <row r="635" spans="1:16" ht="15.75" customHeight="1" x14ac:dyDescent="0.25">
      <c r="A635" s="2"/>
      <c r="B635" s="3"/>
      <c r="C635" s="3"/>
      <c r="D635" s="3"/>
      <c r="E635" s="3"/>
      <c r="F635" s="3"/>
      <c r="G635" s="3"/>
      <c r="J635" s="4"/>
      <c r="L635" s="5"/>
      <c r="M635" s="5"/>
      <c r="N635" s="5"/>
      <c r="O635" s="5"/>
      <c r="P635" s="5"/>
    </row>
    <row r="636" spans="1:16" ht="15.75" customHeight="1" x14ac:dyDescent="0.25">
      <c r="A636" s="2"/>
      <c r="B636" s="3"/>
      <c r="C636" s="3"/>
      <c r="D636" s="3"/>
      <c r="E636" s="3"/>
      <c r="F636" s="3"/>
      <c r="G636" s="3"/>
      <c r="J636" s="4"/>
      <c r="L636" s="5"/>
      <c r="M636" s="5"/>
      <c r="N636" s="5"/>
      <c r="O636" s="5"/>
      <c r="P636" s="5"/>
    </row>
    <row r="637" spans="1:16" ht="15.75" customHeight="1" x14ac:dyDescent="0.25">
      <c r="A637" s="2"/>
      <c r="B637" s="3"/>
      <c r="C637" s="3"/>
      <c r="D637" s="3"/>
      <c r="E637" s="3"/>
      <c r="F637" s="3"/>
      <c r="G637" s="3"/>
      <c r="J637" s="4"/>
      <c r="L637" s="5"/>
      <c r="M637" s="5"/>
      <c r="N637" s="5"/>
      <c r="O637" s="5"/>
      <c r="P637" s="5"/>
    </row>
    <row r="638" spans="1:16" ht="15.75" customHeight="1" x14ac:dyDescent="0.25">
      <c r="A638" s="2"/>
      <c r="B638" s="3"/>
      <c r="C638" s="3"/>
      <c r="D638" s="3"/>
      <c r="E638" s="3"/>
      <c r="F638" s="3"/>
      <c r="G638" s="3"/>
      <c r="J638" s="4"/>
      <c r="L638" s="5"/>
      <c r="M638" s="5"/>
      <c r="N638" s="5"/>
      <c r="O638" s="5"/>
      <c r="P638" s="5"/>
    </row>
    <row r="639" spans="1:16" ht="15.75" customHeight="1" x14ac:dyDescent="0.25">
      <c r="A639" s="2"/>
      <c r="B639" s="3"/>
      <c r="C639" s="3"/>
      <c r="D639" s="3"/>
      <c r="E639" s="3"/>
      <c r="F639" s="3"/>
      <c r="G639" s="3"/>
      <c r="J639" s="4"/>
      <c r="L639" s="5"/>
      <c r="M639" s="5"/>
      <c r="N639" s="5"/>
      <c r="O639" s="5"/>
      <c r="P639" s="5"/>
    </row>
    <row r="640" spans="1:16" ht="15.75" customHeight="1" x14ac:dyDescent="0.25">
      <c r="A640" s="2"/>
      <c r="B640" s="3"/>
      <c r="C640" s="3"/>
      <c r="D640" s="3"/>
      <c r="E640" s="3"/>
      <c r="F640" s="3"/>
      <c r="G640" s="3"/>
      <c r="J640" s="4"/>
      <c r="L640" s="5"/>
      <c r="M640" s="5"/>
      <c r="N640" s="5"/>
      <c r="O640" s="5"/>
      <c r="P640" s="5"/>
    </row>
    <row r="641" spans="1:16" ht="15.75" customHeight="1" x14ac:dyDescent="0.25">
      <c r="A641" s="2"/>
      <c r="B641" s="3"/>
      <c r="C641" s="3"/>
      <c r="D641" s="3"/>
      <c r="E641" s="3"/>
      <c r="F641" s="3"/>
      <c r="G641" s="3"/>
      <c r="J641" s="4"/>
      <c r="L641" s="5"/>
      <c r="M641" s="5"/>
      <c r="N641" s="5"/>
      <c r="O641" s="5"/>
      <c r="P641" s="5"/>
    </row>
    <row r="642" spans="1:16" ht="15.75" customHeight="1" x14ac:dyDescent="0.25">
      <c r="A642" s="2"/>
      <c r="B642" s="3"/>
      <c r="C642" s="3"/>
      <c r="D642" s="3"/>
      <c r="E642" s="3"/>
      <c r="F642" s="3"/>
      <c r="G642" s="3"/>
      <c r="J642" s="4"/>
      <c r="L642" s="5"/>
      <c r="M642" s="5"/>
      <c r="N642" s="5"/>
      <c r="O642" s="5"/>
      <c r="P642" s="5"/>
    </row>
    <row r="643" spans="1:16" ht="15.75" customHeight="1" x14ac:dyDescent="0.25">
      <c r="A643" s="2"/>
      <c r="B643" s="3"/>
      <c r="C643" s="3"/>
      <c r="D643" s="3"/>
      <c r="E643" s="3"/>
      <c r="F643" s="3"/>
      <c r="G643" s="3"/>
      <c r="J643" s="4"/>
      <c r="L643" s="5"/>
      <c r="M643" s="5"/>
      <c r="N643" s="5"/>
      <c r="O643" s="5"/>
      <c r="P643" s="5"/>
    </row>
    <row r="644" spans="1:16" ht="15.75" customHeight="1" x14ac:dyDescent="0.25">
      <c r="A644" s="2"/>
      <c r="B644" s="3"/>
      <c r="C644" s="3"/>
      <c r="D644" s="3"/>
      <c r="E644" s="3"/>
      <c r="F644" s="3"/>
      <c r="G644" s="3"/>
      <c r="J644" s="4"/>
      <c r="L644" s="5"/>
      <c r="M644" s="5"/>
      <c r="N644" s="5"/>
      <c r="O644" s="5"/>
      <c r="P644" s="5"/>
    </row>
    <row r="645" spans="1:16" ht="15.75" customHeight="1" x14ac:dyDescent="0.25">
      <c r="A645" s="2"/>
      <c r="B645" s="3"/>
      <c r="C645" s="3"/>
      <c r="D645" s="3"/>
      <c r="E645" s="3"/>
      <c r="F645" s="3"/>
      <c r="G645" s="3"/>
      <c r="J645" s="4"/>
      <c r="L645" s="5"/>
      <c r="M645" s="5"/>
      <c r="N645" s="5"/>
      <c r="O645" s="5"/>
      <c r="P645" s="5"/>
    </row>
    <row r="646" spans="1:16" ht="15.75" customHeight="1" x14ac:dyDescent="0.25">
      <c r="A646" s="2"/>
      <c r="B646" s="3"/>
      <c r="C646" s="3"/>
      <c r="D646" s="3"/>
      <c r="E646" s="3"/>
      <c r="F646" s="3"/>
      <c r="G646" s="3"/>
      <c r="J646" s="4"/>
      <c r="L646" s="5"/>
      <c r="M646" s="5"/>
      <c r="N646" s="5"/>
      <c r="O646" s="5"/>
      <c r="P646" s="5"/>
    </row>
    <row r="647" spans="1:16" ht="15.75" customHeight="1" x14ac:dyDescent="0.25">
      <c r="A647" s="2"/>
      <c r="B647" s="3"/>
      <c r="C647" s="3"/>
      <c r="D647" s="3"/>
      <c r="E647" s="3"/>
      <c r="F647" s="3"/>
      <c r="G647" s="3"/>
      <c r="J647" s="4"/>
      <c r="L647" s="5"/>
      <c r="M647" s="5"/>
      <c r="N647" s="5"/>
      <c r="O647" s="5"/>
      <c r="P647" s="5"/>
    </row>
    <row r="648" spans="1:16" ht="15.75" customHeight="1" x14ac:dyDescent="0.25">
      <c r="A648" s="2"/>
      <c r="B648" s="3"/>
      <c r="C648" s="3"/>
      <c r="D648" s="3"/>
      <c r="E648" s="3"/>
      <c r="F648" s="3"/>
      <c r="G648" s="3"/>
      <c r="J648" s="4"/>
      <c r="L648" s="5"/>
      <c r="M648" s="5"/>
      <c r="N648" s="5"/>
      <c r="O648" s="5"/>
      <c r="P648" s="5"/>
    </row>
    <row r="649" spans="1:16" ht="15.75" customHeight="1" x14ac:dyDescent="0.25">
      <c r="A649" s="2"/>
      <c r="B649" s="3"/>
      <c r="C649" s="3"/>
      <c r="D649" s="3"/>
      <c r="E649" s="3"/>
      <c r="F649" s="3"/>
      <c r="G649" s="3"/>
      <c r="J649" s="4"/>
      <c r="L649" s="5"/>
      <c r="M649" s="5"/>
      <c r="N649" s="5"/>
      <c r="O649" s="5"/>
      <c r="P649" s="5"/>
    </row>
    <row r="650" spans="1:16" ht="15.75" customHeight="1" x14ac:dyDescent="0.25">
      <c r="A650" s="2"/>
      <c r="B650" s="3"/>
      <c r="C650" s="3"/>
      <c r="D650" s="3"/>
      <c r="E650" s="3"/>
      <c r="F650" s="3"/>
      <c r="G650" s="3"/>
      <c r="J650" s="4"/>
      <c r="L650" s="5"/>
      <c r="M650" s="5"/>
      <c r="N650" s="5"/>
      <c r="O650" s="5"/>
      <c r="P650" s="5"/>
    </row>
    <row r="651" spans="1:16" ht="15.75" customHeight="1" x14ac:dyDescent="0.25">
      <c r="A651" s="2"/>
      <c r="B651" s="3"/>
      <c r="C651" s="3"/>
      <c r="D651" s="3"/>
      <c r="E651" s="3"/>
      <c r="F651" s="3"/>
      <c r="G651" s="3"/>
      <c r="J651" s="4"/>
      <c r="L651" s="5"/>
      <c r="M651" s="5"/>
      <c r="N651" s="5"/>
      <c r="O651" s="5"/>
      <c r="P651" s="5"/>
    </row>
    <row r="652" spans="1:16" ht="15.75" customHeight="1" x14ac:dyDescent="0.25">
      <c r="A652" s="2"/>
      <c r="B652" s="3"/>
      <c r="C652" s="3"/>
      <c r="D652" s="3"/>
      <c r="E652" s="3"/>
      <c r="F652" s="3"/>
      <c r="G652" s="3"/>
      <c r="J652" s="4"/>
      <c r="L652" s="5"/>
      <c r="M652" s="5"/>
      <c r="N652" s="5"/>
      <c r="O652" s="5"/>
      <c r="P652" s="5"/>
    </row>
    <row r="653" spans="1:16" ht="15.75" customHeight="1" x14ac:dyDescent="0.25">
      <c r="A653" s="2"/>
      <c r="B653" s="3"/>
      <c r="C653" s="3"/>
      <c r="D653" s="3"/>
      <c r="E653" s="3"/>
      <c r="F653" s="3"/>
      <c r="G653" s="3"/>
      <c r="J653" s="4"/>
      <c r="L653" s="5"/>
      <c r="M653" s="5"/>
      <c r="N653" s="5"/>
      <c r="O653" s="5"/>
      <c r="P653" s="5"/>
    </row>
    <row r="654" spans="1:16" ht="15.75" customHeight="1" x14ac:dyDescent="0.25">
      <c r="A654" s="2"/>
      <c r="B654" s="3"/>
      <c r="C654" s="3"/>
      <c r="D654" s="3"/>
      <c r="E654" s="3"/>
      <c r="F654" s="3"/>
      <c r="G654" s="3"/>
      <c r="J654" s="4"/>
      <c r="L654" s="5"/>
      <c r="M654" s="5"/>
      <c r="N654" s="5"/>
      <c r="O654" s="5"/>
      <c r="P654" s="5"/>
    </row>
    <row r="655" spans="1:16" ht="15.75" customHeight="1" x14ac:dyDescent="0.25">
      <c r="A655" s="2"/>
      <c r="B655" s="3"/>
      <c r="C655" s="3"/>
      <c r="D655" s="3"/>
      <c r="E655" s="3"/>
      <c r="F655" s="3"/>
      <c r="G655" s="3"/>
      <c r="J655" s="4"/>
      <c r="L655" s="5"/>
      <c r="M655" s="5"/>
      <c r="N655" s="5"/>
      <c r="O655" s="5"/>
      <c r="P655" s="5"/>
    </row>
    <row r="656" spans="1:16" ht="15.75" customHeight="1" x14ac:dyDescent="0.25">
      <c r="A656" s="2"/>
      <c r="B656" s="3"/>
      <c r="C656" s="3"/>
      <c r="D656" s="3"/>
      <c r="E656" s="3"/>
      <c r="F656" s="3"/>
      <c r="G656" s="3"/>
      <c r="J656" s="4"/>
      <c r="L656" s="5"/>
      <c r="M656" s="5"/>
      <c r="N656" s="5"/>
      <c r="O656" s="5"/>
      <c r="P656" s="5"/>
    </row>
    <row r="657" spans="1:16" ht="15.75" customHeight="1" x14ac:dyDescent="0.25">
      <c r="A657" s="2"/>
      <c r="B657" s="3"/>
      <c r="C657" s="3"/>
      <c r="D657" s="3"/>
      <c r="E657" s="3"/>
      <c r="F657" s="3"/>
      <c r="G657" s="3"/>
      <c r="J657" s="4"/>
      <c r="L657" s="5"/>
      <c r="M657" s="5"/>
      <c r="N657" s="5"/>
      <c r="O657" s="5"/>
      <c r="P657" s="5"/>
    </row>
    <row r="658" spans="1:16" ht="15.75" customHeight="1" x14ac:dyDescent="0.25">
      <c r="A658" s="2"/>
      <c r="B658" s="3"/>
      <c r="C658" s="3"/>
      <c r="D658" s="3"/>
      <c r="E658" s="3"/>
      <c r="F658" s="3"/>
      <c r="G658" s="3"/>
      <c r="J658" s="4"/>
      <c r="L658" s="5"/>
      <c r="M658" s="5"/>
      <c r="N658" s="5"/>
      <c r="O658" s="5"/>
      <c r="P658" s="5"/>
    </row>
    <row r="659" spans="1:16" ht="15.75" customHeight="1" x14ac:dyDescent="0.25">
      <c r="A659" s="2"/>
      <c r="B659" s="3"/>
      <c r="C659" s="3"/>
      <c r="D659" s="3"/>
      <c r="E659" s="3"/>
      <c r="F659" s="3"/>
      <c r="G659" s="3"/>
      <c r="J659" s="4"/>
      <c r="L659" s="5"/>
      <c r="M659" s="5"/>
      <c r="N659" s="5"/>
      <c r="O659" s="5"/>
      <c r="P659" s="5"/>
    </row>
    <row r="660" spans="1:16" ht="15.75" customHeight="1" x14ac:dyDescent="0.25">
      <c r="A660" s="2"/>
      <c r="B660" s="3"/>
      <c r="C660" s="3"/>
      <c r="D660" s="3"/>
      <c r="E660" s="3"/>
      <c r="F660" s="3"/>
      <c r="G660" s="3"/>
      <c r="J660" s="4"/>
      <c r="L660" s="5"/>
      <c r="M660" s="5"/>
      <c r="N660" s="5"/>
      <c r="O660" s="5"/>
      <c r="P660" s="5"/>
    </row>
    <row r="661" spans="1:16" ht="15.75" customHeight="1" x14ac:dyDescent="0.25">
      <c r="A661" s="2"/>
      <c r="B661" s="3"/>
      <c r="C661" s="3"/>
      <c r="D661" s="3"/>
      <c r="E661" s="3"/>
      <c r="F661" s="3"/>
      <c r="G661" s="3"/>
      <c r="J661" s="4"/>
      <c r="L661" s="5"/>
      <c r="M661" s="5"/>
      <c r="N661" s="5"/>
      <c r="O661" s="5"/>
      <c r="P661" s="5"/>
    </row>
    <row r="662" spans="1:16" ht="15.75" customHeight="1" x14ac:dyDescent="0.25">
      <c r="A662" s="2"/>
      <c r="B662" s="3"/>
      <c r="C662" s="3"/>
      <c r="D662" s="3"/>
      <c r="E662" s="3"/>
      <c r="F662" s="3"/>
      <c r="G662" s="3"/>
      <c r="J662" s="4"/>
      <c r="L662" s="5"/>
      <c r="M662" s="5"/>
      <c r="N662" s="5"/>
      <c r="O662" s="5"/>
      <c r="P662" s="5"/>
    </row>
    <row r="663" spans="1:16" ht="15.75" customHeight="1" x14ac:dyDescent="0.25">
      <c r="A663" s="2"/>
      <c r="B663" s="3"/>
      <c r="C663" s="3"/>
      <c r="D663" s="3"/>
      <c r="E663" s="3"/>
      <c r="F663" s="3"/>
      <c r="G663" s="3"/>
      <c r="J663" s="4"/>
      <c r="L663" s="5"/>
      <c r="M663" s="5"/>
      <c r="N663" s="5"/>
      <c r="O663" s="5"/>
      <c r="P663" s="5"/>
    </row>
    <row r="664" spans="1:16" ht="15.75" customHeight="1" x14ac:dyDescent="0.25">
      <c r="A664" s="2"/>
      <c r="B664" s="3"/>
      <c r="C664" s="3"/>
      <c r="D664" s="3"/>
      <c r="E664" s="3"/>
      <c r="F664" s="3"/>
      <c r="G664" s="3"/>
      <c r="J664" s="4"/>
      <c r="L664" s="5"/>
      <c r="M664" s="5"/>
      <c r="N664" s="5"/>
      <c r="O664" s="5"/>
      <c r="P664" s="5"/>
    </row>
    <row r="665" spans="1:16" ht="15.75" customHeight="1" x14ac:dyDescent="0.25">
      <c r="A665" s="2"/>
      <c r="B665" s="3"/>
      <c r="C665" s="3"/>
      <c r="D665" s="3"/>
      <c r="E665" s="3"/>
      <c r="F665" s="3"/>
      <c r="G665" s="3"/>
      <c r="J665" s="4"/>
      <c r="L665" s="5"/>
      <c r="M665" s="5"/>
      <c r="N665" s="5"/>
      <c r="O665" s="5"/>
      <c r="P665" s="5"/>
    </row>
    <row r="666" spans="1:16" ht="15.75" customHeight="1" x14ac:dyDescent="0.25">
      <c r="A666" s="2"/>
      <c r="B666" s="3"/>
      <c r="C666" s="3"/>
      <c r="D666" s="3"/>
      <c r="E666" s="3"/>
      <c r="F666" s="3"/>
      <c r="G666" s="3"/>
      <c r="J666" s="4"/>
      <c r="L666" s="5"/>
      <c r="M666" s="5"/>
      <c r="N666" s="5"/>
      <c r="O666" s="5"/>
      <c r="P666" s="5"/>
    </row>
    <row r="667" spans="1:16" ht="15.75" customHeight="1" x14ac:dyDescent="0.25">
      <c r="A667" s="2"/>
      <c r="B667" s="3"/>
      <c r="C667" s="3"/>
      <c r="D667" s="3"/>
      <c r="E667" s="3"/>
      <c r="F667" s="3"/>
      <c r="G667" s="3"/>
      <c r="J667" s="4"/>
      <c r="L667" s="5"/>
      <c r="M667" s="5"/>
      <c r="N667" s="5"/>
      <c r="O667" s="5"/>
      <c r="P667" s="5"/>
    </row>
    <row r="668" spans="1:16" ht="15.75" customHeight="1" x14ac:dyDescent="0.25">
      <c r="A668" s="2"/>
      <c r="B668" s="3"/>
      <c r="C668" s="3"/>
      <c r="D668" s="3"/>
      <c r="E668" s="3"/>
      <c r="F668" s="3"/>
      <c r="G668" s="3"/>
      <c r="J668" s="4"/>
      <c r="L668" s="5"/>
      <c r="M668" s="5"/>
      <c r="N668" s="5"/>
      <c r="O668" s="5"/>
      <c r="P668" s="5"/>
    </row>
    <row r="669" spans="1:16" ht="15.75" customHeight="1" x14ac:dyDescent="0.25">
      <c r="A669" s="2"/>
      <c r="B669" s="3"/>
      <c r="C669" s="3"/>
      <c r="D669" s="3"/>
      <c r="E669" s="3"/>
      <c r="F669" s="3"/>
      <c r="G669" s="3"/>
      <c r="J669" s="4"/>
      <c r="L669" s="5"/>
      <c r="M669" s="5"/>
      <c r="N669" s="5"/>
      <c r="O669" s="5"/>
      <c r="P669" s="5"/>
    </row>
    <row r="670" spans="1:16" ht="15.75" customHeight="1" x14ac:dyDescent="0.25">
      <c r="A670" s="2"/>
      <c r="B670" s="3"/>
      <c r="C670" s="3"/>
      <c r="D670" s="3"/>
      <c r="E670" s="3"/>
      <c r="F670" s="3"/>
      <c r="G670" s="3"/>
      <c r="J670" s="4"/>
      <c r="L670" s="5"/>
      <c r="M670" s="5"/>
      <c r="N670" s="5"/>
      <c r="O670" s="5"/>
      <c r="P670" s="5"/>
    </row>
    <row r="671" spans="1:16" ht="15.75" customHeight="1" x14ac:dyDescent="0.25">
      <c r="A671" s="2"/>
      <c r="B671" s="3"/>
      <c r="C671" s="3"/>
      <c r="D671" s="3"/>
      <c r="E671" s="3"/>
      <c r="F671" s="3"/>
      <c r="G671" s="3"/>
      <c r="J671" s="4"/>
      <c r="L671" s="5"/>
      <c r="M671" s="5"/>
      <c r="N671" s="5"/>
      <c r="O671" s="5"/>
      <c r="P671" s="5"/>
    </row>
    <row r="672" spans="1:16" ht="15.75" customHeight="1" x14ac:dyDescent="0.25">
      <c r="A672" s="2"/>
      <c r="B672" s="3"/>
      <c r="C672" s="3"/>
      <c r="D672" s="3"/>
      <c r="E672" s="3"/>
      <c r="F672" s="3"/>
      <c r="G672" s="3"/>
      <c r="J672" s="4"/>
      <c r="L672" s="5"/>
      <c r="M672" s="5"/>
      <c r="N672" s="5"/>
      <c r="O672" s="5"/>
      <c r="P672" s="5"/>
    </row>
    <row r="673" spans="1:16" ht="15.75" customHeight="1" x14ac:dyDescent="0.25">
      <c r="A673" s="2"/>
      <c r="B673" s="3"/>
      <c r="C673" s="3"/>
      <c r="D673" s="3"/>
      <c r="E673" s="3"/>
      <c r="F673" s="3"/>
      <c r="G673" s="3"/>
      <c r="J673" s="4"/>
      <c r="L673" s="5"/>
      <c r="M673" s="5"/>
      <c r="N673" s="5"/>
      <c r="O673" s="5"/>
      <c r="P673" s="5"/>
    </row>
    <row r="674" spans="1:16" ht="15.75" customHeight="1" x14ac:dyDescent="0.25">
      <c r="A674" s="2"/>
      <c r="B674" s="3"/>
      <c r="C674" s="3"/>
      <c r="D674" s="3"/>
      <c r="E674" s="3"/>
      <c r="F674" s="3"/>
      <c r="G674" s="3"/>
      <c r="J674" s="4"/>
      <c r="L674" s="5"/>
      <c r="M674" s="5"/>
      <c r="N674" s="5"/>
      <c r="O674" s="5"/>
      <c r="P674" s="5"/>
    </row>
    <row r="675" spans="1:16" ht="15.75" customHeight="1" x14ac:dyDescent="0.25">
      <c r="A675" s="2"/>
      <c r="B675" s="3"/>
      <c r="C675" s="3"/>
      <c r="D675" s="3"/>
      <c r="E675" s="3"/>
      <c r="F675" s="3"/>
      <c r="G675" s="3"/>
      <c r="J675" s="4"/>
      <c r="L675" s="5"/>
      <c r="M675" s="5"/>
      <c r="N675" s="5"/>
      <c r="O675" s="5"/>
      <c r="P675" s="5"/>
    </row>
    <row r="676" spans="1:16" ht="15.75" customHeight="1" x14ac:dyDescent="0.25">
      <c r="A676" s="2"/>
      <c r="B676" s="3"/>
      <c r="C676" s="3"/>
      <c r="D676" s="3"/>
      <c r="E676" s="3"/>
      <c r="F676" s="3"/>
      <c r="G676" s="3"/>
      <c r="J676" s="4"/>
      <c r="L676" s="5"/>
      <c r="M676" s="5"/>
      <c r="N676" s="5"/>
      <c r="O676" s="5"/>
      <c r="P676" s="5"/>
    </row>
    <row r="677" spans="1:16" ht="15.75" customHeight="1" x14ac:dyDescent="0.25">
      <c r="A677" s="2"/>
      <c r="B677" s="3"/>
      <c r="C677" s="3"/>
      <c r="D677" s="3"/>
      <c r="E677" s="3"/>
      <c r="F677" s="3"/>
      <c r="G677" s="3"/>
      <c r="J677" s="4"/>
      <c r="L677" s="5"/>
      <c r="M677" s="5"/>
      <c r="N677" s="5"/>
      <c r="O677" s="5"/>
      <c r="P677" s="5"/>
    </row>
    <row r="678" spans="1:16" ht="15.75" customHeight="1" x14ac:dyDescent="0.25">
      <c r="A678" s="2"/>
      <c r="B678" s="3"/>
      <c r="C678" s="3"/>
      <c r="D678" s="3"/>
      <c r="E678" s="3"/>
      <c r="F678" s="3"/>
      <c r="G678" s="3"/>
      <c r="J678" s="4"/>
      <c r="L678" s="5"/>
      <c r="M678" s="5"/>
      <c r="N678" s="5"/>
      <c r="O678" s="5"/>
      <c r="P678" s="5"/>
    </row>
    <row r="679" spans="1:16" ht="15.75" customHeight="1" x14ac:dyDescent="0.25">
      <c r="A679" s="2"/>
      <c r="B679" s="3"/>
      <c r="C679" s="3"/>
      <c r="D679" s="3"/>
      <c r="E679" s="3"/>
      <c r="F679" s="3"/>
      <c r="G679" s="3"/>
      <c r="J679" s="4"/>
      <c r="L679" s="5"/>
      <c r="M679" s="5"/>
      <c r="N679" s="5"/>
      <c r="O679" s="5"/>
      <c r="P679" s="5"/>
    </row>
    <row r="680" spans="1:16" ht="15.75" customHeight="1" x14ac:dyDescent="0.25">
      <c r="A680" s="2"/>
      <c r="B680" s="3"/>
      <c r="C680" s="3"/>
      <c r="D680" s="3"/>
      <c r="E680" s="3"/>
      <c r="F680" s="3"/>
      <c r="G680" s="3"/>
      <c r="J680" s="4"/>
      <c r="L680" s="5"/>
      <c r="M680" s="5"/>
      <c r="N680" s="5"/>
      <c r="O680" s="5"/>
      <c r="P680" s="5"/>
    </row>
    <row r="681" spans="1:16" ht="15.75" customHeight="1" x14ac:dyDescent="0.25">
      <c r="A681" s="2"/>
      <c r="B681" s="3"/>
      <c r="C681" s="3"/>
      <c r="D681" s="3"/>
      <c r="E681" s="3"/>
      <c r="F681" s="3"/>
      <c r="G681" s="3"/>
      <c r="J681" s="4"/>
      <c r="L681" s="5"/>
      <c r="M681" s="5"/>
      <c r="N681" s="5"/>
      <c r="O681" s="5"/>
      <c r="P681" s="5"/>
    </row>
    <row r="682" spans="1:16" ht="15.75" customHeight="1" x14ac:dyDescent="0.25">
      <c r="A682" s="2"/>
      <c r="B682" s="3"/>
      <c r="C682" s="3"/>
      <c r="D682" s="3"/>
      <c r="E682" s="3"/>
      <c r="F682" s="3"/>
      <c r="G682" s="3"/>
      <c r="J682" s="4"/>
      <c r="L682" s="5"/>
      <c r="M682" s="5"/>
      <c r="N682" s="5"/>
      <c r="O682" s="5"/>
      <c r="P682" s="5"/>
    </row>
    <row r="683" spans="1:16" ht="15.75" customHeight="1" x14ac:dyDescent="0.25">
      <c r="A683" s="2"/>
      <c r="B683" s="3"/>
      <c r="C683" s="3"/>
      <c r="D683" s="3"/>
      <c r="E683" s="3"/>
      <c r="F683" s="3"/>
      <c r="G683" s="3"/>
      <c r="J683" s="4"/>
      <c r="L683" s="5"/>
      <c r="M683" s="5"/>
      <c r="N683" s="5"/>
      <c r="O683" s="5"/>
      <c r="P683" s="5"/>
    </row>
    <row r="684" spans="1:16" ht="15.75" customHeight="1" x14ac:dyDescent="0.25">
      <c r="A684" s="2"/>
      <c r="B684" s="3"/>
      <c r="C684" s="3"/>
      <c r="D684" s="3"/>
      <c r="E684" s="3"/>
      <c r="F684" s="3"/>
      <c r="G684" s="3"/>
      <c r="J684" s="4"/>
      <c r="L684" s="5"/>
      <c r="M684" s="5"/>
      <c r="N684" s="5"/>
      <c r="O684" s="5"/>
      <c r="P684" s="5"/>
    </row>
    <row r="685" spans="1:16" ht="15.75" customHeight="1" x14ac:dyDescent="0.25">
      <c r="A685" s="2"/>
      <c r="B685" s="3"/>
      <c r="C685" s="3"/>
      <c r="D685" s="3"/>
      <c r="E685" s="3"/>
      <c r="F685" s="3"/>
      <c r="G685" s="3"/>
      <c r="J685" s="4"/>
      <c r="L685" s="5"/>
      <c r="M685" s="5"/>
      <c r="N685" s="5"/>
      <c r="O685" s="5"/>
      <c r="P685" s="5"/>
    </row>
    <row r="686" spans="1:16" ht="15.75" customHeight="1" x14ac:dyDescent="0.25">
      <c r="A686" s="2"/>
      <c r="B686" s="3"/>
      <c r="C686" s="3"/>
      <c r="D686" s="3"/>
      <c r="E686" s="3"/>
      <c r="F686" s="3"/>
      <c r="G686" s="3"/>
      <c r="J686" s="4"/>
      <c r="L686" s="5"/>
      <c r="M686" s="5"/>
      <c r="N686" s="5"/>
      <c r="O686" s="5"/>
      <c r="P686" s="5"/>
    </row>
    <row r="687" spans="1:16" ht="15.75" customHeight="1" x14ac:dyDescent="0.25">
      <c r="A687" s="2"/>
      <c r="B687" s="3"/>
      <c r="C687" s="3"/>
      <c r="D687" s="3"/>
      <c r="E687" s="3"/>
      <c r="F687" s="3"/>
      <c r="G687" s="3"/>
      <c r="J687" s="4"/>
      <c r="L687" s="5"/>
      <c r="M687" s="5"/>
      <c r="N687" s="5"/>
      <c r="O687" s="5"/>
      <c r="P687" s="5"/>
    </row>
    <row r="688" spans="1:16" ht="15.75" customHeight="1" x14ac:dyDescent="0.25">
      <c r="A688" s="2"/>
      <c r="B688" s="3"/>
      <c r="C688" s="3"/>
      <c r="D688" s="3"/>
      <c r="E688" s="3"/>
      <c r="F688" s="3"/>
      <c r="G688" s="3"/>
      <c r="J688" s="4"/>
      <c r="L688" s="5"/>
      <c r="M688" s="5"/>
      <c r="N688" s="5"/>
      <c r="O688" s="5"/>
      <c r="P688" s="5"/>
    </row>
    <row r="689" spans="1:16" ht="15.75" customHeight="1" x14ac:dyDescent="0.25">
      <c r="A689" s="2"/>
      <c r="B689" s="3"/>
      <c r="C689" s="3"/>
      <c r="D689" s="3"/>
      <c r="E689" s="3"/>
      <c r="F689" s="3"/>
      <c r="G689" s="3"/>
      <c r="J689" s="4"/>
      <c r="L689" s="5"/>
      <c r="M689" s="5"/>
      <c r="N689" s="5"/>
      <c r="O689" s="5"/>
      <c r="P689" s="5"/>
    </row>
    <row r="690" spans="1:16" ht="15.75" customHeight="1" x14ac:dyDescent="0.25">
      <c r="A690" s="2"/>
      <c r="B690" s="3"/>
      <c r="C690" s="3"/>
      <c r="D690" s="3"/>
      <c r="E690" s="3"/>
      <c r="F690" s="3"/>
      <c r="G690" s="3"/>
      <c r="J690" s="4"/>
      <c r="L690" s="5"/>
      <c r="M690" s="5"/>
      <c r="N690" s="5"/>
      <c r="O690" s="5"/>
      <c r="P690" s="5"/>
    </row>
    <row r="691" spans="1:16" ht="15.75" customHeight="1" x14ac:dyDescent="0.25">
      <c r="A691" s="2"/>
      <c r="B691" s="3"/>
      <c r="C691" s="3"/>
      <c r="D691" s="3"/>
      <c r="E691" s="3"/>
      <c r="F691" s="3"/>
      <c r="G691" s="3"/>
      <c r="J691" s="4"/>
      <c r="L691" s="5"/>
      <c r="M691" s="5"/>
      <c r="N691" s="5"/>
      <c r="O691" s="5"/>
      <c r="P691" s="5"/>
    </row>
    <row r="692" spans="1:16" ht="15.75" customHeight="1" x14ac:dyDescent="0.25">
      <c r="A692" s="2"/>
      <c r="B692" s="3"/>
      <c r="C692" s="3"/>
      <c r="D692" s="3"/>
      <c r="E692" s="3"/>
      <c r="F692" s="3"/>
      <c r="G692" s="3"/>
      <c r="J692" s="4"/>
      <c r="L692" s="5"/>
      <c r="M692" s="5"/>
      <c r="N692" s="5"/>
      <c r="O692" s="5"/>
      <c r="P692" s="5"/>
    </row>
    <row r="693" spans="1:16" ht="15.75" customHeight="1" x14ac:dyDescent="0.25">
      <c r="A693" s="2"/>
      <c r="B693" s="3"/>
      <c r="C693" s="3"/>
      <c r="D693" s="3"/>
      <c r="E693" s="3"/>
      <c r="F693" s="3"/>
      <c r="G693" s="3"/>
      <c r="J693" s="4"/>
      <c r="L693" s="5"/>
      <c r="M693" s="5"/>
      <c r="N693" s="5"/>
      <c r="O693" s="5"/>
      <c r="P693" s="5"/>
    </row>
    <row r="694" spans="1:16" ht="15.75" customHeight="1" x14ac:dyDescent="0.25">
      <c r="A694" s="2"/>
      <c r="B694" s="3"/>
      <c r="C694" s="3"/>
      <c r="D694" s="3"/>
      <c r="E694" s="3"/>
      <c r="F694" s="3"/>
      <c r="G694" s="3"/>
      <c r="J694" s="4"/>
      <c r="L694" s="5"/>
      <c r="M694" s="5"/>
      <c r="N694" s="5"/>
      <c r="O694" s="5"/>
      <c r="P694" s="5"/>
    </row>
    <row r="695" spans="1:16" ht="15.75" customHeight="1" x14ac:dyDescent="0.25">
      <c r="A695" s="2"/>
      <c r="B695" s="3"/>
      <c r="C695" s="3"/>
      <c r="D695" s="3"/>
      <c r="E695" s="3"/>
      <c r="F695" s="3"/>
      <c r="G695" s="3"/>
      <c r="J695" s="4"/>
      <c r="L695" s="5"/>
      <c r="M695" s="5"/>
      <c r="N695" s="5"/>
      <c r="O695" s="5"/>
      <c r="P695" s="5"/>
    </row>
    <row r="696" spans="1:16" ht="15.75" customHeight="1" x14ac:dyDescent="0.25">
      <c r="A696" s="2"/>
      <c r="B696" s="3"/>
      <c r="C696" s="3"/>
      <c r="D696" s="3"/>
      <c r="E696" s="3"/>
      <c r="F696" s="3"/>
      <c r="G696" s="3"/>
      <c r="J696" s="4"/>
      <c r="L696" s="5"/>
      <c r="M696" s="5"/>
      <c r="N696" s="5"/>
      <c r="O696" s="5"/>
      <c r="P696" s="5"/>
    </row>
    <row r="697" spans="1:16" ht="15.75" customHeight="1" x14ac:dyDescent="0.25">
      <c r="A697" s="2"/>
      <c r="B697" s="3"/>
      <c r="C697" s="3"/>
      <c r="D697" s="3"/>
      <c r="E697" s="3"/>
      <c r="F697" s="3"/>
      <c r="G697" s="3"/>
      <c r="J697" s="4"/>
      <c r="L697" s="5"/>
      <c r="M697" s="5"/>
      <c r="N697" s="5"/>
      <c r="O697" s="5"/>
      <c r="P697" s="5"/>
    </row>
    <row r="698" spans="1:16" ht="15.75" customHeight="1" x14ac:dyDescent="0.25">
      <c r="A698" s="2"/>
      <c r="B698" s="3"/>
      <c r="C698" s="3"/>
      <c r="D698" s="3"/>
      <c r="E698" s="3"/>
      <c r="F698" s="3"/>
      <c r="G698" s="3"/>
      <c r="J698" s="4"/>
      <c r="L698" s="5"/>
      <c r="M698" s="5"/>
      <c r="N698" s="5"/>
      <c r="O698" s="5"/>
      <c r="P698" s="5"/>
    </row>
    <row r="699" spans="1:16" ht="15.75" customHeight="1" x14ac:dyDescent="0.25">
      <c r="A699" s="2"/>
      <c r="B699" s="3"/>
      <c r="C699" s="3"/>
      <c r="D699" s="3"/>
      <c r="E699" s="3"/>
      <c r="F699" s="3"/>
      <c r="G699" s="3"/>
      <c r="J699" s="4"/>
      <c r="L699" s="5"/>
      <c r="M699" s="5"/>
      <c r="N699" s="5"/>
      <c r="O699" s="5"/>
      <c r="P699" s="5"/>
    </row>
    <row r="700" spans="1:16" ht="15.75" customHeight="1" x14ac:dyDescent="0.25">
      <c r="A700" s="2"/>
      <c r="B700" s="3"/>
      <c r="C700" s="3"/>
      <c r="D700" s="3"/>
      <c r="E700" s="3"/>
      <c r="F700" s="3"/>
      <c r="G700" s="3"/>
      <c r="J700" s="4"/>
      <c r="L700" s="5"/>
      <c r="M700" s="5"/>
      <c r="N700" s="5"/>
      <c r="O700" s="5"/>
      <c r="P700" s="5"/>
    </row>
    <row r="701" spans="1:16" ht="15.75" customHeight="1" x14ac:dyDescent="0.25">
      <c r="A701" s="2"/>
      <c r="B701" s="3"/>
      <c r="C701" s="3"/>
      <c r="D701" s="3"/>
      <c r="E701" s="3"/>
      <c r="F701" s="3"/>
      <c r="G701" s="3"/>
      <c r="J701" s="4"/>
      <c r="L701" s="5"/>
      <c r="M701" s="5"/>
      <c r="N701" s="5"/>
      <c r="O701" s="5"/>
      <c r="P701" s="5"/>
    </row>
    <row r="702" spans="1:16" ht="15.75" customHeight="1" x14ac:dyDescent="0.25">
      <c r="A702" s="2"/>
      <c r="B702" s="3"/>
      <c r="C702" s="3"/>
      <c r="D702" s="3"/>
      <c r="E702" s="3"/>
      <c r="F702" s="3"/>
      <c r="G702" s="3"/>
      <c r="J702" s="4"/>
      <c r="L702" s="5"/>
      <c r="M702" s="5"/>
      <c r="N702" s="5"/>
      <c r="O702" s="5"/>
      <c r="P702" s="5"/>
    </row>
    <row r="703" spans="1:16" ht="15.75" customHeight="1" x14ac:dyDescent="0.25">
      <c r="A703" s="2"/>
      <c r="B703" s="3"/>
      <c r="C703" s="3"/>
      <c r="D703" s="3"/>
      <c r="E703" s="3"/>
      <c r="F703" s="3"/>
      <c r="G703" s="3"/>
      <c r="J703" s="4"/>
      <c r="L703" s="5"/>
      <c r="M703" s="5"/>
      <c r="N703" s="5"/>
      <c r="O703" s="5"/>
      <c r="P703" s="5"/>
    </row>
    <row r="704" spans="1:16" ht="15.75" customHeight="1" x14ac:dyDescent="0.25">
      <c r="A704" s="2"/>
      <c r="B704" s="3"/>
      <c r="C704" s="3"/>
      <c r="D704" s="3"/>
      <c r="E704" s="3"/>
      <c r="F704" s="3"/>
      <c r="G704" s="3"/>
      <c r="J704" s="4"/>
      <c r="L704" s="5"/>
      <c r="M704" s="5"/>
      <c r="N704" s="5"/>
      <c r="O704" s="5"/>
      <c r="P704" s="5"/>
    </row>
    <row r="705" spans="1:16" ht="15.75" customHeight="1" x14ac:dyDescent="0.25">
      <c r="A705" s="2"/>
      <c r="B705" s="3"/>
      <c r="C705" s="3"/>
      <c r="D705" s="3"/>
      <c r="E705" s="3"/>
      <c r="F705" s="3"/>
      <c r="G705" s="3"/>
      <c r="J705" s="4"/>
      <c r="L705" s="5"/>
      <c r="M705" s="5"/>
      <c r="N705" s="5"/>
      <c r="O705" s="5"/>
      <c r="P705" s="5"/>
    </row>
    <row r="706" spans="1:16" ht="15.75" customHeight="1" x14ac:dyDescent="0.25">
      <c r="A706" s="2"/>
      <c r="B706" s="3"/>
      <c r="C706" s="3"/>
      <c r="D706" s="3"/>
      <c r="E706" s="3"/>
      <c r="F706" s="3"/>
      <c r="G706" s="3"/>
      <c r="J706" s="4"/>
      <c r="L706" s="5"/>
      <c r="M706" s="5"/>
      <c r="N706" s="5"/>
      <c r="O706" s="5"/>
      <c r="P706" s="5"/>
    </row>
    <row r="707" spans="1:16" ht="15.75" customHeight="1" x14ac:dyDescent="0.25">
      <c r="A707" s="2"/>
      <c r="B707" s="3"/>
      <c r="C707" s="3"/>
      <c r="D707" s="3"/>
      <c r="E707" s="3"/>
      <c r="F707" s="3"/>
      <c r="G707" s="3"/>
      <c r="J707" s="4"/>
      <c r="L707" s="5"/>
      <c r="M707" s="5"/>
      <c r="N707" s="5"/>
      <c r="O707" s="5"/>
      <c r="P707" s="5"/>
    </row>
    <row r="708" spans="1:16" ht="15.75" customHeight="1" x14ac:dyDescent="0.25">
      <c r="A708" s="2"/>
      <c r="B708" s="3"/>
      <c r="C708" s="3"/>
      <c r="D708" s="3"/>
      <c r="E708" s="3"/>
      <c r="F708" s="3"/>
      <c r="G708" s="3"/>
      <c r="J708" s="4"/>
      <c r="L708" s="5"/>
      <c r="M708" s="5"/>
      <c r="N708" s="5"/>
      <c r="O708" s="5"/>
      <c r="P708" s="5"/>
    </row>
    <row r="709" spans="1:16" ht="15.75" customHeight="1" x14ac:dyDescent="0.25">
      <c r="A709" s="2"/>
      <c r="B709" s="3"/>
      <c r="C709" s="3"/>
      <c r="D709" s="3"/>
      <c r="E709" s="3"/>
      <c r="F709" s="3"/>
      <c r="G709" s="3"/>
      <c r="J709" s="4"/>
      <c r="L709" s="5"/>
      <c r="M709" s="5"/>
      <c r="N709" s="5"/>
      <c r="O709" s="5"/>
      <c r="P709" s="5"/>
    </row>
    <row r="710" spans="1:16" ht="15.75" customHeight="1" x14ac:dyDescent="0.25">
      <c r="A710" s="2"/>
      <c r="B710" s="3"/>
      <c r="C710" s="3"/>
      <c r="D710" s="3"/>
      <c r="E710" s="3"/>
      <c r="F710" s="3"/>
      <c r="G710" s="3"/>
      <c r="J710" s="4"/>
      <c r="L710" s="5"/>
      <c r="M710" s="5"/>
      <c r="N710" s="5"/>
      <c r="O710" s="5"/>
      <c r="P710" s="5"/>
    </row>
    <row r="711" spans="1:16" ht="15.75" customHeight="1" x14ac:dyDescent="0.25">
      <c r="A711" s="2"/>
      <c r="B711" s="3"/>
      <c r="C711" s="3"/>
      <c r="D711" s="3"/>
      <c r="E711" s="3"/>
      <c r="F711" s="3"/>
      <c r="G711" s="3"/>
      <c r="J711" s="4"/>
      <c r="L711" s="5"/>
      <c r="M711" s="5"/>
      <c r="N711" s="5"/>
      <c r="O711" s="5"/>
      <c r="P711" s="5"/>
    </row>
    <row r="712" spans="1:16" ht="15.75" customHeight="1" x14ac:dyDescent="0.25">
      <c r="A712" s="2"/>
      <c r="B712" s="3"/>
      <c r="C712" s="3"/>
      <c r="D712" s="3"/>
      <c r="E712" s="3"/>
      <c r="F712" s="3"/>
      <c r="G712" s="3"/>
      <c r="J712" s="4"/>
      <c r="L712" s="5"/>
      <c r="M712" s="5"/>
      <c r="N712" s="5"/>
      <c r="O712" s="5"/>
      <c r="P712" s="5"/>
    </row>
    <row r="713" spans="1:16" ht="15.75" customHeight="1" x14ac:dyDescent="0.25">
      <c r="A713" s="2"/>
      <c r="B713" s="3"/>
      <c r="C713" s="3"/>
      <c r="D713" s="3"/>
      <c r="E713" s="3"/>
      <c r="F713" s="3"/>
      <c r="G713" s="3"/>
      <c r="J713" s="4"/>
      <c r="L713" s="5"/>
      <c r="M713" s="5"/>
      <c r="N713" s="5"/>
      <c r="O713" s="5"/>
      <c r="P713" s="5"/>
    </row>
    <row r="714" spans="1:16" ht="15.75" customHeight="1" x14ac:dyDescent="0.25">
      <c r="A714" s="2"/>
      <c r="B714" s="3"/>
      <c r="C714" s="3"/>
      <c r="D714" s="3"/>
      <c r="E714" s="3"/>
      <c r="F714" s="3"/>
      <c r="G714" s="3"/>
      <c r="J714" s="4"/>
      <c r="L714" s="5"/>
      <c r="M714" s="5"/>
      <c r="N714" s="5"/>
      <c r="O714" s="5"/>
      <c r="P714" s="5"/>
    </row>
    <row r="715" spans="1:16" ht="15.75" customHeight="1" x14ac:dyDescent="0.25">
      <c r="A715" s="2"/>
      <c r="B715" s="3"/>
      <c r="C715" s="3"/>
      <c r="D715" s="3"/>
      <c r="E715" s="3"/>
      <c r="F715" s="3"/>
      <c r="G715" s="3"/>
      <c r="J715" s="4"/>
      <c r="L715" s="5"/>
      <c r="M715" s="5"/>
      <c r="N715" s="5"/>
      <c r="O715" s="5"/>
      <c r="P715" s="5"/>
    </row>
    <row r="716" spans="1:16" ht="15.75" customHeight="1" x14ac:dyDescent="0.25">
      <c r="A716" s="2"/>
      <c r="B716" s="3"/>
      <c r="C716" s="3"/>
      <c r="D716" s="3"/>
      <c r="E716" s="3"/>
      <c r="F716" s="3"/>
      <c r="G716" s="3"/>
      <c r="J716" s="4"/>
      <c r="L716" s="5"/>
      <c r="M716" s="5"/>
      <c r="N716" s="5"/>
      <c r="O716" s="5"/>
      <c r="P716" s="5"/>
    </row>
    <row r="717" spans="1:16" ht="15.75" customHeight="1" x14ac:dyDescent="0.25">
      <c r="A717" s="2"/>
      <c r="B717" s="3"/>
      <c r="C717" s="3"/>
      <c r="D717" s="3"/>
      <c r="E717" s="3"/>
      <c r="F717" s="3"/>
      <c r="G717" s="3"/>
      <c r="J717" s="4"/>
      <c r="L717" s="5"/>
      <c r="M717" s="5"/>
      <c r="N717" s="5"/>
      <c r="O717" s="5"/>
      <c r="P717" s="5"/>
    </row>
    <row r="718" spans="1:16" ht="15.75" customHeight="1" x14ac:dyDescent="0.25">
      <c r="A718" s="2"/>
      <c r="B718" s="3"/>
      <c r="C718" s="3"/>
      <c r="D718" s="3"/>
      <c r="E718" s="3"/>
      <c r="F718" s="3"/>
      <c r="G718" s="3"/>
      <c r="J718" s="4"/>
      <c r="L718" s="5"/>
      <c r="M718" s="5"/>
      <c r="N718" s="5"/>
      <c r="O718" s="5"/>
      <c r="P718" s="5"/>
    </row>
    <row r="719" spans="1:16" ht="15.75" customHeight="1" x14ac:dyDescent="0.25">
      <c r="A719" s="2"/>
      <c r="B719" s="3"/>
      <c r="C719" s="3"/>
      <c r="D719" s="3"/>
      <c r="E719" s="3"/>
      <c r="F719" s="3"/>
      <c r="G719" s="3"/>
      <c r="J719" s="4"/>
      <c r="L719" s="5"/>
      <c r="M719" s="5"/>
      <c r="N719" s="5"/>
      <c r="O719" s="5"/>
      <c r="P719" s="5"/>
    </row>
    <row r="720" spans="1:16" ht="15.75" customHeight="1" x14ac:dyDescent="0.25">
      <c r="A720" s="2"/>
      <c r="B720" s="3"/>
      <c r="C720" s="3"/>
      <c r="D720" s="3"/>
      <c r="E720" s="3"/>
      <c r="F720" s="3"/>
      <c r="G720" s="3"/>
      <c r="J720" s="4"/>
      <c r="L720" s="5"/>
      <c r="M720" s="5"/>
      <c r="N720" s="5"/>
      <c r="O720" s="5"/>
      <c r="P720" s="5"/>
    </row>
    <row r="721" spans="1:16" ht="15.75" customHeight="1" x14ac:dyDescent="0.25">
      <c r="A721" s="2"/>
      <c r="B721" s="3"/>
      <c r="C721" s="3"/>
      <c r="D721" s="3"/>
      <c r="E721" s="3"/>
      <c r="F721" s="3"/>
      <c r="G721" s="3"/>
      <c r="J721" s="4"/>
      <c r="L721" s="5"/>
      <c r="M721" s="5"/>
      <c r="N721" s="5"/>
      <c r="O721" s="5"/>
      <c r="P721" s="5"/>
    </row>
    <row r="722" spans="1:16" ht="15.75" customHeight="1" x14ac:dyDescent="0.25">
      <c r="A722" s="2"/>
      <c r="B722" s="3"/>
      <c r="C722" s="3"/>
      <c r="D722" s="3"/>
      <c r="E722" s="3"/>
      <c r="F722" s="3"/>
      <c r="G722" s="3"/>
      <c r="J722" s="4"/>
      <c r="L722" s="5"/>
      <c r="M722" s="5"/>
      <c r="N722" s="5"/>
      <c r="O722" s="5"/>
      <c r="P722" s="5"/>
    </row>
    <row r="723" spans="1:16" ht="15.75" customHeight="1" x14ac:dyDescent="0.25">
      <c r="A723" s="2"/>
      <c r="B723" s="3"/>
      <c r="C723" s="3"/>
      <c r="D723" s="3"/>
      <c r="E723" s="3"/>
      <c r="F723" s="3"/>
      <c r="G723" s="3"/>
      <c r="J723" s="4"/>
      <c r="L723" s="5"/>
      <c r="M723" s="5"/>
      <c r="N723" s="5"/>
      <c r="O723" s="5"/>
      <c r="P723" s="5"/>
    </row>
    <row r="724" spans="1:16" ht="15.75" customHeight="1" x14ac:dyDescent="0.25">
      <c r="A724" s="2"/>
      <c r="B724" s="3"/>
      <c r="C724" s="3"/>
      <c r="D724" s="3"/>
      <c r="E724" s="3"/>
      <c r="F724" s="3"/>
      <c r="G724" s="3"/>
      <c r="J724" s="4"/>
      <c r="L724" s="5"/>
      <c r="M724" s="5"/>
      <c r="N724" s="5"/>
      <c r="O724" s="5"/>
      <c r="P724" s="5"/>
    </row>
    <row r="725" spans="1:16" ht="15.75" customHeight="1" x14ac:dyDescent="0.25">
      <c r="A725" s="2"/>
      <c r="B725" s="3"/>
      <c r="C725" s="3"/>
      <c r="D725" s="3"/>
      <c r="E725" s="3"/>
      <c r="F725" s="3"/>
      <c r="G725" s="3"/>
      <c r="J725" s="4"/>
      <c r="L725" s="5"/>
      <c r="M725" s="5"/>
      <c r="N725" s="5"/>
      <c r="O725" s="5"/>
      <c r="P725" s="5"/>
    </row>
    <row r="726" spans="1:16" ht="15.75" customHeight="1" x14ac:dyDescent="0.25">
      <c r="A726" s="2"/>
      <c r="B726" s="3"/>
      <c r="C726" s="3"/>
      <c r="D726" s="3"/>
      <c r="E726" s="3"/>
      <c r="F726" s="3"/>
      <c r="G726" s="3"/>
      <c r="J726" s="4"/>
      <c r="L726" s="5"/>
      <c r="M726" s="5"/>
      <c r="N726" s="5"/>
      <c r="O726" s="5"/>
      <c r="P726" s="5"/>
    </row>
    <row r="727" spans="1:16" ht="15.75" customHeight="1" x14ac:dyDescent="0.25">
      <c r="A727" s="2"/>
      <c r="B727" s="3"/>
      <c r="C727" s="3"/>
      <c r="D727" s="3"/>
      <c r="E727" s="3"/>
      <c r="F727" s="3"/>
      <c r="G727" s="3"/>
      <c r="J727" s="4"/>
      <c r="L727" s="5"/>
      <c r="M727" s="5"/>
      <c r="N727" s="5"/>
      <c r="O727" s="5"/>
      <c r="P727" s="5"/>
    </row>
    <row r="728" spans="1:16" ht="15.75" customHeight="1" x14ac:dyDescent="0.25">
      <c r="A728" s="2"/>
      <c r="B728" s="3"/>
      <c r="C728" s="3"/>
      <c r="D728" s="3"/>
      <c r="E728" s="3"/>
      <c r="F728" s="3"/>
      <c r="G728" s="3"/>
      <c r="J728" s="4"/>
      <c r="L728" s="5"/>
      <c r="M728" s="5"/>
      <c r="N728" s="5"/>
      <c r="O728" s="5"/>
      <c r="P728" s="5"/>
    </row>
    <row r="729" spans="1:16" ht="15.75" customHeight="1" x14ac:dyDescent="0.25">
      <c r="A729" s="2"/>
      <c r="B729" s="3"/>
      <c r="C729" s="3"/>
      <c r="D729" s="3"/>
      <c r="E729" s="3"/>
      <c r="F729" s="3"/>
      <c r="G729" s="3"/>
      <c r="J729" s="4"/>
      <c r="L729" s="5"/>
      <c r="M729" s="5"/>
      <c r="N729" s="5"/>
      <c r="O729" s="5"/>
      <c r="P729" s="5"/>
    </row>
    <row r="730" spans="1:16" ht="15.75" customHeight="1" x14ac:dyDescent="0.25">
      <c r="A730" s="2"/>
      <c r="B730" s="3"/>
      <c r="C730" s="3"/>
      <c r="D730" s="3"/>
      <c r="E730" s="3"/>
      <c r="F730" s="3"/>
      <c r="G730" s="3"/>
      <c r="J730" s="4"/>
      <c r="L730" s="5"/>
      <c r="M730" s="5"/>
      <c r="N730" s="5"/>
      <c r="O730" s="5"/>
      <c r="P730" s="5"/>
    </row>
    <row r="731" spans="1:16" ht="15.75" customHeight="1" x14ac:dyDescent="0.25">
      <c r="A731" s="2"/>
      <c r="B731" s="3"/>
      <c r="C731" s="3"/>
      <c r="D731" s="3"/>
      <c r="E731" s="3"/>
      <c r="F731" s="3"/>
      <c r="G731" s="3"/>
      <c r="J731" s="4"/>
      <c r="L731" s="5"/>
      <c r="M731" s="5"/>
      <c r="N731" s="5"/>
      <c r="O731" s="5"/>
      <c r="P731" s="5"/>
    </row>
    <row r="732" spans="1:16" ht="15.75" customHeight="1" x14ac:dyDescent="0.25">
      <c r="A732" s="2"/>
      <c r="B732" s="3"/>
      <c r="C732" s="3"/>
      <c r="D732" s="3"/>
      <c r="E732" s="3"/>
      <c r="F732" s="3"/>
      <c r="G732" s="3"/>
      <c r="J732" s="4"/>
      <c r="L732" s="5"/>
      <c r="M732" s="5"/>
      <c r="N732" s="5"/>
      <c r="O732" s="5"/>
      <c r="P732" s="5"/>
    </row>
    <row r="733" spans="1:16" ht="15.75" customHeight="1" x14ac:dyDescent="0.25">
      <c r="A733" s="2"/>
      <c r="B733" s="3"/>
      <c r="C733" s="3"/>
      <c r="D733" s="3"/>
      <c r="E733" s="3"/>
      <c r="F733" s="3"/>
      <c r="G733" s="3"/>
      <c r="J733" s="4"/>
      <c r="L733" s="5"/>
      <c r="M733" s="5"/>
      <c r="N733" s="5"/>
      <c r="O733" s="5"/>
      <c r="P733" s="5"/>
    </row>
    <row r="734" spans="1:16" ht="15.75" customHeight="1" x14ac:dyDescent="0.25">
      <c r="A734" s="2"/>
      <c r="B734" s="3"/>
      <c r="C734" s="3"/>
      <c r="D734" s="3"/>
      <c r="E734" s="3"/>
      <c r="F734" s="3"/>
      <c r="G734" s="3"/>
      <c r="J734" s="4"/>
      <c r="L734" s="5"/>
      <c r="M734" s="5"/>
      <c r="N734" s="5"/>
      <c r="O734" s="5"/>
      <c r="P734" s="5"/>
    </row>
    <row r="735" spans="1:16" ht="15.75" customHeight="1" x14ac:dyDescent="0.25">
      <c r="A735" s="2"/>
      <c r="B735" s="3"/>
      <c r="C735" s="3"/>
      <c r="D735" s="3"/>
      <c r="E735" s="3"/>
      <c r="F735" s="3"/>
      <c r="G735" s="3"/>
      <c r="J735" s="4"/>
      <c r="L735" s="5"/>
      <c r="M735" s="5"/>
      <c r="N735" s="5"/>
      <c r="O735" s="5"/>
      <c r="P735" s="5"/>
    </row>
    <row r="736" spans="1:16" ht="15.75" customHeight="1" x14ac:dyDescent="0.25">
      <c r="A736" s="2"/>
      <c r="B736" s="3"/>
      <c r="C736" s="3"/>
      <c r="D736" s="3"/>
      <c r="E736" s="3"/>
      <c r="F736" s="3"/>
      <c r="G736" s="3"/>
      <c r="J736" s="4"/>
      <c r="L736" s="5"/>
      <c r="M736" s="5"/>
      <c r="N736" s="5"/>
      <c r="O736" s="5"/>
      <c r="P736" s="5"/>
    </row>
    <row r="737" spans="1:16" ht="15.75" customHeight="1" x14ac:dyDescent="0.25">
      <c r="A737" s="2"/>
      <c r="B737" s="3"/>
      <c r="C737" s="3"/>
      <c r="D737" s="3"/>
      <c r="E737" s="3"/>
      <c r="F737" s="3"/>
      <c r="G737" s="3"/>
      <c r="J737" s="4"/>
      <c r="L737" s="5"/>
      <c r="M737" s="5"/>
      <c r="N737" s="5"/>
      <c r="O737" s="5"/>
      <c r="P737" s="5"/>
    </row>
    <row r="738" spans="1:16" ht="15.75" customHeight="1" x14ac:dyDescent="0.25">
      <c r="A738" s="2"/>
      <c r="B738" s="3"/>
      <c r="C738" s="3"/>
      <c r="D738" s="3"/>
      <c r="E738" s="3"/>
      <c r="F738" s="3"/>
      <c r="G738" s="3"/>
      <c r="J738" s="4"/>
      <c r="L738" s="5"/>
      <c r="M738" s="5"/>
      <c r="N738" s="5"/>
      <c r="O738" s="5"/>
      <c r="P738" s="5"/>
    </row>
    <row r="739" spans="1:16" ht="15.75" customHeight="1" x14ac:dyDescent="0.25">
      <c r="A739" s="2"/>
      <c r="B739" s="3"/>
      <c r="C739" s="3"/>
      <c r="D739" s="3"/>
      <c r="E739" s="3"/>
      <c r="F739" s="3"/>
      <c r="G739" s="3"/>
      <c r="J739" s="4"/>
      <c r="L739" s="5"/>
      <c r="M739" s="5"/>
      <c r="N739" s="5"/>
      <c r="O739" s="5"/>
      <c r="P739" s="5"/>
    </row>
    <row r="740" spans="1:16" ht="15.75" customHeight="1" x14ac:dyDescent="0.25">
      <c r="A740" s="2"/>
      <c r="B740" s="3"/>
      <c r="C740" s="3"/>
      <c r="D740" s="3"/>
      <c r="E740" s="3"/>
      <c r="F740" s="3"/>
      <c r="G740" s="3"/>
      <c r="J740" s="4"/>
      <c r="L740" s="5"/>
      <c r="M740" s="5"/>
      <c r="N740" s="5"/>
      <c r="O740" s="5"/>
      <c r="P740" s="5"/>
    </row>
    <row r="741" spans="1:16" ht="15.75" customHeight="1" x14ac:dyDescent="0.25">
      <c r="A741" s="2"/>
      <c r="B741" s="3"/>
      <c r="C741" s="3"/>
      <c r="D741" s="3"/>
      <c r="E741" s="3"/>
      <c r="F741" s="3"/>
      <c r="G741" s="3"/>
      <c r="J741" s="4"/>
      <c r="L741" s="5"/>
      <c r="M741" s="5"/>
      <c r="N741" s="5"/>
      <c r="O741" s="5"/>
      <c r="P741" s="5"/>
    </row>
    <row r="742" spans="1:16" ht="15.75" customHeight="1" x14ac:dyDescent="0.25">
      <c r="A742" s="2"/>
      <c r="B742" s="3"/>
      <c r="C742" s="3"/>
      <c r="D742" s="3"/>
      <c r="E742" s="3"/>
      <c r="F742" s="3"/>
      <c r="G742" s="3"/>
      <c r="J742" s="4"/>
      <c r="L742" s="5"/>
      <c r="M742" s="5"/>
      <c r="N742" s="5"/>
      <c r="O742" s="5"/>
      <c r="P742" s="5"/>
    </row>
    <row r="743" spans="1:16" ht="15.75" customHeight="1" x14ac:dyDescent="0.25">
      <c r="A743" s="2"/>
      <c r="B743" s="3"/>
      <c r="C743" s="3"/>
      <c r="D743" s="3"/>
      <c r="E743" s="3"/>
      <c r="F743" s="3"/>
      <c r="G743" s="3"/>
      <c r="J743" s="4"/>
      <c r="L743" s="5"/>
      <c r="M743" s="5"/>
      <c r="N743" s="5"/>
      <c r="O743" s="5"/>
      <c r="P743" s="5"/>
    </row>
    <row r="744" spans="1:16" ht="15.75" customHeight="1" x14ac:dyDescent="0.25">
      <c r="A744" s="2"/>
      <c r="B744" s="3"/>
      <c r="C744" s="3"/>
      <c r="D744" s="3"/>
      <c r="E744" s="3"/>
      <c r="F744" s="3"/>
      <c r="G744" s="3"/>
      <c r="J744" s="4"/>
      <c r="L744" s="5"/>
      <c r="M744" s="5"/>
      <c r="N744" s="5"/>
      <c r="O744" s="5"/>
      <c r="P744" s="5"/>
    </row>
    <row r="745" spans="1:16" ht="15.75" customHeight="1" x14ac:dyDescent="0.25">
      <c r="A745" s="2"/>
      <c r="B745" s="3"/>
      <c r="C745" s="3"/>
      <c r="D745" s="3"/>
      <c r="E745" s="3"/>
      <c r="F745" s="3"/>
      <c r="G745" s="3"/>
      <c r="J745" s="4"/>
      <c r="L745" s="5"/>
      <c r="M745" s="5"/>
      <c r="N745" s="5"/>
      <c r="O745" s="5"/>
      <c r="P745" s="5"/>
    </row>
    <row r="746" spans="1:16" ht="15.75" customHeight="1" x14ac:dyDescent="0.25">
      <c r="A746" s="2"/>
      <c r="B746" s="3"/>
      <c r="C746" s="3"/>
      <c r="D746" s="3"/>
      <c r="E746" s="3"/>
      <c r="F746" s="3"/>
      <c r="G746" s="3"/>
      <c r="J746" s="4"/>
      <c r="L746" s="5"/>
      <c r="M746" s="5"/>
      <c r="N746" s="5"/>
      <c r="O746" s="5"/>
      <c r="P746" s="5"/>
    </row>
    <row r="747" spans="1:16" ht="15.75" customHeight="1" x14ac:dyDescent="0.25">
      <c r="A747" s="2"/>
      <c r="B747" s="3"/>
      <c r="C747" s="3"/>
      <c r="D747" s="3"/>
      <c r="E747" s="3"/>
      <c r="F747" s="3"/>
      <c r="G747" s="3"/>
      <c r="J747" s="4"/>
      <c r="L747" s="5"/>
      <c r="M747" s="5"/>
      <c r="N747" s="5"/>
      <c r="O747" s="5"/>
      <c r="P747" s="5"/>
    </row>
    <row r="748" spans="1:16" ht="15.75" customHeight="1" x14ac:dyDescent="0.25">
      <c r="A748" s="2"/>
      <c r="B748" s="3"/>
      <c r="C748" s="3"/>
      <c r="D748" s="3"/>
      <c r="E748" s="3"/>
      <c r="F748" s="3"/>
      <c r="G748" s="3"/>
      <c r="J748" s="4"/>
      <c r="L748" s="5"/>
      <c r="M748" s="5"/>
      <c r="N748" s="5"/>
      <c r="O748" s="5"/>
      <c r="P748" s="5"/>
    </row>
    <row r="749" spans="1:16" ht="15.75" customHeight="1" x14ac:dyDescent="0.25">
      <c r="A749" s="2"/>
      <c r="B749" s="3"/>
      <c r="C749" s="3"/>
      <c r="D749" s="3"/>
      <c r="E749" s="3"/>
      <c r="F749" s="3"/>
      <c r="G749" s="3"/>
      <c r="J749" s="4"/>
      <c r="L749" s="5"/>
      <c r="M749" s="5"/>
      <c r="N749" s="5"/>
      <c r="O749" s="5"/>
      <c r="P749" s="5"/>
    </row>
    <row r="750" spans="1:16" ht="15.75" customHeight="1" x14ac:dyDescent="0.25">
      <c r="A750" s="2"/>
      <c r="B750" s="3"/>
      <c r="C750" s="3"/>
      <c r="D750" s="3"/>
      <c r="E750" s="3"/>
      <c r="F750" s="3"/>
      <c r="G750" s="3"/>
      <c r="J750" s="4"/>
      <c r="L750" s="5"/>
      <c r="M750" s="5"/>
      <c r="N750" s="5"/>
      <c r="O750" s="5"/>
      <c r="P750" s="5"/>
    </row>
    <row r="751" spans="1:16" ht="15.75" customHeight="1" x14ac:dyDescent="0.25">
      <c r="A751" s="2"/>
      <c r="B751" s="3"/>
      <c r="C751" s="3"/>
      <c r="D751" s="3"/>
      <c r="E751" s="3"/>
      <c r="F751" s="3"/>
      <c r="G751" s="3"/>
      <c r="J751" s="4"/>
      <c r="L751" s="5"/>
      <c r="M751" s="5"/>
      <c r="N751" s="5"/>
      <c r="O751" s="5"/>
      <c r="P751" s="5"/>
    </row>
    <row r="752" spans="1:16" ht="15.75" customHeight="1" x14ac:dyDescent="0.25">
      <c r="A752" s="2"/>
      <c r="B752" s="3"/>
      <c r="C752" s="3"/>
      <c r="D752" s="3"/>
      <c r="E752" s="3"/>
      <c r="F752" s="3"/>
      <c r="G752" s="3"/>
      <c r="J752" s="4"/>
      <c r="L752" s="5"/>
      <c r="M752" s="5"/>
      <c r="N752" s="5"/>
      <c r="O752" s="5"/>
      <c r="P752" s="5"/>
    </row>
    <row r="753" spans="1:16" ht="15.75" customHeight="1" x14ac:dyDescent="0.25">
      <c r="A753" s="2"/>
      <c r="B753" s="3"/>
      <c r="C753" s="3"/>
      <c r="D753" s="3"/>
      <c r="E753" s="3"/>
      <c r="F753" s="3"/>
      <c r="G753" s="3"/>
      <c r="J753" s="4"/>
      <c r="L753" s="5"/>
      <c r="M753" s="5"/>
      <c r="N753" s="5"/>
      <c r="O753" s="5"/>
      <c r="P753" s="5"/>
    </row>
    <row r="754" spans="1:16" ht="15.75" customHeight="1" x14ac:dyDescent="0.25">
      <c r="A754" s="2"/>
      <c r="B754" s="3"/>
      <c r="C754" s="3"/>
      <c r="D754" s="3"/>
      <c r="E754" s="3"/>
      <c r="F754" s="3"/>
      <c r="G754" s="3"/>
      <c r="J754" s="4"/>
      <c r="L754" s="5"/>
      <c r="M754" s="5"/>
      <c r="N754" s="5"/>
      <c r="O754" s="5"/>
      <c r="P754" s="5"/>
    </row>
    <row r="755" spans="1:16" ht="15.75" customHeight="1" x14ac:dyDescent="0.25">
      <c r="A755" s="2"/>
      <c r="B755" s="3"/>
      <c r="C755" s="3"/>
      <c r="D755" s="3"/>
      <c r="E755" s="3"/>
      <c r="F755" s="3"/>
      <c r="G755" s="3"/>
      <c r="J755" s="4"/>
      <c r="L755" s="5"/>
      <c r="M755" s="5"/>
      <c r="N755" s="5"/>
      <c r="O755" s="5"/>
      <c r="P755" s="5"/>
    </row>
    <row r="756" spans="1:16" ht="15.75" customHeight="1" x14ac:dyDescent="0.25">
      <c r="A756" s="2"/>
      <c r="B756" s="3"/>
      <c r="C756" s="3"/>
      <c r="D756" s="3"/>
      <c r="E756" s="3"/>
      <c r="F756" s="3"/>
      <c r="G756" s="3"/>
      <c r="J756" s="4"/>
      <c r="L756" s="5"/>
      <c r="M756" s="5"/>
      <c r="N756" s="5"/>
      <c r="O756" s="5"/>
      <c r="P756" s="5"/>
    </row>
    <row r="757" spans="1:16" ht="15.75" customHeight="1" x14ac:dyDescent="0.25">
      <c r="A757" s="2"/>
      <c r="B757" s="3"/>
      <c r="C757" s="3"/>
      <c r="D757" s="3"/>
      <c r="E757" s="3"/>
      <c r="F757" s="3"/>
      <c r="G757" s="3"/>
      <c r="J757" s="4"/>
      <c r="L757" s="5"/>
      <c r="M757" s="5"/>
      <c r="N757" s="5"/>
      <c r="O757" s="5"/>
      <c r="P757" s="5"/>
    </row>
    <row r="758" spans="1:16" ht="15.75" customHeight="1" x14ac:dyDescent="0.25">
      <c r="A758" s="2"/>
      <c r="B758" s="3"/>
      <c r="C758" s="3"/>
      <c r="D758" s="3"/>
      <c r="E758" s="3"/>
      <c r="F758" s="3"/>
      <c r="G758" s="3"/>
      <c r="J758" s="4"/>
      <c r="L758" s="5"/>
      <c r="M758" s="5"/>
      <c r="N758" s="5"/>
      <c r="O758" s="5"/>
      <c r="P758" s="5"/>
    </row>
    <row r="759" spans="1:16" ht="15.75" customHeight="1" x14ac:dyDescent="0.25">
      <c r="A759" s="2"/>
      <c r="B759" s="3"/>
      <c r="C759" s="3"/>
      <c r="D759" s="3"/>
      <c r="E759" s="3"/>
      <c r="F759" s="3"/>
      <c r="G759" s="3"/>
      <c r="J759" s="4"/>
      <c r="L759" s="5"/>
      <c r="M759" s="5"/>
      <c r="N759" s="5"/>
      <c r="O759" s="5"/>
      <c r="P759" s="5"/>
    </row>
    <row r="760" spans="1:16" ht="15.75" customHeight="1" x14ac:dyDescent="0.25">
      <c r="A760" s="2"/>
      <c r="B760" s="3"/>
      <c r="C760" s="3"/>
      <c r="D760" s="3"/>
      <c r="E760" s="3"/>
      <c r="F760" s="3"/>
      <c r="G760" s="3"/>
      <c r="J760" s="4"/>
      <c r="L760" s="5"/>
      <c r="M760" s="5"/>
      <c r="N760" s="5"/>
      <c r="O760" s="5"/>
      <c r="P760" s="5"/>
    </row>
    <row r="761" spans="1:16" ht="15.75" customHeight="1" x14ac:dyDescent="0.25">
      <c r="A761" s="2"/>
      <c r="B761" s="3"/>
      <c r="C761" s="3"/>
      <c r="D761" s="3"/>
      <c r="E761" s="3"/>
      <c r="F761" s="3"/>
      <c r="G761" s="3"/>
      <c r="J761" s="4"/>
      <c r="L761" s="5"/>
      <c r="M761" s="5"/>
      <c r="N761" s="5"/>
      <c r="O761" s="5"/>
      <c r="P761" s="5"/>
    </row>
    <row r="762" spans="1:16" ht="15.75" customHeight="1" x14ac:dyDescent="0.25">
      <c r="A762" s="2"/>
      <c r="B762" s="3"/>
      <c r="C762" s="3"/>
      <c r="D762" s="3"/>
      <c r="E762" s="3"/>
      <c r="F762" s="3"/>
      <c r="G762" s="3"/>
      <c r="J762" s="4"/>
      <c r="L762" s="5"/>
      <c r="M762" s="5"/>
      <c r="N762" s="5"/>
      <c r="O762" s="5"/>
      <c r="P762" s="5"/>
    </row>
    <row r="763" spans="1:16" ht="15.75" customHeight="1" x14ac:dyDescent="0.25">
      <c r="A763" s="2"/>
      <c r="B763" s="3"/>
      <c r="C763" s="3"/>
      <c r="D763" s="3"/>
      <c r="E763" s="3"/>
      <c r="F763" s="3"/>
      <c r="G763" s="3"/>
      <c r="J763" s="4"/>
      <c r="L763" s="5"/>
      <c r="M763" s="5"/>
      <c r="N763" s="5"/>
      <c r="O763" s="5"/>
      <c r="P763" s="5"/>
    </row>
    <row r="764" spans="1:16" ht="15.75" customHeight="1" x14ac:dyDescent="0.25">
      <c r="A764" s="2"/>
      <c r="B764" s="3"/>
      <c r="C764" s="3"/>
      <c r="D764" s="3"/>
      <c r="E764" s="3"/>
      <c r="F764" s="3"/>
      <c r="G764" s="3"/>
      <c r="J764" s="4"/>
      <c r="L764" s="5"/>
      <c r="M764" s="5"/>
      <c r="N764" s="5"/>
      <c r="O764" s="5"/>
      <c r="P764" s="5"/>
    </row>
    <row r="765" spans="1:16" ht="15.75" customHeight="1" x14ac:dyDescent="0.25">
      <c r="A765" s="2"/>
      <c r="B765" s="3"/>
      <c r="C765" s="3"/>
      <c r="D765" s="3"/>
      <c r="E765" s="3"/>
      <c r="F765" s="3"/>
      <c r="G765" s="3"/>
      <c r="J765" s="4"/>
      <c r="L765" s="5"/>
      <c r="M765" s="5"/>
      <c r="N765" s="5"/>
      <c r="O765" s="5"/>
      <c r="P765" s="5"/>
    </row>
    <row r="766" spans="1:16" ht="15.75" customHeight="1" x14ac:dyDescent="0.25">
      <c r="A766" s="2"/>
      <c r="B766" s="3"/>
      <c r="C766" s="3"/>
      <c r="D766" s="3"/>
      <c r="E766" s="3"/>
      <c r="F766" s="3"/>
      <c r="G766" s="3"/>
      <c r="J766" s="4"/>
      <c r="L766" s="5"/>
      <c r="M766" s="5"/>
      <c r="N766" s="5"/>
      <c r="O766" s="5"/>
      <c r="P766" s="5"/>
    </row>
    <row r="767" spans="1:16" ht="15.75" customHeight="1" x14ac:dyDescent="0.25">
      <c r="A767" s="2"/>
      <c r="B767" s="3"/>
      <c r="C767" s="3"/>
      <c r="D767" s="3"/>
      <c r="E767" s="3"/>
      <c r="F767" s="3"/>
      <c r="G767" s="3"/>
      <c r="J767" s="4"/>
      <c r="L767" s="5"/>
      <c r="M767" s="5"/>
      <c r="N767" s="5"/>
      <c r="O767" s="5"/>
      <c r="P767" s="5"/>
    </row>
    <row r="768" spans="1:16" ht="15.75" customHeight="1" x14ac:dyDescent="0.25">
      <c r="A768" s="2"/>
      <c r="B768" s="3"/>
      <c r="C768" s="3"/>
      <c r="D768" s="3"/>
      <c r="E768" s="3"/>
      <c r="F768" s="3"/>
      <c r="G768" s="3"/>
      <c r="J768" s="4"/>
      <c r="L768" s="5"/>
      <c r="M768" s="5"/>
      <c r="N768" s="5"/>
      <c r="O768" s="5"/>
      <c r="P768" s="5"/>
    </row>
    <row r="769" spans="1:16" ht="15.75" customHeight="1" x14ac:dyDescent="0.25">
      <c r="A769" s="2"/>
      <c r="B769" s="3"/>
      <c r="C769" s="3"/>
      <c r="D769" s="3"/>
      <c r="E769" s="3"/>
      <c r="F769" s="3"/>
      <c r="G769" s="3"/>
      <c r="J769" s="4"/>
      <c r="L769" s="5"/>
      <c r="M769" s="5"/>
      <c r="N769" s="5"/>
      <c r="O769" s="5"/>
      <c r="P769" s="5"/>
    </row>
    <row r="770" spans="1:16" ht="15.75" customHeight="1" x14ac:dyDescent="0.25">
      <c r="A770" s="2"/>
      <c r="B770" s="3"/>
      <c r="C770" s="3"/>
      <c r="D770" s="3"/>
      <c r="E770" s="3"/>
      <c r="F770" s="3"/>
      <c r="G770" s="3"/>
      <c r="J770" s="4"/>
      <c r="L770" s="5"/>
      <c r="M770" s="5"/>
      <c r="N770" s="5"/>
      <c r="O770" s="5"/>
      <c r="P770" s="5"/>
    </row>
    <row r="771" spans="1:16" ht="15.75" customHeight="1" x14ac:dyDescent="0.25">
      <c r="A771" s="2"/>
      <c r="B771" s="3"/>
      <c r="C771" s="3"/>
      <c r="D771" s="3"/>
      <c r="E771" s="3"/>
      <c r="F771" s="3"/>
      <c r="G771" s="3"/>
      <c r="J771" s="4"/>
      <c r="L771" s="5"/>
      <c r="M771" s="5"/>
      <c r="N771" s="5"/>
      <c r="O771" s="5"/>
      <c r="P771" s="5"/>
    </row>
    <row r="772" spans="1:16" ht="15.75" customHeight="1" x14ac:dyDescent="0.25">
      <c r="A772" s="2"/>
      <c r="B772" s="3"/>
      <c r="C772" s="3"/>
      <c r="D772" s="3"/>
      <c r="E772" s="3"/>
      <c r="F772" s="3"/>
      <c r="G772" s="3"/>
      <c r="J772" s="4"/>
      <c r="L772" s="5"/>
      <c r="M772" s="5"/>
      <c r="N772" s="5"/>
      <c r="O772" s="5"/>
      <c r="P772" s="5"/>
    </row>
    <row r="773" spans="1:16" ht="15.75" customHeight="1" x14ac:dyDescent="0.25">
      <c r="A773" s="2"/>
      <c r="B773" s="3"/>
      <c r="C773" s="3"/>
      <c r="D773" s="3"/>
      <c r="E773" s="3"/>
      <c r="F773" s="3"/>
      <c r="G773" s="3"/>
      <c r="J773" s="4"/>
      <c r="L773" s="5"/>
      <c r="M773" s="5"/>
      <c r="N773" s="5"/>
      <c r="O773" s="5"/>
      <c r="P773" s="5"/>
    </row>
    <row r="774" spans="1:16" ht="15.75" customHeight="1" x14ac:dyDescent="0.25">
      <c r="A774" s="2"/>
      <c r="B774" s="3"/>
      <c r="C774" s="3"/>
      <c r="D774" s="3"/>
      <c r="E774" s="3"/>
      <c r="F774" s="3"/>
      <c r="G774" s="3"/>
      <c r="J774" s="4"/>
      <c r="L774" s="5"/>
      <c r="M774" s="5"/>
      <c r="N774" s="5"/>
      <c r="O774" s="5"/>
      <c r="P774" s="5"/>
    </row>
    <row r="775" spans="1:16" ht="15.75" customHeight="1" x14ac:dyDescent="0.25">
      <c r="A775" s="2"/>
      <c r="B775" s="3"/>
      <c r="C775" s="3"/>
      <c r="D775" s="3"/>
      <c r="E775" s="3"/>
      <c r="F775" s="3"/>
      <c r="G775" s="3"/>
      <c r="J775" s="4"/>
      <c r="L775" s="5"/>
      <c r="M775" s="5"/>
      <c r="N775" s="5"/>
      <c r="O775" s="5"/>
      <c r="P775" s="5"/>
    </row>
    <row r="776" spans="1:16" ht="15.75" customHeight="1" x14ac:dyDescent="0.25">
      <c r="A776" s="2"/>
      <c r="B776" s="3"/>
      <c r="C776" s="3"/>
      <c r="D776" s="3"/>
      <c r="E776" s="3"/>
      <c r="F776" s="3"/>
      <c r="G776" s="3"/>
      <c r="J776" s="4"/>
      <c r="L776" s="5"/>
      <c r="M776" s="5"/>
      <c r="N776" s="5"/>
      <c r="O776" s="5"/>
      <c r="P776" s="5"/>
    </row>
    <row r="777" spans="1:16" ht="15.75" customHeight="1" x14ac:dyDescent="0.25">
      <c r="A777" s="2"/>
      <c r="B777" s="3"/>
      <c r="C777" s="3"/>
      <c r="D777" s="3"/>
      <c r="E777" s="3"/>
      <c r="F777" s="3"/>
      <c r="G777" s="3"/>
      <c r="J777" s="4"/>
      <c r="L777" s="5"/>
      <c r="M777" s="5"/>
      <c r="N777" s="5"/>
      <c r="O777" s="5"/>
      <c r="P777" s="5"/>
    </row>
    <row r="778" spans="1:16" ht="15.75" customHeight="1" x14ac:dyDescent="0.25">
      <c r="A778" s="2"/>
      <c r="B778" s="3"/>
      <c r="C778" s="3"/>
      <c r="D778" s="3"/>
      <c r="E778" s="3"/>
      <c r="F778" s="3"/>
      <c r="G778" s="3"/>
      <c r="J778" s="4"/>
      <c r="L778" s="5"/>
      <c r="M778" s="5"/>
      <c r="N778" s="5"/>
      <c r="O778" s="5"/>
      <c r="P778" s="5"/>
    </row>
    <row r="779" spans="1:16" ht="15.75" customHeight="1" x14ac:dyDescent="0.25">
      <c r="A779" s="2"/>
      <c r="B779" s="3"/>
      <c r="C779" s="3"/>
      <c r="D779" s="3"/>
      <c r="E779" s="3"/>
      <c r="F779" s="3"/>
      <c r="G779" s="3"/>
      <c r="J779" s="4"/>
      <c r="L779" s="5"/>
      <c r="M779" s="5"/>
      <c r="N779" s="5"/>
      <c r="O779" s="5"/>
      <c r="P779" s="5"/>
    </row>
    <row r="780" spans="1:16" ht="15.75" customHeight="1" x14ac:dyDescent="0.25">
      <c r="A780" s="2"/>
      <c r="B780" s="3"/>
      <c r="C780" s="3"/>
      <c r="D780" s="3"/>
      <c r="E780" s="3"/>
      <c r="F780" s="3"/>
      <c r="G780" s="3"/>
      <c r="J780" s="4"/>
      <c r="L780" s="5"/>
      <c r="M780" s="5"/>
      <c r="N780" s="5"/>
      <c r="O780" s="5"/>
      <c r="P780" s="5"/>
    </row>
    <row r="781" spans="1:16" ht="15.75" customHeight="1" x14ac:dyDescent="0.25">
      <c r="A781" s="2"/>
      <c r="B781" s="3"/>
      <c r="C781" s="3"/>
      <c r="D781" s="3"/>
      <c r="E781" s="3"/>
      <c r="F781" s="3"/>
      <c r="G781" s="3"/>
      <c r="J781" s="4"/>
      <c r="L781" s="5"/>
      <c r="M781" s="5"/>
      <c r="N781" s="5"/>
      <c r="O781" s="5"/>
      <c r="P781" s="5"/>
    </row>
    <row r="782" spans="1:16" ht="15.75" customHeight="1" x14ac:dyDescent="0.25">
      <c r="A782" s="2"/>
      <c r="B782" s="3"/>
      <c r="C782" s="3"/>
      <c r="D782" s="3"/>
      <c r="E782" s="3"/>
      <c r="F782" s="3"/>
      <c r="G782" s="3"/>
      <c r="J782" s="4"/>
      <c r="L782" s="5"/>
      <c r="M782" s="5"/>
      <c r="N782" s="5"/>
      <c r="O782" s="5"/>
      <c r="P782" s="5"/>
    </row>
    <row r="783" spans="1:16" ht="15.75" customHeight="1" x14ac:dyDescent="0.25">
      <c r="A783" s="2"/>
      <c r="B783" s="3"/>
      <c r="C783" s="3"/>
      <c r="D783" s="3"/>
      <c r="E783" s="3"/>
      <c r="F783" s="3"/>
      <c r="G783" s="3"/>
      <c r="J783" s="4"/>
      <c r="L783" s="5"/>
      <c r="M783" s="5"/>
      <c r="N783" s="5"/>
      <c r="O783" s="5"/>
      <c r="P783" s="5"/>
    </row>
    <row r="784" spans="1:16" ht="15.75" customHeight="1" x14ac:dyDescent="0.25">
      <c r="A784" s="2"/>
      <c r="B784" s="3"/>
      <c r="C784" s="3"/>
      <c r="D784" s="3"/>
      <c r="E784" s="3"/>
      <c r="F784" s="3"/>
      <c r="G784" s="3"/>
      <c r="J784" s="4"/>
      <c r="L784" s="5"/>
      <c r="M784" s="5"/>
      <c r="N784" s="5"/>
      <c r="O784" s="5"/>
      <c r="P784" s="5"/>
    </row>
    <row r="785" spans="1:16" ht="15.75" customHeight="1" x14ac:dyDescent="0.25">
      <c r="A785" s="2"/>
      <c r="B785" s="3"/>
      <c r="C785" s="3"/>
      <c r="D785" s="3"/>
      <c r="E785" s="3"/>
      <c r="F785" s="3"/>
      <c r="G785" s="3"/>
      <c r="J785" s="4"/>
      <c r="L785" s="5"/>
      <c r="M785" s="5"/>
      <c r="N785" s="5"/>
      <c r="O785" s="5"/>
      <c r="P785" s="5"/>
    </row>
    <row r="786" spans="1:16" ht="15.75" customHeight="1" x14ac:dyDescent="0.25">
      <c r="A786" s="2"/>
      <c r="B786" s="3"/>
      <c r="C786" s="3"/>
      <c r="D786" s="3"/>
      <c r="E786" s="3"/>
      <c r="F786" s="3"/>
      <c r="G786" s="3"/>
      <c r="J786" s="4"/>
      <c r="L786" s="5"/>
      <c r="M786" s="5"/>
      <c r="N786" s="5"/>
      <c r="O786" s="5"/>
      <c r="P786" s="5"/>
    </row>
    <row r="787" spans="1:16" ht="15.75" customHeight="1" x14ac:dyDescent="0.25">
      <c r="A787" s="2"/>
      <c r="B787" s="3"/>
      <c r="C787" s="3"/>
      <c r="D787" s="3"/>
      <c r="E787" s="3"/>
      <c r="F787" s="3"/>
      <c r="G787" s="3"/>
      <c r="J787" s="4"/>
      <c r="L787" s="5"/>
      <c r="M787" s="5"/>
      <c r="N787" s="5"/>
      <c r="O787" s="5"/>
      <c r="P787" s="5"/>
    </row>
    <row r="788" spans="1:16" ht="15.75" customHeight="1" x14ac:dyDescent="0.25">
      <c r="A788" s="2"/>
      <c r="B788" s="3"/>
      <c r="C788" s="3"/>
      <c r="D788" s="3"/>
      <c r="E788" s="3"/>
      <c r="F788" s="3"/>
      <c r="G788" s="3"/>
      <c r="J788" s="4"/>
      <c r="L788" s="5"/>
      <c r="M788" s="5"/>
      <c r="N788" s="5"/>
      <c r="O788" s="5"/>
      <c r="P788" s="5"/>
    </row>
    <row r="789" spans="1:16" ht="15.75" customHeight="1" x14ac:dyDescent="0.25">
      <c r="A789" s="2"/>
      <c r="B789" s="3"/>
      <c r="C789" s="3"/>
      <c r="D789" s="3"/>
      <c r="E789" s="3"/>
      <c r="F789" s="3"/>
      <c r="G789" s="3"/>
      <c r="J789" s="4"/>
      <c r="L789" s="5"/>
      <c r="M789" s="5"/>
      <c r="N789" s="5"/>
      <c r="O789" s="5"/>
      <c r="P789" s="5"/>
    </row>
    <row r="790" spans="1:16" ht="15.75" customHeight="1" x14ac:dyDescent="0.25">
      <c r="A790" s="2"/>
      <c r="B790" s="3"/>
      <c r="C790" s="3"/>
      <c r="D790" s="3"/>
      <c r="E790" s="3"/>
      <c r="F790" s="3"/>
      <c r="G790" s="3"/>
      <c r="J790" s="4"/>
      <c r="L790" s="5"/>
      <c r="M790" s="5"/>
      <c r="N790" s="5"/>
      <c r="O790" s="5"/>
      <c r="P790" s="5"/>
    </row>
    <row r="791" spans="1:16" ht="15.75" customHeight="1" x14ac:dyDescent="0.25">
      <c r="A791" s="2"/>
      <c r="B791" s="3"/>
      <c r="C791" s="3"/>
      <c r="D791" s="3"/>
      <c r="E791" s="3"/>
      <c r="F791" s="3"/>
      <c r="G791" s="3"/>
      <c r="J791" s="4"/>
      <c r="L791" s="5"/>
      <c r="M791" s="5"/>
      <c r="N791" s="5"/>
      <c r="O791" s="5"/>
      <c r="P791" s="5"/>
    </row>
    <row r="792" spans="1:16" ht="15.75" customHeight="1" x14ac:dyDescent="0.25">
      <c r="A792" s="2"/>
      <c r="B792" s="3"/>
      <c r="C792" s="3"/>
      <c r="D792" s="3"/>
      <c r="E792" s="3"/>
      <c r="F792" s="3"/>
      <c r="G792" s="3"/>
      <c r="J792" s="4"/>
      <c r="L792" s="5"/>
      <c r="M792" s="5"/>
      <c r="N792" s="5"/>
      <c r="O792" s="5"/>
      <c r="P792" s="5"/>
    </row>
    <row r="793" spans="1:16" ht="15.75" customHeight="1" x14ac:dyDescent="0.25">
      <c r="A793" s="2"/>
      <c r="B793" s="3"/>
      <c r="C793" s="3"/>
      <c r="D793" s="3"/>
      <c r="E793" s="3"/>
      <c r="F793" s="3"/>
      <c r="G793" s="3"/>
      <c r="J793" s="4"/>
      <c r="L793" s="5"/>
      <c r="M793" s="5"/>
      <c r="N793" s="5"/>
      <c r="O793" s="5"/>
      <c r="P793" s="5"/>
    </row>
    <row r="794" spans="1:16" ht="15.75" customHeight="1" x14ac:dyDescent="0.25">
      <c r="A794" s="2"/>
      <c r="B794" s="3"/>
      <c r="C794" s="3"/>
      <c r="D794" s="3"/>
      <c r="E794" s="3"/>
      <c r="F794" s="3"/>
      <c r="G794" s="3"/>
      <c r="J794" s="4"/>
      <c r="L794" s="5"/>
      <c r="M794" s="5"/>
      <c r="N794" s="5"/>
      <c r="O794" s="5"/>
      <c r="P794" s="5"/>
    </row>
    <row r="795" spans="1:16" ht="15.75" customHeight="1" x14ac:dyDescent="0.25">
      <c r="A795" s="2"/>
      <c r="B795" s="3"/>
      <c r="C795" s="3"/>
      <c r="D795" s="3"/>
      <c r="E795" s="3"/>
      <c r="F795" s="3"/>
      <c r="G795" s="3"/>
      <c r="J795" s="4"/>
      <c r="L795" s="5"/>
      <c r="M795" s="5"/>
      <c r="N795" s="5"/>
      <c r="O795" s="5"/>
      <c r="P795" s="5"/>
    </row>
    <row r="796" spans="1:16" ht="15.75" customHeight="1" x14ac:dyDescent="0.25">
      <c r="A796" s="2"/>
      <c r="B796" s="3"/>
      <c r="C796" s="3"/>
      <c r="D796" s="3"/>
      <c r="E796" s="3"/>
      <c r="F796" s="3"/>
      <c r="G796" s="3"/>
      <c r="J796" s="4"/>
      <c r="L796" s="5"/>
      <c r="M796" s="5"/>
      <c r="N796" s="5"/>
      <c r="O796" s="5"/>
      <c r="P796" s="5"/>
    </row>
    <row r="797" spans="1:16" ht="15.75" customHeight="1" x14ac:dyDescent="0.25">
      <c r="A797" s="2"/>
      <c r="B797" s="3"/>
      <c r="C797" s="3"/>
      <c r="D797" s="3"/>
      <c r="E797" s="3"/>
      <c r="F797" s="3"/>
      <c r="G797" s="3"/>
      <c r="J797" s="4"/>
      <c r="L797" s="5"/>
      <c r="M797" s="5"/>
      <c r="N797" s="5"/>
      <c r="O797" s="5"/>
      <c r="P797" s="5"/>
    </row>
    <row r="798" spans="1:16" ht="15.75" customHeight="1" x14ac:dyDescent="0.25">
      <c r="A798" s="2"/>
      <c r="B798" s="3"/>
      <c r="C798" s="3"/>
      <c r="D798" s="3"/>
      <c r="E798" s="3"/>
      <c r="F798" s="3"/>
      <c r="G798" s="3"/>
      <c r="J798" s="4"/>
      <c r="L798" s="5"/>
      <c r="M798" s="5"/>
      <c r="N798" s="5"/>
      <c r="O798" s="5"/>
      <c r="P798" s="5"/>
    </row>
    <row r="799" spans="1:16" ht="15.75" customHeight="1" x14ac:dyDescent="0.25">
      <c r="A799" s="2"/>
      <c r="B799" s="3"/>
      <c r="C799" s="3"/>
      <c r="D799" s="3"/>
      <c r="E799" s="3"/>
      <c r="F799" s="3"/>
      <c r="G799" s="3"/>
      <c r="J799" s="4"/>
      <c r="L799" s="5"/>
      <c r="M799" s="5"/>
      <c r="N799" s="5"/>
      <c r="O799" s="5"/>
      <c r="P799" s="5"/>
    </row>
    <row r="800" spans="1:16" ht="15.75" customHeight="1" x14ac:dyDescent="0.25">
      <c r="A800" s="2"/>
      <c r="B800" s="3"/>
      <c r="C800" s="3"/>
      <c r="D800" s="3"/>
      <c r="E800" s="3"/>
      <c r="F800" s="3"/>
      <c r="G800" s="3"/>
      <c r="J800" s="4"/>
      <c r="L800" s="5"/>
      <c r="M800" s="5"/>
      <c r="N800" s="5"/>
      <c r="O800" s="5"/>
      <c r="P800" s="5"/>
    </row>
    <row r="801" spans="1:16" ht="15.75" customHeight="1" x14ac:dyDescent="0.25">
      <c r="A801" s="2"/>
      <c r="B801" s="3"/>
      <c r="C801" s="3"/>
      <c r="D801" s="3"/>
      <c r="E801" s="3"/>
      <c r="F801" s="3"/>
      <c r="G801" s="3"/>
      <c r="J801" s="4"/>
      <c r="L801" s="5"/>
      <c r="M801" s="5"/>
      <c r="N801" s="5"/>
      <c r="O801" s="5"/>
      <c r="P801" s="5"/>
    </row>
    <row r="802" spans="1:16" ht="15.75" customHeight="1" x14ac:dyDescent="0.25">
      <c r="A802" s="2"/>
      <c r="B802" s="3"/>
      <c r="C802" s="3"/>
      <c r="D802" s="3"/>
      <c r="E802" s="3"/>
      <c r="F802" s="3"/>
      <c r="G802" s="3"/>
      <c r="J802" s="4"/>
      <c r="L802" s="5"/>
      <c r="M802" s="5"/>
      <c r="N802" s="5"/>
      <c r="O802" s="5"/>
      <c r="P802" s="5"/>
    </row>
    <row r="803" spans="1:16" ht="15.75" customHeight="1" x14ac:dyDescent="0.25">
      <c r="A803" s="2"/>
      <c r="B803" s="3"/>
      <c r="C803" s="3"/>
      <c r="D803" s="3"/>
      <c r="E803" s="3"/>
      <c r="F803" s="3"/>
      <c r="G803" s="3"/>
      <c r="J803" s="4"/>
      <c r="L803" s="5"/>
      <c r="M803" s="5"/>
      <c r="N803" s="5"/>
      <c r="O803" s="5"/>
      <c r="P803" s="5"/>
    </row>
    <row r="804" spans="1:16" ht="15.75" customHeight="1" x14ac:dyDescent="0.25">
      <c r="A804" s="2"/>
      <c r="B804" s="3"/>
      <c r="C804" s="3"/>
      <c r="D804" s="3"/>
      <c r="E804" s="3"/>
      <c r="F804" s="3"/>
      <c r="G804" s="3"/>
      <c r="J804" s="4"/>
      <c r="L804" s="5"/>
      <c r="M804" s="5"/>
      <c r="N804" s="5"/>
      <c r="O804" s="5"/>
      <c r="P804" s="5"/>
    </row>
    <row r="805" spans="1:16" ht="15.75" customHeight="1" x14ac:dyDescent="0.25">
      <c r="A805" s="2"/>
      <c r="B805" s="3"/>
      <c r="C805" s="3"/>
      <c r="D805" s="3"/>
      <c r="E805" s="3"/>
      <c r="F805" s="3"/>
      <c r="G805" s="3"/>
      <c r="J805" s="4"/>
      <c r="L805" s="5"/>
      <c r="M805" s="5"/>
      <c r="N805" s="5"/>
      <c r="O805" s="5"/>
      <c r="P805" s="5"/>
    </row>
    <row r="806" spans="1:16" ht="15.75" customHeight="1" x14ac:dyDescent="0.25">
      <c r="A806" s="2"/>
      <c r="B806" s="3"/>
      <c r="C806" s="3"/>
      <c r="D806" s="3"/>
      <c r="E806" s="3"/>
      <c r="F806" s="3"/>
      <c r="G806" s="3"/>
      <c r="J806" s="4"/>
      <c r="L806" s="5"/>
      <c r="M806" s="5"/>
      <c r="N806" s="5"/>
      <c r="O806" s="5"/>
      <c r="P806" s="5"/>
    </row>
    <row r="807" spans="1:16" ht="15.75" customHeight="1" x14ac:dyDescent="0.25">
      <c r="A807" s="2"/>
      <c r="B807" s="3"/>
      <c r="C807" s="3"/>
      <c r="D807" s="3"/>
      <c r="E807" s="3"/>
      <c r="F807" s="3"/>
      <c r="G807" s="3"/>
      <c r="J807" s="4"/>
      <c r="L807" s="5"/>
      <c r="M807" s="5"/>
      <c r="N807" s="5"/>
      <c r="O807" s="5"/>
      <c r="P807" s="5"/>
    </row>
    <row r="808" spans="1:16" ht="15.75" customHeight="1" x14ac:dyDescent="0.25">
      <c r="A808" s="2"/>
      <c r="B808" s="3"/>
      <c r="C808" s="3"/>
      <c r="D808" s="3"/>
      <c r="E808" s="3"/>
      <c r="F808" s="3"/>
      <c r="G808" s="3"/>
      <c r="J808" s="4"/>
      <c r="L808" s="5"/>
      <c r="M808" s="5"/>
      <c r="N808" s="5"/>
      <c r="O808" s="5"/>
      <c r="P808" s="5"/>
    </row>
    <row r="809" spans="1:16" ht="15.75" customHeight="1" x14ac:dyDescent="0.25">
      <c r="A809" s="2"/>
      <c r="B809" s="3"/>
      <c r="C809" s="3"/>
      <c r="D809" s="3"/>
      <c r="E809" s="3"/>
      <c r="F809" s="3"/>
      <c r="G809" s="3"/>
      <c r="J809" s="4"/>
      <c r="L809" s="5"/>
      <c r="M809" s="5"/>
      <c r="N809" s="5"/>
      <c r="O809" s="5"/>
      <c r="P809" s="5"/>
    </row>
    <row r="810" spans="1:16" ht="15.75" customHeight="1" x14ac:dyDescent="0.25">
      <c r="A810" s="2"/>
      <c r="B810" s="3"/>
      <c r="C810" s="3"/>
      <c r="D810" s="3"/>
      <c r="E810" s="3"/>
      <c r="F810" s="3"/>
      <c r="G810" s="3"/>
      <c r="J810" s="4"/>
      <c r="L810" s="5"/>
      <c r="M810" s="5"/>
      <c r="N810" s="5"/>
      <c r="O810" s="5"/>
      <c r="P810" s="5"/>
    </row>
    <row r="811" spans="1:16" ht="15.75" customHeight="1" x14ac:dyDescent="0.25">
      <c r="A811" s="2"/>
      <c r="B811" s="3"/>
      <c r="C811" s="3"/>
      <c r="D811" s="3"/>
      <c r="E811" s="3"/>
      <c r="F811" s="3"/>
      <c r="G811" s="3"/>
      <c r="J811" s="4"/>
      <c r="L811" s="5"/>
      <c r="M811" s="5"/>
      <c r="N811" s="5"/>
      <c r="O811" s="5"/>
      <c r="P811" s="5"/>
    </row>
    <row r="812" spans="1:16" ht="15.75" customHeight="1" x14ac:dyDescent="0.25">
      <c r="A812" s="2"/>
      <c r="B812" s="3"/>
      <c r="C812" s="3"/>
      <c r="D812" s="3"/>
      <c r="E812" s="3"/>
      <c r="F812" s="3"/>
      <c r="G812" s="3"/>
      <c r="J812" s="4"/>
      <c r="L812" s="5"/>
      <c r="M812" s="5"/>
      <c r="N812" s="5"/>
      <c r="O812" s="5"/>
      <c r="P812" s="5"/>
    </row>
    <row r="813" spans="1:16" ht="15.75" customHeight="1" x14ac:dyDescent="0.25">
      <c r="A813" s="2"/>
      <c r="B813" s="3"/>
      <c r="C813" s="3"/>
      <c r="D813" s="3"/>
      <c r="E813" s="3"/>
      <c r="F813" s="3"/>
      <c r="G813" s="3"/>
      <c r="J813" s="4"/>
      <c r="L813" s="5"/>
      <c r="M813" s="5"/>
      <c r="N813" s="5"/>
      <c r="O813" s="5"/>
      <c r="P813" s="5"/>
    </row>
    <row r="814" spans="1:16" ht="15.75" customHeight="1" x14ac:dyDescent="0.25">
      <c r="A814" s="2"/>
      <c r="B814" s="3"/>
      <c r="C814" s="3"/>
      <c r="D814" s="3"/>
      <c r="E814" s="3"/>
      <c r="F814" s="3"/>
      <c r="G814" s="3"/>
      <c r="J814" s="4"/>
      <c r="L814" s="5"/>
      <c r="M814" s="5"/>
      <c r="N814" s="5"/>
      <c r="O814" s="5"/>
      <c r="P814" s="5"/>
    </row>
    <row r="815" spans="1:16" ht="15.75" customHeight="1" x14ac:dyDescent="0.25">
      <c r="A815" s="2"/>
      <c r="B815" s="3"/>
      <c r="C815" s="3"/>
      <c r="D815" s="3"/>
      <c r="E815" s="3"/>
      <c r="F815" s="3"/>
      <c r="G815" s="3"/>
      <c r="J815" s="4"/>
      <c r="L815" s="5"/>
      <c r="M815" s="5"/>
      <c r="N815" s="5"/>
      <c r="O815" s="5"/>
      <c r="P815" s="5"/>
    </row>
    <row r="816" spans="1:16" ht="15.75" customHeight="1" x14ac:dyDescent="0.25">
      <c r="A816" s="2"/>
      <c r="B816" s="3"/>
      <c r="C816" s="3"/>
      <c r="D816" s="3"/>
      <c r="E816" s="3"/>
      <c r="F816" s="3"/>
      <c r="G816" s="3"/>
      <c r="J816" s="4"/>
      <c r="L816" s="5"/>
      <c r="M816" s="5"/>
      <c r="N816" s="5"/>
      <c r="O816" s="5"/>
      <c r="P816" s="5"/>
    </row>
    <row r="817" spans="1:16" ht="15.75" customHeight="1" x14ac:dyDescent="0.25">
      <c r="A817" s="2"/>
      <c r="B817" s="3"/>
      <c r="C817" s="3"/>
      <c r="D817" s="3"/>
      <c r="E817" s="3"/>
      <c r="F817" s="3"/>
      <c r="G817" s="3"/>
      <c r="J817" s="4"/>
      <c r="L817" s="5"/>
      <c r="M817" s="5"/>
      <c r="N817" s="5"/>
      <c r="O817" s="5"/>
      <c r="P817" s="5"/>
    </row>
    <row r="818" spans="1:16" ht="15.75" customHeight="1" x14ac:dyDescent="0.25">
      <c r="A818" s="2"/>
      <c r="B818" s="3"/>
      <c r="C818" s="3"/>
      <c r="D818" s="3"/>
      <c r="E818" s="3"/>
      <c r="F818" s="3"/>
      <c r="G818" s="3"/>
      <c r="J818" s="4"/>
      <c r="L818" s="5"/>
      <c r="M818" s="5"/>
      <c r="N818" s="5"/>
      <c r="O818" s="5"/>
      <c r="P818" s="5"/>
    </row>
    <row r="819" spans="1:16" ht="15.75" customHeight="1" x14ac:dyDescent="0.25">
      <c r="A819" s="2"/>
      <c r="B819" s="3"/>
      <c r="C819" s="3"/>
      <c r="D819" s="3"/>
      <c r="E819" s="3"/>
      <c r="F819" s="3"/>
      <c r="G819" s="3"/>
      <c r="J819" s="4"/>
      <c r="L819" s="5"/>
      <c r="M819" s="5"/>
      <c r="N819" s="5"/>
      <c r="O819" s="5"/>
      <c r="P819" s="5"/>
    </row>
    <row r="820" spans="1:16" ht="15.75" customHeight="1" x14ac:dyDescent="0.25">
      <c r="A820" s="2"/>
      <c r="B820" s="3"/>
      <c r="C820" s="3"/>
      <c r="D820" s="3"/>
      <c r="E820" s="3"/>
      <c r="F820" s="3"/>
      <c r="G820" s="3"/>
      <c r="J820" s="4"/>
      <c r="L820" s="5"/>
      <c r="M820" s="5"/>
      <c r="N820" s="5"/>
      <c r="O820" s="5"/>
      <c r="P820" s="5"/>
    </row>
    <row r="821" spans="1:16" ht="15.75" customHeight="1" x14ac:dyDescent="0.25">
      <c r="A821" s="2"/>
      <c r="B821" s="3"/>
      <c r="C821" s="3"/>
      <c r="D821" s="3"/>
      <c r="E821" s="3"/>
      <c r="F821" s="3"/>
      <c r="G821" s="3"/>
      <c r="J821" s="4"/>
      <c r="L821" s="5"/>
      <c r="M821" s="5"/>
      <c r="N821" s="5"/>
      <c r="O821" s="5"/>
      <c r="P821" s="5"/>
    </row>
    <row r="822" spans="1:16" ht="15.75" customHeight="1" x14ac:dyDescent="0.25">
      <c r="A822" s="2"/>
      <c r="B822" s="3"/>
      <c r="C822" s="3"/>
      <c r="D822" s="3"/>
      <c r="E822" s="3"/>
      <c r="F822" s="3"/>
      <c r="G822" s="3"/>
      <c r="J822" s="4"/>
      <c r="L822" s="5"/>
      <c r="M822" s="5"/>
      <c r="N822" s="5"/>
      <c r="O822" s="5"/>
      <c r="P822" s="5"/>
    </row>
    <row r="823" spans="1:16" ht="15.75" customHeight="1" x14ac:dyDescent="0.25">
      <c r="A823" s="2"/>
      <c r="B823" s="3"/>
      <c r="C823" s="3"/>
      <c r="D823" s="3"/>
      <c r="E823" s="3"/>
      <c r="F823" s="3"/>
      <c r="G823" s="3"/>
      <c r="J823" s="4"/>
      <c r="L823" s="5"/>
      <c r="M823" s="5"/>
      <c r="N823" s="5"/>
      <c r="O823" s="5"/>
      <c r="P823" s="5"/>
    </row>
    <row r="824" spans="1:16" ht="15.75" customHeight="1" x14ac:dyDescent="0.25">
      <c r="A824" s="2"/>
      <c r="B824" s="3"/>
      <c r="C824" s="3"/>
      <c r="D824" s="3"/>
      <c r="E824" s="3"/>
      <c r="F824" s="3"/>
      <c r="G824" s="3"/>
      <c r="J824" s="4"/>
      <c r="L824" s="5"/>
      <c r="M824" s="5"/>
      <c r="N824" s="5"/>
      <c r="O824" s="5"/>
      <c r="P824" s="5"/>
    </row>
    <row r="825" spans="1:16" ht="15.75" customHeight="1" x14ac:dyDescent="0.25">
      <c r="A825" s="2"/>
      <c r="B825" s="3"/>
      <c r="C825" s="3"/>
      <c r="D825" s="3"/>
      <c r="E825" s="3"/>
      <c r="F825" s="3"/>
      <c r="G825" s="3"/>
      <c r="J825" s="4"/>
      <c r="L825" s="5"/>
      <c r="M825" s="5"/>
      <c r="N825" s="5"/>
      <c r="O825" s="5"/>
      <c r="P825" s="5"/>
    </row>
    <row r="826" spans="1:16" ht="15.75" customHeight="1" x14ac:dyDescent="0.25">
      <c r="A826" s="2"/>
      <c r="B826" s="3"/>
      <c r="C826" s="3"/>
      <c r="D826" s="3"/>
      <c r="E826" s="3"/>
      <c r="F826" s="3"/>
      <c r="G826" s="3"/>
      <c r="J826" s="4"/>
      <c r="L826" s="5"/>
      <c r="M826" s="5"/>
      <c r="N826" s="5"/>
      <c r="O826" s="5"/>
      <c r="P826" s="5"/>
    </row>
    <row r="827" spans="1:16" ht="15.75" customHeight="1" x14ac:dyDescent="0.25">
      <c r="A827" s="2"/>
      <c r="B827" s="3"/>
      <c r="C827" s="3"/>
      <c r="D827" s="3"/>
      <c r="E827" s="3"/>
      <c r="F827" s="3"/>
      <c r="G827" s="3"/>
      <c r="J827" s="4"/>
      <c r="L827" s="5"/>
      <c r="M827" s="5"/>
      <c r="N827" s="5"/>
      <c r="O827" s="5"/>
      <c r="P827" s="5"/>
    </row>
    <row r="828" spans="1:16" ht="15.75" customHeight="1" x14ac:dyDescent="0.25">
      <c r="A828" s="2"/>
      <c r="B828" s="3"/>
      <c r="C828" s="3"/>
      <c r="D828" s="3"/>
      <c r="E828" s="3"/>
      <c r="F828" s="3"/>
      <c r="G828" s="3"/>
      <c r="J828" s="4"/>
      <c r="L828" s="5"/>
      <c r="M828" s="5"/>
      <c r="N828" s="5"/>
      <c r="O828" s="5"/>
      <c r="P828" s="5"/>
    </row>
    <row r="829" spans="1:16" ht="15.75" customHeight="1" x14ac:dyDescent="0.25">
      <c r="A829" s="2"/>
      <c r="B829" s="3"/>
      <c r="C829" s="3"/>
      <c r="D829" s="3"/>
      <c r="E829" s="3"/>
      <c r="F829" s="3"/>
      <c r="G829" s="3"/>
      <c r="J829" s="4"/>
      <c r="L829" s="5"/>
      <c r="M829" s="5"/>
      <c r="N829" s="5"/>
      <c r="O829" s="5"/>
      <c r="P829" s="5"/>
    </row>
    <row r="830" spans="1:16" ht="15.75" customHeight="1" x14ac:dyDescent="0.25">
      <c r="A830" s="2"/>
      <c r="B830" s="3"/>
      <c r="C830" s="3"/>
      <c r="D830" s="3"/>
      <c r="E830" s="3"/>
      <c r="F830" s="3"/>
      <c r="G830" s="3"/>
      <c r="J830" s="4"/>
      <c r="L830" s="5"/>
      <c r="M830" s="5"/>
      <c r="N830" s="5"/>
      <c r="O830" s="5"/>
      <c r="P830" s="5"/>
    </row>
    <row r="831" spans="1:16" ht="15.75" customHeight="1" x14ac:dyDescent="0.25">
      <c r="A831" s="2"/>
      <c r="B831" s="3"/>
      <c r="C831" s="3"/>
      <c r="D831" s="3"/>
      <c r="E831" s="3"/>
      <c r="F831" s="3"/>
      <c r="G831" s="3"/>
      <c r="J831" s="4"/>
      <c r="L831" s="5"/>
      <c r="M831" s="5"/>
      <c r="N831" s="5"/>
      <c r="O831" s="5"/>
      <c r="P831" s="5"/>
    </row>
    <row r="832" spans="1:16" ht="15.75" customHeight="1" x14ac:dyDescent="0.25">
      <c r="A832" s="2"/>
      <c r="B832" s="3"/>
      <c r="C832" s="3"/>
      <c r="D832" s="3"/>
      <c r="E832" s="3"/>
      <c r="F832" s="3"/>
      <c r="G832" s="3"/>
      <c r="J832" s="4"/>
      <c r="L832" s="5"/>
      <c r="M832" s="5"/>
      <c r="N832" s="5"/>
      <c r="O832" s="5"/>
      <c r="P832" s="5"/>
    </row>
    <row r="833" spans="1:16" ht="15.75" customHeight="1" x14ac:dyDescent="0.25">
      <c r="A833" s="2"/>
      <c r="B833" s="3"/>
      <c r="C833" s="3"/>
      <c r="D833" s="3"/>
      <c r="E833" s="3"/>
      <c r="F833" s="3"/>
      <c r="G833" s="3"/>
      <c r="J833" s="4"/>
      <c r="L833" s="5"/>
      <c r="M833" s="5"/>
      <c r="N833" s="5"/>
      <c r="O833" s="5"/>
      <c r="P833" s="5"/>
    </row>
    <row r="834" spans="1:16" ht="15.75" customHeight="1" x14ac:dyDescent="0.25">
      <c r="A834" s="2"/>
      <c r="B834" s="3"/>
      <c r="C834" s="3"/>
      <c r="D834" s="3"/>
      <c r="E834" s="3"/>
      <c r="F834" s="3"/>
      <c r="G834" s="3"/>
      <c r="J834" s="4"/>
      <c r="L834" s="5"/>
      <c r="M834" s="5"/>
      <c r="N834" s="5"/>
      <c r="O834" s="5"/>
      <c r="P834" s="5"/>
    </row>
    <row r="835" spans="1:16" ht="15.75" customHeight="1" x14ac:dyDescent="0.25">
      <c r="A835" s="2"/>
      <c r="B835" s="3"/>
      <c r="C835" s="3"/>
      <c r="D835" s="3"/>
      <c r="E835" s="3"/>
      <c r="F835" s="3"/>
      <c r="G835" s="3"/>
      <c r="J835" s="4"/>
      <c r="L835" s="5"/>
      <c r="M835" s="5"/>
      <c r="N835" s="5"/>
      <c r="O835" s="5"/>
      <c r="P835" s="5"/>
    </row>
    <row r="836" spans="1:16" ht="15.75" customHeight="1" x14ac:dyDescent="0.25">
      <c r="A836" s="2"/>
      <c r="B836" s="3"/>
      <c r="C836" s="3"/>
      <c r="D836" s="3"/>
      <c r="E836" s="3"/>
      <c r="F836" s="3"/>
      <c r="G836" s="3"/>
      <c r="J836" s="4"/>
      <c r="L836" s="5"/>
      <c r="M836" s="5"/>
      <c r="N836" s="5"/>
      <c r="O836" s="5"/>
      <c r="P836" s="5"/>
    </row>
    <row r="837" spans="1:16" ht="15.75" customHeight="1" x14ac:dyDescent="0.25">
      <c r="A837" s="2"/>
      <c r="B837" s="3"/>
      <c r="C837" s="3"/>
      <c r="D837" s="3"/>
      <c r="E837" s="3"/>
      <c r="F837" s="3"/>
      <c r="G837" s="3"/>
      <c r="J837" s="4"/>
      <c r="L837" s="5"/>
      <c r="M837" s="5"/>
      <c r="N837" s="5"/>
      <c r="O837" s="5"/>
      <c r="P837" s="5"/>
    </row>
    <row r="838" spans="1:16" ht="15.75" customHeight="1" x14ac:dyDescent="0.25">
      <c r="A838" s="2"/>
      <c r="B838" s="3"/>
      <c r="C838" s="3"/>
      <c r="D838" s="3"/>
      <c r="E838" s="3"/>
      <c r="F838" s="3"/>
      <c r="G838" s="3"/>
      <c r="J838" s="4"/>
      <c r="L838" s="5"/>
      <c r="M838" s="5"/>
      <c r="N838" s="5"/>
      <c r="O838" s="5"/>
      <c r="P838" s="5"/>
    </row>
    <row r="839" spans="1:16" ht="15.75" customHeight="1" x14ac:dyDescent="0.25">
      <c r="A839" s="2"/>
      <c r="B839" s="3"/>
      <c r="C839" s="3"/>
      <c r="D839" s="3"/>
      <c r="E839" s="3"/>
      <c r="F839" s="3"/>
      <c r="G839" s="3"/>
      <c r="J839" s="4"/>
      <c r="L839" s="5"/>
      <c r="M839" s="5"/>
      <c r="N839" s="5"/>
      <c r="O839" s="5"/>
      <c r="P839" s="5"/>
    </row>
    <row r="840" spans="1:16" ht="15.75" customHeight="1" x14ac:dyDescent="0.25">
      <c r="A840" s="2"/>
      <c r="B840" s="3"/>
      <c r="C840" s="3"/>
      <c r="D840" s="3"/>
      <c r="E840" s="3"/>
      <c r="F840" s="3"/>
      <c r="G840" s="3"/>
      <c r="J840" s="4"/>
      <c r="L840" s="5"/>
      <c r="M840" s="5"/>
      <c r="N840" s="5"/>
      <c r="O840" s="5"/>
      <c r="P840" s="5"/>
    </row>
    <row r="841" spans="1:16" ht="15.75" customHeight="1" x14ac:dyDescent="0.25">
      <c r="A841" s="2"/>
      <c r="B841" s="3"/>
      <c r="C841" s="3"/>
      <c r="D841" s="3"/>
      <c r="E841" s="3"/>
      <c r="F841" s="3"/>
      <c r="G841" s="3"/>
      <c r="J841" s="4"/>
      <c r="L841" s="5"/>
      <c r="M841" s="5"/>
      <c r="N841" s="5"/>
      <c r="O841" s="5"/>
      <c r="P841" s="5"/>
    </row>
    <row r="842" spans="1:16" ht="15.75" customHeight="1" x14ac:dyDescent="0.25">
      <c r="A842" s="2"/>
      <c r="B842" s="3"/>
      <c r="C842" s="3"/>
      <c r="D842" s="3"/>
      <c r="E842" s="3"/>
      <c r="F842" s="3"/>
      <c r="G842" s="3"/>
      <c r="J842" s="4"/>
      <c r="L842" s="5"/>
      <c r="M842" s="5"/>
      <c r="N842" s="5"/>
      <c r="O842" s="5"/>
      <c r="P842" s="5"/>
    </row>
    <row r="843" spans="1:16" ht="15.75" customHeight="1" x14ac:dyDescent="0.25">
      <c r="A843" s="2"/>
      <c r="B843" s="3"/>
      <c r="C843" s="3"/>
      <c r="D843" s="3"/>
      <c r="E843" s="3"/>
      <c r="F843" s="3"/>
      <c r="G843" s="3"/>
      <c r="J843" s="4"/>
      <c r="L843" s="5"/>
      <c r="M843" s="5"/>
      <c r="N843" s="5"/>
      <c r="O843" s="5"/>
      <c r="P843" s="5"/>
    </row>
    <row r="844" spans="1:16" ht="15.75" customHeight="1" x14ac:dyDescent="0.25">
      <c r="A844" s="2"/>
      <c r="B844" s="3"/>
      <c r="C844" s="3"/>
      <c r="D844" s="3"/>
      <c r="E844" s="3"/>
      <c r="F844" s="3"/>
      <c r="G844" s="3"/>
      <c r="J844" s="4"/>
      <c r="L844" s="5"/>
      <c r="M844" s="5"/>
      <c r="N844" s="5"/>
      <c r="O844" s="5"/>
      <c r="P844" s="5"/>
    </row>
    <row r="845" spans="1:16" ht="15.75" customHeight="1" x14ac:dyDescent="0.25">
      <c r="A845" s="2"/>
      <c r="B845" s="3"/>
      <c r="C845" s="3"/>
      <c r="D845" s="3"/>
      <c r="E845" s="3"/>
      <c r="F845" s="3"/>
      <c r="G845" s="3"/>
      <c r="J845" s="4"/>
      <c r="L845" s="5"/>
      <c r="M845" s="5"/>
      <c r="N845" s="5"/>
      <c r="O845" s="5"/>
      <c r="P845" s="5"/>
    </row>
    <row r="846" spans="1:16" ht="15.75" customHeight="1" x14ac:dyDescent="0.25">
      <c r="A846" s="2"/>
      <c r="B846" s="3"/>
      <c r="C846" s="3"/>
      <c r="D846" s="3"/>
      <c r="E846" s="3"/>
      <c r="F846" s="3"/>
      <c r="G846" s="3"/>
      <c r="J846" s="4"/>
      <c r="L846" s="5"/>
      <c r="M846" s="5"/>
      <c r="N846" s="5"/>
      <c r="O846" s="5"/>
      <c r="P846" s="5"/>
    </row>
    <row r="847" spans="1:16" ht="15.75" customHeight="1" x14ac:dyDescent="0.25">
      <c r="A847" s="2"/>
      <c r="B847" s="3"/>
      <c r="C847" s="3"/>
      <c r="D847" s="3"/>
      <c r="E847" s="3"/>
      <c r="F847" s="3"/>
      <c r="G847" s="3"/>
      <c r="J847" s="4"/>
      <c r="L847" s="5"/>
      <c r="M847" s="5"/>
      <c r="N847" s="5"/>
      <c r="O847" s="5"/>
      <c r="P847" s="5"/>
    </row>
    <row r="848" spans="1:16" ht="15.75" customHeight="1" x14ac:dyDescent="0.25">
      <c r="A848" s="2"/>
      <c r="B848" s="3"/>
      <c r="C848" s="3"/>
      <c r="D848" s="3"/>
      <c r="E848" s="3"/>
      <c r="F848" s="3"/>
      <c r="G848" s="3"/>
      <c r="J848" s="4"/>
      <c r="L848" s="5"/>
      <c r="M848" s="5"/>
      <c r="N848" s="5"/>
      <c r="O848" s="5"/>
      <c r="P848" s="5"/>
    </row>
    <row r="849" spans="1:16" ht="15.75" customHeight="1" x14ac:dyDescent="0.25">
      <c r="A849" s="2"/>
      <c r="B849" s="3"/>
      <c r="C849" s="3"/>
      <c r="D849" s="3"/>
      <c r="E849" s="3"/>
      <c r="F849" s="3"/>
      <c r="G849" s="3"/>
      <c r="J849" s="4"/>
      <c r="L849" s="5"/>
      <c r="M849" s="5"/>
      <c r="N849" s="5"/>
      <c r="O849" s="5"/>
      <c r="P849" s="5"/>
    </row>
    <row r="850" spans="1:16" ht="15.75" customHeight="1" x14ac:dyDescent="0.25">
      <c r="A850" s="2"/>
      <c r="B850" s="3"/>
      <c r="C850" s="3"/>
      <c r="D850" s="3"/>
      <c r="E850" s="3"/>
      <c r="F850" s="3"/>
      <c r="G850" s="3"/>
      <c r="J850" s="4"/>
      <c r="L850" s="5"/>
      <c r="M850" s="5"/>
      <c r="N850" s="5"/>
      <c r="O850" s="5"/>
      <c r="P850" s="5"/>
    </row>
    <row r="851" spans="1:16" ht="15.75" customHeight="1" x14ac:dyDescent="0.25">
      <c r="A851" s="2"/>
      <c r="B851" s="3"/>
      <c r="C851" s="3"/>
      <c r="D851" s="3"/>
      <c r="E851" s="3"/>
      <c r="F851" s="3"/>
      <c r="G851" s="3"/>
      <c r="J851" s="4"/>
      <c r="L851" s="5"/>
      <c r="M851" s="5"/>
      <c r="N851" s="5"/>
      <c r="O851" s="5"/>
      <c r="P851" s="5"/>
    </row>
    <row r="852" spans="1:16" ht="15.75" customHeight="1" x14ac:dyDescent="0.25">
      <c r="A852" s="2"/>
      <c r="B852" s="3"/>
      <c r="C852" s="3"/>
      <c r="D852" s="3"/>
      <c r="E852" s="3"/>
      <c r="F852" s="3"/>
      <c r="G852" s="3"/>
      <c r="J852" s="4"/>
      <c r="L852" s="5"/>
      <c r="M852" s="5"/>
      <c r="N852" s="5"/>
      <c r="O852" s="5"/>
      <c r="P852" s="5"/>
    </row>
    <row r="853" spans="1:16" ht="15.75" customHeight="1" x14ac:dyDescent="0.25">
      <c r="A853" s="2"/>
      <c r="B853" s="3"/>
      <c r="C853" s="3"/>
      <c r="D853" s="3"/>
      <c r="E853" s="3"/>
      <c r="F853" s="3"/>
      <c r="G853" s="3"/>
      <c r="J853" s="4"/>
      <c r="L853" s="5"/>
      <c r="M853" s="5"/>
      <c r="N853" s="5"/>
      <c r="O853" s="5"/>
      <c r="P853" s="5"/>
    </row>
    <row r="854" spans="1:16" ht="15.75" customHeight="1" x14ac:dyDescent="0.25">
      <c r="A854" s="2"/>
      <c r="B854" s="3"/>
      <c r="C854" s="3"/>
      <c r="D854" s="3"/>
      <c r="E854" s="3"/>
      <c r="F854" s="3"/>
      <c r="G854" s="3"/>
      <c r="J854" s="4"/>
      <c r="L854" s="5"/>
      <c r="M854" s="5"/>
      <c r="N854" s="5"/>
      <c r="O854" s="5"/>
      <c r="P854" s="5"/>
    </row>
    <row r="855" spans="1:16" ht="15.75" customHeight="1" x14ac:dyDescent="0.25">
      <c r="A855" s="2"/>
      <c r="B855" s="3"/>
      <c r="C855" s="3"/>
      <c r="D855" s="3"/>
      <c r="E855" s="3"/>
      <c r="F855" s="3"/>
      <c r="G855" s="3"/>
      <c r="J855" s="4"/>
      <c r="L855" s="5"/>
      <c r="M855" s="5"/>
      <c r="N855" s="5"/>
      <c r="O855" s="5"/>
      <c r="P855" s="5"/>
    </row>
    <row r="856" spans="1:16" ht="15.75" customHeight="1" x14ac:dyDescent="0.25">
      <c r="A856" s="2"/>
      <c r="B856" s="3"/>
      <c r="C856" s="3"/>
      <c r="D856" s="3"/>
      <c r="E856" s="3"/>
      <c r="F856" s="3"/>
      <c r="G856" s="3"/>
      <c r="J856" s="4"/>
      <c r="L856" s="5"/>
      <c r="M856" s="5"/>
      <c r="N856" s="5"/>
      <c r="O856" s="5"/>
      <c r="P856" s="5"/>
    </row>
    <row r="857" spans="1:16" ht="15.75" customHeight="1" x14ac:dyDescent="0.25">
      <c r="A857" s="2"/>
      <c r="B857" s="3"/>
      <c r="C857" s="3"/>
      <c r="D857" s="3"/>
      <c r="E857" s="3"/>
      <c r="F857" s="3"/>
      <c r="G857" s="3"/>
      <c r="J857" s="4"/>
      <c r="L857" s="5"/>
      <c r="M857" s="5"/>
      <c r="N857" s="5"/>
      <c r="O857" s="5"/>
      <c r="P857" s="5"/>
    </row>
    <row r="858" spans="1:16" ht="15.75" customHeight="1" x14ac:dyDescent="0.25">
      <c r="A858" s="2"/>
      <c r="B858" s="3"/>
      <c r="C858" s="3"/>
      <c r="D858" s="3"/>
      <c r="E858" s="3"/>
      <c r="F858" s="3"/>
      <c r="G858" s="3"/>
      <c r="J858" s="4"/>
      <c r="L858" s="5"/>
      <c r="M858" s="5"/>
      <c r="N858" s="5"/>
      <c r="O858" s="5"/>
      <c r="P858" s="5"/>
    </row>
    <row r="859" spans="1:16" ht="15.75" customHeight="1" x14ac:dyDescent="0.25">
      <c r="A859" s="2"/>
      <c r="B859" s="3"/>
      <c r="C859" s="3"/>
      <c r="D859" s="3"/>
      <c r="E859" s="3"/>
      <c r="F859" s="3"/>
      <c r="G859" s="3"/>
      <c r="J859" s="4"/>
      <c r="L859" s="5"/>
      <c r="M859" s="5"/>
      <c r="N859" s="5"/>
      <c r="O859" s="5"/>
      <c r="P859" s="5"/>
    </row>
    <row r="860" spans="1:16" ht="15.75" customHeight="1" x14ac:dyDescent="0.25">
      <c r="A860" s="2"/>
      <c r="B860" s="3"/>
      <c r="C860" s="3"/>
      <c r="D860" s="3"/>
      <c r="E860" s="3"/>
      <c r="F860" s="3"/>
      <c r="G860" s="3"/>
      <c r="J860" s="4"/>
      <c r="L860" s="5"/>
      <c r="M860" s="5"/>
      <c r="N860" s="5"/>
      <c r="O860" s="5"/>
      <c r="P860" s="5"/>
    </row>
    <row r="861" spans="1:16" ht="15.75" customHeight="1" x14ac:dyDescent="0.25">
      <c r="A861" s="2"/>
      <c r="B861" s="3"/>
      <c r="C861" s="3"/>
      <c r="D861" s="3"/>
      <c r="E861" s="3"/>
      <c r="F861" s="3"/>
      <c r="G861" s="3"/>
      <c r="J861" s="4"/>
      <c r="L861" s="5"/>
      <c r="M861" s="5"/>
      <c r="N861" s="5"/>
      <c r="O861" s="5"/>
      <c r="P861" s="5"/>
    </row>
    <row r="862" spans="1:16" ht="15.75" customHeight="1" x14ac:dyDescent="0.25">
      <c r="A862" s="2"/>
      <c r="B862" s="3"/>
      <c r="C862" s="3"/>
      <c r="D862" s="3"/>
      <c r="E862" s="3"/>
      <c r="F862" s="3"/>
      <c r="G862" s="3"/>
      <c r="J862" s="4"/>
      <c r="L862" s="5"/>
      <c r="M862" s="5"/>
      <c r="N862" s="5"/>
      <c r="O862" s="5"/>
      <c r="P862" s="5"/>
    </row>
    <row r="863" spans="1:16" ht="15.75" customHeight="1" x14ac:dyDescent="0.25">
      <c r="A863" s="2"/>
      <c r="B863" s="3"/>
      <c r="C863" s="3"/>
      <c r="D863" s="3"/>
      <c r="E863" s="3"/>
      <c r="F863" s="3"/>
      <c r="G863" s="3"/>
      <c r="J863" s="4"/>
      <c r="L863" s="5"/>
      <c r="M863" s="5"/>
      <c r="N863" s="5"/>
      <c r="O863" s="5"/>
      <c r="P863" s="5"/>
    </row>
    <row r="864" spans="1:16" ht="15.75" customHeight="1" x14ac:dyDescent="0.25">
      <c r="A864" s="2"/>
      <c r="B864" s="3"/>
      <c r="C864" s="3"/>
      <c r="D864" s="3"/>
      <c r="E864" s="3"/>
      <c r="F864" s="3"/>
      <c r="G864" s="3"/>
      <c r="J864" s="4"/>
      <c r="L864" s="5"/>
      <c r="M864" s="5"/>
      <c r="N864" s="5"/>
      <c r="O864" s="5"/>
      <c r="P864" s="5"/>
    </row>
    <row r="865" spans="1:16" ht="15.75" customHeight="1" x14ac:dyDescent="0.25">
      <c r="A865" s="2"/>
      <c r="B865" s="3"/>
      <c r="C865" s="3"/>
      <c r="D865" s="3"/>
      <c r="E865" s="3"/>
      <c r="F865" s="3"/>
      <c r="G865" s="3"/>
      <c r="J865" s="4"/>
      <c r="L865" s="5"/>
      <c r="M865" s="5"/>
      <c r="N865" s="5"/>
      <c r="O865" s="5"/>
      <c r="P865" s="5"/>
    </row>
    <row r="866" spans="1:16" ht="15.75" customHeight="1" x14ac:dyDescent="0.25">
      <c r="A866" s="2"/>
      <c r="B866" s="3"/>
      <c r="C866" s="3"/>
      <c r="D866" s="3"/>
      <c r="E866" s="3"/>
      <c r="F866" s="3"/>
      <c r="G866" s="3"/>
      <c r="J866" s="4"/>
      <c r="L866" s="5"/>
      <c r="M866" s="5"/>
      <c r="N866" s="5"/>
      <c r="O866" s="5"/>
      <c r="P866" s="5"/>
    </row>
    <row r="867" spans="1:16" ht="15.75" customHeight="1" x14ac:dyDescent="0.25">
      <c r="A867" s="2"/>
      <c r="B867" s="3"/>
      <c r="C867" s="3"/>
      <c r="D867" s="3"/>
      <c r="E867" s="3"/>
      <c r="F867" s="3"/>
      <c r="G867" s="3"/>
      <c r="J867" s="4"/>
      <c r="L867" s="5"/>
      <c r="M867" s="5"/>
      <c r="N867" s="5"/>
      <c r="O867" s="5"/>
      <c r="P867" s="5"/>
    </row>
    <row r="868" spans="1:16" ht="15.75" customHeight="1" x14ac:dyDescent="0.25">
      <c r="A868" s="2"/>
      <c r="B868" s="3"/>
      <c r="C868" s="3"/>
      <c r="D868" s="3"/>
      <c r="E868" s="3"/>
      <c r="F868" s="3"/>
      <c r="G868" s="3"/>
      <c r="J868" s="4"/>
      <c r="L868" s="5"/>
      <c r="M868" s="5"/>
      <c r="N868" s="5"/>
      <c r="O868" s="5"/>
      <c r="P868" s="5"/>
    </row>
    <row r="869" spans="1:16" ht="15.75" customHeight="1" x14ac:dyDescent="0.25">
      <c r="A869" s="2"/>
      <c r="B869" s="3"/>
      <c r="C869" s="3"/>
      <c r="D869" s="3"/>
      <c r="E869" s="3"/>
      <c r="F869" s="3"/>
      <c r="G869" s="3"/>
      <c r="J869" s="4"/>
      <c r="L869" s="5"/>
      <c r="M869" s="5"/>
      <c r="N869" s="5"/>
      <c r="O869" s="5"/>
      <c r="P869" s="5"/>
    </row>
    <row r="870" spans="1:16" ht="15.75" customHeight="1" x14ac:dyDescent="0.25">
      <c r="A870" s="2"/>
      <c r="B870" s="3"/>
      <c r="C870" s="3"/>
      <c r="D870" s="3"/>
      <c r="E870" s="3"/>
      <c r="F870" s="3"/>
      <c r="G870" s="3"/>
      <c r="J870" s="4"/>
      <c r="L870" s="5"/>
      <c r="M870" s="5"/>
      <c r="N870" s="5"/>
      <c r="O870" s="5"/>
      <c r="P870" s="5"/>
    </row>
    <row r="871" spans="1:16" ht="15.75" customHeight="1" x14ac:dyDescent="0.25">
      <c r="A871" s="2"/>
      <c r="B871" s="3"/>
      <c r="C871" s="3"/>
      <c r="D871" s="3"/>
      <c r="E871" s="3"/>
      <c r="F871" s="3"/>
      <c r="G871" s="3"/>
      <c r="J871" s="4"/>
      <c r="L871" s="5"/>
      <c r="M871" s="5"/>
      <c r="N871" s="5"/>
      <c r="O871" s="5"/>
      <c r="P871" s="5"/>
    </row>
    <row r="872" spans="1:16" ht="15.75" customHeight="1" x14ac:dyDescent="0.25">
      <c r="A872" s="2"/>
      <c r="B872" s="3"/>
      <c r="C872" s="3"/>
      <c r="D872" s="3"/>
      <c r="E872" s="3"/>
      <c r="F872" s="3"/>
      <c r="G872" s="3"/>
      <c r="J872" s="4"/>
      <c r="L872" s="5"/>
      <c r="M872" s="5"/>
      <c r="N872" s="5"/>
      <c r="O872" s="5"/>
      <c r="P872" s="5"/>
    </row>
    <row r="873" spans="1:16" ht="15.75" customHeight="1" x14ac:dyDescent="0.25">
      <c r="A873" s="2"/>
      <c r="B873" s="3"/>
      <c r="C873" s="3"/>
      <c r="D873" s="3"/>
      <c r="E873" s="3"/>
      <c r="F873" s="3"/>
      <c r="G873" s="3"/>
      <c r="J873" s="4"/>
      <c r="L873" s="5"/>
      <c r="M873" s="5"/>
      <c r="N873" s="5"/>
      <c r="O873" s="5"/>
      <c r="P873" s="5"/>
    </row>
    <row r="874" spans="1:16" ht="15.75" customHeight="1" x14ac:dyDescent="0.25">
      <c r="A874" s="2"/>
      <c r="B874" s="3"/>
      <c r="C874" s="3"/>
      <c r="D874" s="3"/>
      <c r="E874" s="3"/>
      <c r="F874" s="3"/>
      <c r="G874" s="3"/>
      <c r="J874" s="4"/>
      <c r="L874" s="5"/>
      <c r="M874" s="5"/>
      <c r="N874" s="5"/>
      <c r="O874" s="5"/>
      <c r="P874" s="5"/>
    </row>
    <row r="875" spans="1:16" ht="15.75" customHeight="1" x14ac:dyDescent="0.25">
      <c r="A875" s="2"/>
      <c r="B875" s="3"/>
      <c r="C875" s="3"/>
      <c r="D875" s="3"/>
      <c r="E875" s="3"/>
      <c r="F875" s="3"/>
      <c r="G875" s="3"/>
      <c r="J875" s="4"/>
      <c r="L875" s="5"/>
      <c r="M875" s="5"/>
      <c r="N875" s="5"/>
      <c r="O875" s="5"/>
      <c r="P875" s="5"/>
    </row>
    <row r="876" spans="1:16" ht="15.75" customHeight="1" x14ac:dyDescent="0.25">
      <c r="A876" s="2"/>
      <c r="B876" s="3"/>
      <c r="C876" s="3"/>
      <c r="D876" s="3"/>
      <c r="E876" s="3"/>
      <c r="F876" s="3"/>
      <c r="G876" s="3"/>
      <c r="J876" s="4"/>
      <c r="L876" s="5"/>
      <c r="M876" s="5"/>
      <c r="N876" s="5"/>
      <c r="O876" s="5"/>
      <c r="P876" s="5"/>
    </row>
    <row r="877" spans="1:16" ht="15.75" customHeight="1" x14ac:dyDescent="0.25">
      <c r="A877" s="2"/>
      <c r="B877" s="3"/>
      <c r="C877" s="3"/>
      <c r="D877" s="3"/>
      <c r="E877" s="3"/>
      <c r="F877" s="3"/>
      <c r="G877" s="3"/>
      <c r="J877" s="4"/>
      <c r="L877" s="5"/>
      <c r="M877" s="5"/>
      <c r="N877" s="5"/>
      <c r="O877" s="5"/>
      <c r="P877" s="5"/>
    </row>
    <row r="878" spans="1:16" ht="15.75" customHeight="1" x14ac:dyDescent="0.25">
      <c r="A878" s="2"/>
      <c r="B878" s="3"/>
      <c r="C878" s="3"/>
      <c r="D878" s="3"/>
      <c r="E878" s="3"/>
      <c r="F878" s="3"/>
      <c r="G878" s="3"/>
      <c r="J878" s="4"/>
      <c r="L878" s="5"/>
      <c r="M878" s="5"/>
      <c r="N878" s="5"/>
      <c r="O878" s="5"/>
      <c r="P878" s="5"/>
    </row>
    <row r="879" spans="1:16" ht="15.75" customHeight="1" x14ac:dyDescent="0.25">
      <c r="A879" s="2"/>
      <c r="B879" s="3"/>
      <c r="C879" s="3"/>
      <c r="D879" s="3"/>
      <c r="E879" s="3"/>
      <c r="F879" s="3"/>
      <c r="G879" s="3"/>
      <c r="J879" s="4"/>
      <c r="L879" s="5"/>
      <c r="M879" s="5"/>
      <c r="N879" s="5"/>
      <c r="O879" s="5"/>
      <c r="P879" s="5"/>
    </row>
    <row r="880" spans="1:16" ht="15.75" customHeight="1" x14ac:dyDescent="0.25">
      <c r="A880" s="2"/>
      <c r="B880" s="3"/>
      <c r="C880" s="3"/>
      <c r="D880" s="3"/>
      <c r="E880" s="3"/>
      <c r="F880" s="3"/>
      <c r="G880" s="3"/>
      <c r="J880" s="4"/>
      <c r="L880" s="5"/>
      <c r="M880" s="5"/>
      <c r="N880" s="5"/>
      <c r="O880" s="5"/>
      <c r="P880" s="5"/>
    </row>
    <row r="881" spans="1:16" ht="15.75" customHeight="1" x14ac:dyDescent="0.25">
      <c r="A881" s="2"/>
      <c r="B881" s="3"/>
      <c r="C881" s="3"/>
      <c r="D881" s="3"/>
      <c r="E881" s="3"/>
      <c r="F881" s="3"/>
      <c r="G881" s="3"/>
      <c r="J881" s="4"/>
      <c r="L881" s="5"/>
      <c r="M881" s="5"/>
      <c r="N881" s="5"/>
      <c r="O881" s="5"/>
      <c r="P881" s="5"/>
    </row>
    <row r="882" spans="1:16" ht="15.75" customHeight="1" x14ac:dyDescent="0.25">
      <c r="A882" s="2"/>
      <c r="B882" s="3"/>
      <c r="C882" s="3"/>
      <c r="D882" s="3"/>
      <c r="E882" s="3"/>
      <c r="F882" s="3"/>
      <c r="G882" s="3"/>
      <c r="J882" s="4"/>
      <c r="L882" s="5"/>
      <c r="M882" s="5"/>
      <c r="N882" s="5"/>
      <c r="O882" s="5"/>
      <c r="P882" s="5"/>
    </row>
    <row r="883" spans="1:16" ht="15.75" customHeight="1" x14ac:dyDescent="0.25">
      <c r="A883" s="2"/>
      <c r="B883" s="3"/>
      <c r="C883" s="3"/>
      <c r="D883" s="3"/>
      <c r="E883" s="3"/>
      <c r="F883" s="3"/>
      <c r="G883" s="3"/>
      <c r="J883" s="4"/>
      <c r="L883" s="5"/>
      <c r="M883" s="5"/>
      <c r="N883" s="5"/>
      <c r="O883" s="5"/>
      <c r="P883" s="5"/>
    </row>
    <row r="884" spans="1:16" ht="15.75" customHeight="1" x14ac:dyDescent="0.25">
      <c r="A884" s="2"/>
      <c r="B884" s="3"/>
      <c r="C884" s="3"/>
      <c r="D884" s="3"/>
      <c r="E884" s="3"/>
      <c r="F884" s="3"/>
      <c r="G884" s="3"/>
      <c r="J884" s="4"/>
      <c r="L884" s="5"/>
      <c r="M884" s="5"/>
      <c r="N884" s="5"/>
      <c r="O884" s="5"/>
      <c r="P884" s="5"/>
    </row>
    <row r="885" spans="1:16" ht="15.75" customHeight="1" x14ac:dyDescent="0.25">
      <c r="A885" s="2"/>
      <c r="B885" s="3"/>
      <c r="C885" s="3"/>
      <c r="D885" s="3"/>
      <c r="E885" s="3"/>
      <c r="F885" s="3"/>
      <c r="G885" s="3"/>
      <c r="J885" s="4"/>
      <c r="L885" s="5"/>
      <c r="M885" s="5"/>
      <c r="N885" s="5"/>
      <c r="O885" s="5"/>
      <c r="P885" s="5"/>
    </row>
    <row r="886" spans="1:16" ht="15.75" customHeight="1" x14ac:dyDescent="0.25">
      <c r="A886" s="2"/>
      <c r="B886" s="3"/>
      <c r="C886" s="3"/>
      <c r="D886" s="3"/>
      <c r="E886" s="3"/>
      <c r="F886" s="3"/>
      <c r="G886" s="3"/>
      <c r="J886" s="4"/>
      <c r="L886" s="5"/>
      <c r="M886" s="5"/>
      <c r="N886" s="5"/>
      <c r="O886" s="5"/>
      <c r="P886" s="5"/>
    </row>
    <row r="887" spans="1:16" ht="15.75" customHeight="1" x14ac:dyDescent="0.25">
      <c r="A887" s="2"/>
      <c r="B887" s="3"/>
      <c r="C887" s="3"/>
      <c r="D887" s="3"/>
      <c r="E887" s="3"/>
      <c r="F887" s="3"/>
      <c r="G887" s="3"/>
      <c r="J887" s="4"/>
      <c r="L887" s="5"/>
      <c r="M887" s="5"/>
      <c r="N887" s="5"/>
      <c r="O887" s="5"/>
      <c r="P887" s="5"/>
    </row>
    <row r="888" spans="1:16" ht="15.75" customHeight="1" x14ac:dyDescent="0.25">
      <c r="A888" s="2"/>
      <c r="B888" s="3"/>
      <c r="C888" s="3"/>
      <c r="D888" s="3"/>
      <c r="E888" s="3"/>
      <c r="F888" s="3"/>
      <c r="G888" s="3"/>
      <c r="J888" s="4"/>
      <c r="L888" s="5"/>
      <c r="M888" s="5"/>
      <c r="N888" s="5"/>
      <c r="O888" s="5"/>
      <c r="P888" s="5"/>
    </row>
    <row r="889" spans="1:16" ht="15.75" customHeight="1" x14ac:dyDescent="0.25">
      <c r="A889" s="2"/>
      <c r="B889" s="3"/>
      <c r="C889" s="3"/>
      <c r="D889" s="3"/>
      <c r="E889" s="3"/>
      <c r="F889" s="3"/>
      <c r="G889" s="3"/>
      <c r="J889" s="4"/>
      <c r="L889" s="5"/>
      <c r="M889" s="5"/>
      <c r="N889" s="5"/>
      <c r="O889" s="5"/>
      <c r="P889" s="5"/>
    </row>
    <row r="890" spans="1:16" ht="15.75" customHeight="1" x14ac:dyDescent="0.25">
      <c r="A890" s="2"/>
      <c r="B890" s="3"/>
      <c r="C890" s="3"/>
      <c r="D890" s="3"/>
      <c r="E890" s="3"/>
      <c r="F890" s="3"/>
      <c r="G890" s="3"/>
      <c r="J890" s="4"/>
      <c r="L890" s="5"/>
      <c r="M890" s="5"/>
      <c r="N890" s="5"/>
      <c r="O890" s="5"/>
      <c r="P890" s="5"/>
    </row>
    <row r="891" spans="1:16" ht="15.75" customHeight="1" x14ac:dyDescent="0.25">
      <c r="A891" s="2"/>
      <c r="B891" s="3"/>
      <c r="C891" s="3"/>
      <c r="D891" s="3"/>
      <c r="E891" s="3"/>
      <c r="F891" s="3"/>
      <c r="G891" s="3"/>
      <c r="J891" s="4"/>
      <c r="L891" s="5"/>
      <c r="M891" s="5"/>
      <c r="N891" s="5"/>
      <c r="O891" s="5"/>
      <c r="P891" s="5"/>
    </row>
    <row r="892" spans="1:16" ht="15.75" customHeight="1" x14ac:dyDescent="0.25">
      <c r="A892" s="2"/>
      <c r="B892" s="3"/>
      <c r="C892" s="3"/>
      <c r="D892" s="3"/>
      <c r="E892" s="3"/>
      <c r="F892" s="3"/>
      <c r="G892" s="3"/>
      <c r="J892" s="4"/>
      <c r="L892" s="5"/>
      <c r="M892" s="5"/>
      <c r="N892" s="5"/>
      <c r="O892" s="5"/>
      <c r="P892" s="5"/>
    </row>
    <row r="893" spans="1:16" ht="15.75" customHeight="1" x14ac:dyDescent="0.25">
      <c r="A893" s="2"/>
      <c r="B893" s="3"/>
      <c r="C893" s="3"/>
      <c r="D893" s="3"/>
      <c r="E893" s="3"/>
      <c r="F893" s="3"/>
      <c r="G893" s="3"/>
      <c r="J893" s="4"/>
      <c r="L893" s="5"/>
      <c r="M893" s="5"/>
      <c r="N893" s="5"/>
      <c r="O893" s="5"/>
      <c r="P893" s="5"/>
    </row>
    <row r="894" spans="1:16" ht="15.75" customHeight="1" x14ac:dyDescent="0.25">
      <c r="A894" s="2"/>
      <c r="B894" s="3"/>
      <c r="C894" s="3"/>
      <c r="D894" s="3"/>
      <c r="E894" s="3"/>
      <c r="F894" s="3"/>
      <c r="G894" s="3"/>
      <c r="J894" s="4"/>
      <c r="L894" s="5"/>
      <c r="M894" s="5"/>
      <c r="N894" s="5"/>
      <c r="O894" s="5"/>
      <c r="P894" s="5"/>
    </row>
    <row r="895" spans="1:16" ht="15.75" customHeight="1" x14ac:dyDescent="0.25">
      <c r="A895" s="2"/>
      <c r="B895" s="3"/>
      <c r="C895" s="3"/>
      <c r="D895" s="3"/>
      <c r="E895" s="3"/>
      <c r="F895" s="3"/>
      <c r="G895" s="3"/>
      <c r="J895" s="4"/>
      <c r="L895" s="5"/>
      <c r="M895" s="5"/>
      <c r="N895" s="5"/>
      <c r="O895" s="5"/>
      <c r="P895" s="5"/>
    </row>
    <row r="896" spans="1:16" ht="15.75" customHeight="1" x14ac:dyDescent="0.25">
      <c r="A896" s="2"/>
      <c r="B896" s="3"/>
      <c r="C896" s="3"/>
      <c r="D896" s="3"/>
      <c r="E896" s="3"/>
      <c r="F896" s="3"/>
      <c r="G896" s="3"/>
      <c r="J896" s="4"/>
      <c r="L896" s="5"/>
      <c r="M896" s="5"/>
      <c r="N896" s="5"/>
      <c r="O896" s="5"/>
      <c r="P896" s="5"/>
    </row>
    <row r="897" spans="1:16" ht="15.75" customHeight="1" x14ac:dyDescent="0.25">
      <c r="A897" s="2"/>
      <c r="B897" s="3"/>
      <c r="C897" s="3"/>
      <c r="D897" s="3"/>
      <c r="E897" s="3"/>
      <c r="F897" s="3"/>
      <c r="G897" s="3"/>
      <c r="J897" s="4"/>
      <c r="L897" s="5"/>
      <c r="M897" s="5"/>
      <c r="N897" s="5"/>
      <c r="O897" s="5"/>
      <c r="P897" s="5"/>
    </row>
    <row r="898" spans="1:16" ht="15.75" customHeight="1" x14ac:dyDescent="0.25">
      <c r="A898" s="2"/>
      <c r="B898" s="3"/>
      <c r="C898" s="3"/>
      <c r="D898" s="3"/>
      <c r="E898" s="3"/>
      <c r="F898" s="3"/>
      <c r="G898" s="3"/>
      <c r="J898" s="4"/>
      <c r="L898" s="5"/>
      <c r="M898" s="5"/>
      <c r="N898" s="5"/>
      <c r="O898" s="5"/>
      <c r="P898" s="5"/>
    </row>
    <row r="899" spans="1:16" ht="15.75" customHeight="1" x14ac:dyDescent="0.25">
      <c r="A899" s="2"/>
      <c r="B899" s="3"/>
      <c r="C899" s="3"/>
      <c r="D899" s="3"/>
      <c r="E899" s="3"/>
      <c r="F899" s="3"/>
      <c r="G899" s="3"/>
      <c r="J899" s="4"/>
      <c r="L899" s="5"/>
      <c r="M899" s="5"/>
      <c r="N899" s="5"/>
      <c r="O899" s="5"/>
      <c r="P899" s="5"/>
    </row>
    <row r="900" spans="1:16" ht="15.75" customHeight="1" x14ac:dyDescent="0.25">
      <c r="A900" s="2"/>
      <c r="B900" s="3"/>
      <c r="C900" s="3"/>
      <c r="D900" s="3"/>
      <c r="E900" s="3"/>
      <c r="F900" s="3"/>
      <c r="G900" s="3"/>
      <c r="J900" s="4"/>
      <c r="L900" s="5"/>
      <c r="M900" s="5"/>
      <c r="N900" s="5"/>
      <c r="O900" s="5"/>
      <c r="P900" s="5"/>
    </row>
    <row r="901" spans="1:16" ht="15.75" customHeight="1" x14ac:dyDescent="0.25">
      <c r="A901" s="2"/>
      <c r="B901" s="3"/>
      <c r="C901" s="3"/>
      <c r="D901" s="3"/>
      <c r="E901" s="3"/>
      <c r="F901" s="3"/>
      <c r="G901" s="3"/>
      <c r="J901" s="4"/>
      <c r="L901" s="5"/>
      <c r="M901" s="5"/>
      <c r="N901" s="5"/>
      <c r="O901" s="5"/>
      <c r="P901" s="5"/>
    </row>
    <row r="902" spans="1:16" ht="15.75" customHeight="1" x14ac:dyDescent="0.25">
      <c r="A902" s="2"/>
      <c r="B902" s="3"/>
      <c r="C902" s="3"/>
      <c r="D902" s="3"/>
      <c r="E902" s="3"/>
      <c r="F902" s="3"/>
      <c r="G902" s="3"/>
      <c r="J902" s="4"/>
      <c r="L902" s="5"/>
      <c r="M902" s="5"/>
      <c r="N902" s="5"/>
      <c r="O902" s="5"/>
      <c r="P902" s="5"/>
    </row>
    <row r="903" spans="1:16" ht="15.75" customHeight="1" x14ac:dyDescent="0.25">
      <c r="A903" s="2"/>
      <c r="B903" s="3"/>
      <c r="C903" s="3"/>
      <c r="D903" s="3"/>
      <c r="E903" s="3"/>
      <c r="F903" s="3"/>
      <c r="G903" s="3"/>
      <c r="J903" s="4"/>
      <c r="L903" s="5"/>
      <c r="M903" s="5"/>
      <c r="N903" s="5"/>
      <c r="O903" s="5"/>
      <c r="P903" s="5"/>
    </row>
    <row r="904" spans="1:16" ht="15.75" customHeight="1" x14ac:dyDescent="0.25">
      <c r="A904" s="2"/>
      <c r="B904" s="3"/>
      <c r="C904" s="3"/>
      <c r="D904" s="3"/>
      <c r="E904" s="3"/>
      <c r="F904" s="3"/>
      <c r="G904" s="3"/>
      <c r="J904" s="4"/>
      <c r="L904" s="5"/>
      <c r="M904" s="5"/>
      <c r="N904" s="5"/>
      <c r="O904" s="5"/>
      <c r="P904" s="5"/>
    </row>
    <row r="905" spans="1:16" ht="15.75" customHeight="1" x14ac:dyDescent="0.25">
      <c r="A905" s="2"/>
      <c r="B905" s="3"/>
      <c r="C905" s="3"/>
      <c r="D905" s="3"/>
      <c r="E905" s="3"/>
      <c r="F905" s="3"/>
      <c r="G905" s="3"/>
      <c r="J905" s="4"/>
      <c r="L905" s="5"/>
      <c r="M905" s="5"/>
      <c r="N905" s="5"/>
      <c r="O905" s="5"/>
      <c r="P905" s="5"/>
    </row>
    <row r="906" spans="1:16" ht="15.75" customHeight="1" x14ac:dyDescent="0.25">
      <c r="A906" s="2"/>
      <c r="B906" s="3"/>
      <c r="C906" s="3"/>
      <c r="D906" s="3"/>
      <c r="E906" s="3"/>
      <c r="F906" s="3"/>
      <c r="G906" s="3"/>
      <c r="J906" s="4"/>
      <c r="L906" s="5"/>
      <c r="M906" s="5"/>
      <c r="N906" s="5"/>
      <c r="O906" s="5"/>
      <c r="P906" s="5"/>
    </row>
    <row r="907" spans="1:16" ht="15.75" customHeight="1" x14ac:dyDescent="0.25">
      <c r="A907" s="2"/>
      <c r="B907" s="3"/>
      <c r="C907" s="3"/>
      <c r="D907" s="3"/>
      <c r="E907" s="3"/>
      <c r="F907" s="3"/>
      <c r="G907" s="3"/>
      <c r="J907" s="4"/>
      <c r="L907" s="5"/>
      <c r="M907" s="5"/>
      <c r="N907" s="5"/>
      <c r="O907" s="5"/>
      <c r="P907" s="5"/>
    </row>
    <row r="908" spans="1:16" ht="15.75" customHeight="1" x14ac:dyDescent="0.25">
      <c r="A908" s="2"/>
      <c r="B908" s="3"/>
      <c r="C908" s="3"/>
      <c r="D908" s="3"/>
      <c r="E908" s="3"/>
      <c r="F908" s="3"/>
      <c r="G908" s="3"/>
      <c r="J908" s="4"/>
      <c r="L908" s="5"/>
      <c r="M908" s="5"/>
      <c r="N908" s="5"/>
      <c r="O908" s="5"/>
      <c r="P908" s="5"/>
    </row>
    <row r="909" spans="1:16" ht="15.75" customHeight="1" x14ac:dyDescent="0.25">
      <c r="A909" s="2"/>
      <c r="B909" s="3"/>
      <c r="C909" s="3"/>
      <c r="D909" s="3"/>
      <c r="E909" s="3"/>
      <c r="F909" s="3"/>
      <c r="G909" s="3"/>
      <c r="J909" s="4"/>
      <c r="L909" s="5"/>
      <c r="M909" s="5"/>
      <c r="N909" s="5"/>
      <c r="O909" s="5"/>
      <c r="P909" s="5"/>
    </row>
    <row r="910" spans="1:16" ht="15.75" customHeight="1" x14ac:dyDescent="0.25">
      <c r="A910" s="2"/>
      <c r="B910" s="3"/>
      <c r="C910" s="3"/>
      <c r="D910" s="3"/>
      <c r="E910" s="3"/>
      <c r="F910" s="3"/>
      <c r="G910" s="3"/>
      <c r="J910" s="4"/>
      <c r="L910" s="5"/>
      <c r="M910" s="5"/>
      <c r="N910" s="5"/>
      <c r="O910" s="5"/>
      <c r="P910" s="5"/>
    </row>
    <row r="911" spans="1:16" ht="15.75" customHeight="1" x14ac:dyDescent="0.25">
      <c r="A911" s="2"/>
      <c r="B911" s="3"/>
      <c r="C911" s="3"/>
      <c r="D911" s="3"/>
      <c r="E911" s="3"/>
      <c r="F911" s="3"/>
      <c r="G911" s="3"/>
      <c r="J911" s="4"/>
      <c r="L911" s="5"/>
      <c r="M911" s="5"/>
      <c r="N911" s="5"/>
      <c r="O911" s="5"/>
      <c r="P911" s="5"/>
    </row>
    <row r="912" spans="1:16" ht="15.75" customHeight="1" x14ac:dyDescent="0.25">
      <c r="A912" s="2"/>
      <c r="B912" s="3"/>
      <c r="C912" s="3"/>
      <c r="D912" s="3"/>
      <c r="E912" s="3"/>
      <c r="F912" s="3"/>
      <c r="G912" s="3"/>
      <c r="J912" s="4"/>
      <c r="L912" s="5"/>
      <c r="M912" s="5"/>
      <c r="N912" s="5"/>
      <c r="O912" s="5"/>
      <c r="P912" s="5"/>
    </row>
    <row r="913" spans="1:16" ht="15.75" customHeight="1" x14ac:dyDescent="0.25">
      <c r="A913" s="2"/>
      <c r="B913" s="3"/>
      <c r="C913" s="3"/>
      <c r="D913" s="3"/>
      <c r="E913" s="3"/>
      <c r="F913" s="3"/>
      <c r="G913" s="3"/>
      <c r="J913" s="4"/>
      <c r="L913" s="5"/>
      <c r="M913" s="5"/>
      <c r="N913" s="5"/>
      <c r="O913" s="5"/>
      <c r="P913" s="5"/>
    </row>
    <row r="914" spans="1:16" ht="15.75" customHeight="1" x14ac:dyDescent="0.25">
      <c r="A914" s="2"/>
      <c r="B914" s="3"/>
      <c r="C914" s="3"/>
      <c r="D914" s="3"/>
      <c r="E914" s="3"/>
      <c r="F914" s="3"/>
      <c r="G914" s="3"/>
      <c r="J914" s="4"/>
      <c r="L914" s="5"/>
      <c r="M914" s="5"/>
      <c r="N914" s="5"/>
      <c r="O914" s="5"/>
      <c r="P914" s="5"/>
    </row>
    <row r="915" spans="1:16" ht="15.75" customHeight="1" x14ac:dyDescent="0.25">
      <c r="A915" s="2"/>
      <c r="B915" s="3"/>
      <c r="C915" s="3"/>
      <c r="D915" s="3"/>
      <c r="E915" s="3"/>
      <c r="F915" s="3"/>
      <c r="G915" s="3"/>
      <c r="J915" s="4"/>
      <c r="L915" s="5"/>
      <c r="M915" s="5"/>
      <c r="N915" s="5"/>
      <c r="O915" s="5"/>
      <c r="P915" s="5"/>
    </row>
    <row r="916" spans="1:16" ht="15.75" customHeight="1" x14ac:dyDescent="0.25">
      <c r="A916" s="2"/>
      <c r="B916" s="3"/>
      <c r="C916" s="3"/>
      <c r="D916" s="3"/>
      <c r="E916" s="3"/>
      <c r="F916" s="3"/>
      <c r="G916" s="3"/>
      <c r="J916" s="4"/>
      <c r="L916" s="5"/>
      <c r="M916" s="5"/>
      <c r="N916" s="5"/>
      <c r="O916" s="5"/>
      <c r="P916" s="5"/>
    </row>
    <row r="917" spans="1:16" ht="15.75" customHeight="1" x14ac:dyDescent="0.25">
      <c r="A917" s="2"/>
      <c r="B917" s="3"/>
      <c r="C917" s="3"/>
      <c r="D917" s="3"/>
      <c r="E917" s="3"/>
      <c r="F917" s="3"/>
      <c r="G917" s="3"/>
      <c r="J917" s="4"/>
      <c r="L917" s="5"/>
      <c r="M917" s="5"/>
      <c r="N917" s="5"/>
      <c r="O917" s="5"/>
      <c r="P917" s="5"/>
    </row>
    <row r="918" spans="1:16" ht="15.75" customHeight="1" x14ac:dyDescent="0.25">
      <c r="A918" s="2"/>
      <c r="B918" s="3"/>
      <c r="C918" s="3"/>
      <c r="D918" s="3"/>
      <c r="E918" s="3"/>
      <c r="F918" s="3"/>
      <c r="G918" s="3"/>
      <c r="J918" s="4"/>
      <c r="L918" s="5"/>
      <c r="M918" s="5"/>
      <c r="N918" s="5"/>
      <c r="O918" s="5"/>
      <c r="P918" s="5"/>
    </row>
    <row r="919" spans="1:16" ht="15.75" customHeight="1" x14ac:dyDescent="0.25">
      <c r="A919" s="2"/>
      <c r="B919" s="3"/>
      <c r="C919" s="3"/>
      <c r="D919" s="3"/>
      <c r="E919" s="3"/>
      <c r="F919" s="3"/>
      <c r="G919" s="3"/>
      <c r="J919" s="4"/>
      <c r="L919" s="5"/>
      <c r="M919" s="5"/>
      <c r="N919" s="5"/>
      <c r="O919" s="5"/>
      <c r="P919" s="5"/>
    </row>
    <row r="920" spans="1:16" ht="15.75" customHeight="1" x14ac:dyDescent="0.25">
      <c r="A920" s="2"/>
      <c r="B920" s="3"/>
      <c r="C920" s="3"/>
      <c r="D920" s="3"/>
      <c r="E920" s="3"/>
      <c r="F920" s="3"/>
      <c r="G920" s="3"/>
      <c r="J920" s="4"/>
      <c r="L920" s="5"/>
      <c r="M920" s="5"/>
      <c r="N920" s="5"/>
      <c r="O920" s="5"/>
      <c r="P920" s="5"/>
    </row>
    <row r="921" spans="1:16" ht="15.75" customHeight="1" x14ac:dyDescent="0.25">
      <c r="A921" s="2"/>
      <c r="B921" s="3"/>
      <c r="C921" s="3"/>
      <c r="D921" s="3"/>
      <c r="E921" s="3"/>
      <c r="F921" s="3"/>
      <c r="G921" s="3"/>
      <c r="J921" s="4"/>
      <c r="L921" s="5"/>
      <c r="M921" s="5"/>
      <c r="N921" s="5"/>
      <c r="O921" s="5"/>
      <c r="P921" s="5"/>
    </row>
    <row r="922" spans="1:16" ht="15.75" customHeight="1" x14ac:dyDescent="0.25">
      <c r="A922" s="2"/>
      <c r="B922" s="3"/>
      <c r="C922" s="3"/>
      <c r="D922" s="3"/>
      <c r="E922" s="3"/>
      <c r="F922" s="3"/>
      <c r="G922" s="3"/>
      <c r="J922" s="4"/>
      <c r="L922" s="5"/>
      <c r="M922" s="5"/>
      <c r="N922" s="5"/>
      <c r="O922" s="5"/>
      <c r="P922" s="5"/>
    </row>
    <row r="923" spans="1:16" ht="15.75" customHeight="1" x14ac:dyDescent="0.25">
      <c r="A923" s="2"/>
      <c r="B923" s="3"/>
      <c r="C923" s="3"/>
      <c r="D923" s="3"/>
      <c r="E923" s="3"/>
      <c r="F923" s="3"/>
      <c r="G923" s="3"/>
      <c r="J923" s="4"/>
      <c r="L923" s="5"/>
      <c r="M923" s="5"/>
      <c r="N923" s="5"/>
      <c r="O923" s="5"/>
      <c r="P923" s="5"/>
    </row>
    <row r="924" spans="1:16" ht="15.75" customHeight="1" x14ac:dyDescent="0.25">
      <c r="A924" s="2"/>
      <c r="B924" s="3"/>
      <c r="C924" s="3"/>
      <c r="D924" s="3"/>
      <c r="E924" s="3"/>
      <c r="F924" s="3"/>
      <c r="G924" s="3"/>
      <c r="J924" s="4"/>
      <c r="L924" s="5"/>
      <c r="M924" s="5"/>
      <c r="N924" s="5"/>
      <c r="O924" s="5"/>
      <c r="P924" s="5"/>
    </row>
    <row r="925" spans="1:16" ht="15.75" customHeight="1" x14ac:dyDescent="0.25">
      <c r="A925" s="2"/>
      <c r="B925" s="3"/>
      <c r="C925" s="3"/>
      <c r="D925" s="3"/>
      <c r="E925" s="3"/>
      <c r="F925" s="3"/>
      <c r="G925" s="3"/>
      <c r="J925" s="4"/>
      <c r="L925" s="5"/>
      <c r="M925" s="5"/>
      <c r="N925" s="5"/>
      <c r="O925" s="5"/>
      <c r="P925" s="5"/>
    </row>
    <row r="926" spans="1:16" ht="15.75" customHeight="1" x14ac:dyDescent="0.25">
      <c r="A926" s="2"/>
      <c r="B926" s="3"/>
      <c r="C926" s="3"/>
      <c r="D926" s="3"/>
      <c r="E926" s="3"/>
      <c r="F926" s="3"/>
      <c r="G926" s="3"/>
      <c r="J926" s="4"/>
      <c r="L926" s="5"/>
      <c r="M926" s="5"/>
      <c r="N926" s="5"/>
      <c r="O926" s="5"/>
      <c r="P926" s="5"/>
    </row>
    <row r="927" spans="1:16" ht="15.75" customHeight="1" x14ac:dyDescent="0.25">
      <c r="A927" s="2"/>
      <c r="B927" s="3"/>
      <c r="C927" s="3"/>
      <c r="D927" s="3"/>
      <c r="E927" s="3"/>
      <c r="F927" s="3"/>
      <c r="G927" s="3"/>
      <c r="J927" s="4"/>
      <c r="L927" s="5"/>
      <c r="M927" s="5"/>
      <c r="N927" s="5"/>
      <c r="O927" s="5"/>
      <c r="P927" s="5"/>
    </row>
    <row r="928" spans="1:16" ht="15.75" customHeight="1" x14ac:dyDescent="0.25">
      <c r="A928" s="2"/>
      <c r="B928" s="3"/>
      <c r="C928" s="3"/>
      <c r="D928" s="3"/>
      <c r="E928" s="3"/>
      <c r="F928" s="3"/>
      <c r="G928" s="3"/>
      <c r="J928" s="4"/>
      <c r="L928" s="5"/>
      <c r="M928" s="5"/>
      <c r="N928" s="5"/>
      <c r="O928" s="5"/>
      <c r="P928" s="5"/>
    </row>
    <row r="929" spans="1:16" ht="15.75" customHeight="1" x14ac:dyDescent="0.25">
      <c r="A929" s="2"/>
      <c r="B929" s="3"/>
      <c r="C929" s="3"/>
      <c r="D929" s="3"/>
      <c r="E929" s="3"/>
      <c r="F929" s="3"/>
      <c r="G929" s="3"/>
      <c r="J929" s="4"/>
      <c r="L929" s="5"/>
      <c r="M929" s="5"/>
      <c r="N929" s="5"/>
      <c r="O929" s="5"/>
      <c r="P929" s="5"/>
    </row>
    <row r="930" spans="1:16" ht="15.75" customHeight="1" x14ac:dyDescent="0.25">
      <c r="A930" s="2"/>
      <c r="B930" s="3"/>
      <c r="C930" s="3"/>
      <c r="D930" s="3"/>
      <c r="E930" s="3"/>
      <c r="F930" s="3"/>
      <c r="G930" s="3"/>
      <c r="J930" s="4"/>
      <c r="L930" s="5"/>
      <c r="M930" s="5"/>
      <c r="N930" s="5"/>
      <c r="O930" s="5"/>
      <c r="P930" s="5"/>
    </row>
    <row r="931" spans="1:16" ht="15.75" customHeight="1" x14ac:dyDescent="0.25">
      <c r="A931" s="2"/>
      <c r="B931" s="3"/>
      <c r="C931" s="3"/>
      <c r="D931" s="3"/>
      <c r="E931" s="3"/>
      <c r="F931" s="3"/>
      <c r="G931" s="3"/>
      <c r="J931" s="4"/>
      <c r="L931" s="5"/>
      <c r="M931" s="5"/>
      <c r="N931" s="5"/>
      <c r="O931" s="5"/>
      <c r="P931" s="5"/>
    </row>
    <row r="932" spans="1:16" ht="15.75" customHeight="1" x14ac:dyDescent="0.25">
      <c r="A932" s="2"/>
      <c r="B932" s="3"/>
      <c r="C932" s="3"/>
      <c r="D932" s="3"/>
      <c r="E932" s="3"/>
      <c r="F932" s="3"/>
      <c r="G932" s="3"/>
      <c r="J932" s="4"/>
      <c r="L932" s="5"/>
      <c r="M932" s="5"/>
      <c r="N932" s="5"/>
      <c r="O932" s="5"/>
      <c r="P932" s="5"/>
    </row>
    <row r="933" spans="1:16" ht="15.75" customHeight="1" x14ac:dyDescent="0.25">
      <c r="A933" s="2"/>
      <c r="B933" s="3"/>
      <c r="C933" s="3"/>
      <c r="D933" s="3"/>
      <c r="E933" s="3"/>
      <c r="F933" s="3"/>
      <c r="G933" s="3"/>
      <c r="J933" s="4"/>
      <c r="L933" s="5"/>
      <c r="M933" s="5"/>
      <c r="N933" s="5"/>
      <c r="O933" s="5"/>
      <c r="P933" s="5"/>
    </row>
    <row r="934" spans="1:16" ht="15.75" customHeight="1" x14ac:dyDescent="0.25">
      <c r="A934" s="2"/>
      <c r="B934" s="3"/>
      <c r="C934" s="3"/>
      <c r="D934" s="3"/>
      <c r="E934" s="3"/>
      <c r="F934" s="3"/>
      <c r="G934" s="3"/>
      <c r="J934" s="4"/>
      <c r="L934" s="5"/>
      <c r="M934" s="5"/>
      <c r="N934" s="5"/>
      <c r="O934" s="5"/>
      <c r="P934" s="5"/>
    </row>
    <row r="935" spans="1:16" ht="15.75" customHeight="1" x14ac:dyDescent="0.25">
      <c r="A935" s="2"/>
      <c r="B935" s="3"/>
      <c r="C935" s="3"/>
      <c r="D935" s="3"/>
      <c r="E935" s="3"/>
      <c r="F935" s="3"/>
      <c r="G935" s="3"/>
      <c r="J935" s="4"/>
      <c r="L935" s="5"/>
      <c r="M935" s="5"/>
      <c r="N935" s="5"/>
      <c r="O935" s="5"/>
      <c r="P935" s="5"/>
    </row>
    <row r="936" spans="1:16" ht="15.75" customHeight="1" x14ac:dyDescent="0.25">
      <c r="A936" s="2"/>
      <c r="B936" s="3"/>
      <c r="C936" s="3"/>
      <c r="D936" s="3"/>
      <c r="E936" s="3"/>
      <c r="F936" s="3"/>
      <c r="G936" s="3"/>
      <c r="J936" s="4"/>
      <c r="L936" s="5"/>
      <c r="M936" s="5"/>
      <c r="N936" s="5"/>
      <c r="O936" s="5"/>
      <c r="P936" s="5"/>
    </row>
    <row r="937" spans="1:16" ht="15.75" customHeight="1" x14ac:dyDescent="0.25">
      <c r="A937" s="2"/>
      <c r="B937" s="3"/>
      <c r="C937" s="3"/>
      <c r="D937" s="3"/>
      <c r="E937" s="3"/>
      <c r="F937" s="3"/>
      <c r="G937" s="3"/>
      <c r="J937" s="4"/>
      <c r="L937" s="5"/>
      <c r="M937" s="5"/>
      <c r="N937" s="5"/>
      <c r="O937" s="5"/>
      <c r="P937" s="5"/>
    </row>
    <row r="938" spans="1:16" ht="15.75" customHeight="1" x14ac:dyDescent="0.25">
      <c r="A938" s="2"/>
      <c r="B938" s="3"/>
      <c r="C938" s="3"/>
      <c r="D938" s="3"/>
      <c r="E938" s="3"/>
      <c r="F938" s="3"/>
      <c r="G938" s="3"/>
      <c r="J938" s="4"/>
      <c r="L938" s="5"/>
      <c r="M938" s="5"/>
      <c r="N938" s="5"/>
      <c r="O938" s="5"/>
      <c r="P938" s="5"/>
    </row>
    <row r="939" spans="1:16" ht="15.75" customHeight="1" x14ac:dyDescent="0.25">
      <c r="A939" s="2"/>
      <c r="B939" s="3"/>
      <c r="C939" s="3"/>
      <c r="D939" s="3"/>
      <c r="E939" s="3"/>
      <c r="F939" s="3"/>
      <c r="G939" s="3"/>
      <c r="J939" s="4"/>
      <c r="L939" s="5"/>
      <c r="M939" s="5"/>
      <c r="N939" s="5"/>
      <c r="O939" s="5"/>
      <c r="P939" s="5"/>
    </row>
    <row r="940" spans="1:16" ht="15.75" customHeight="1" x14ac:dyDescent="0.25">
      <c r="A940" s="2"/>
      <c r="B940" s="3"/>
      <c r="C940" s="3"/>
      <c r="D940" s="3"/>
      <c r="E940" s="3"/>
      <c r="F940" s="3"/>
      <c r="G940" s="3"/>
      <c r="J940" s="4"/>
      <c r="L940" s="5"/>
      <c r="M940" s="5"/>
      <c r="N940" s="5"/>
      <c r="O940" s="5"/>
      <c r="P940" s="5"/>
    </row>
    <row r="941" spans="1:16" ht="15.75" customHeight="1" x14ac:dyDescent="0.25">
      <c r="A941" s="2"/>
      <c r="B941" s="3"/>
      <c r="C941" s="3"/>
      <c r="D941" s="3"/>
      <c r="E941" s="3"/>
      <c r="F941" s="3"/>
      <c r="G941" s="3"/>
      <c r="J941" s="4"/>
      <c r="L941" s="5"/>
      <c r="M941" s="5"/>
      <c r="N941" s="5"/>
      <c r="O941" s="5"/>
      <c r="P941" s="5"/>
    </row>
    <row r="942" spans="1:16" ht="15.75" customHeight="1" x14ac:dyDescent="0.25">
      <c r="A942" s="2"/>
      <c r="B942" s="3"/>
      <c r="C942" s="3"/>
      <c r="D942" s="3"/>
      <c r="E942" s="3"/>
      <c r="F942" s="3"/>
      <c r="G942" s="3"/>
      <c r="J942" s="4"/>
      <c r="L942" s="5"/>
      <c r="M942" s="5"/>
      <c r="N942" s="5"/>
      <c r="O942" s="5"/>
      <c r="P942" s="5"/>
    </row>
    <row r="943" spans="1:16" ht="15.75" customHeight="1" x14ac:dyDescent="0.25">
      <c r="A943" s="2"/>
      <c r="B943" s="3"/>
      <c r="C943" s="3"/>
      <c r="D943" s="3"/>
      <c r="E943" s="3"/>
      <c r="F943" s="3"/>
      <c r="G943" s="3"/>
      <c r="J943" s="4"/>
      <c r="L943" s="5"/>
      <c r="M943" s="5"/>
      <c r="N943" s="5"/>
      <c r="O943" s="5"/>
      <c r="P943" s="5"/>
    </row>
    <row r="944" spans="1:16" ht="15.75" customHeight="1" x14ac:dyDescent="0.25">
      <c r="A944" s="2"/>
      <c r="B944" s="3"/>
      <c r="C944" s="3"/>
      <c r="D944" s="3"/>
      <c r="E944" s="3"/>
      <c r="F944" s="3"/>
      <c r="G944" s="3"/>
      <c r="J944" s="4"/>
      <c r="L944" s="5"/>
      <c r="M944" s="5"/>
      <c r="N944" s="5"/>
      <c r="O944" s="5"/>
      <c r="P944" s="5"/>
    </row>
    <row r="945" spans="1:16" ht="15.75" customHeight="1" x14ac:dyDescent="0.25">
      <c r="A945" s="2"/>
      <c r="B945" s="3"/>
      <c r="C945" s="3"/>
      <c r="D945" s="3"/>
      <c r="E945" s="3"/>
      <c r="F945" s="3"/>
      <c r="G945" s="3"/>
      <c r="J945" s="4"/>
      <c r="L945" s="5"/>
      <c r="M945" s="5"/>
      <c r="N945" s="5"/>
      <c r="O945" s="5"/>
      <c r="P945" s="5"/>
    </row>
    <row r="946" spans="1:16" ht="15.75" customHeight="1" x14ac:dyDescent="0.25">
      <c r="A946" s="2"/>
      <c r="B946" s="3"/>
      <c r="C946" s="3"/>
      <c r="D946" s="3"/>
      <c r="E946" s="3"/>
      <c r="F946" s="3"/>
      <c r="G946" s="3"/>
      <c r="J946" s="4"/>
      <c r="L946" s="5"/>
      <c r="M946" s="5"/>
      <c r="N946" s="5"/>
      <c r="O946" s="5"/>
      <c r="P946" s="5"/>
    </row>
    <row r="947" spans="1:16" ht="15.75" customHeight="1" x14ac:dyDescent="0.25">
      <c r="A947" s="2"/>
      <c r="B947" s="3"/>
      <c r="C947" s="3"/>
      <c r="D947" s="3"/>
      <c r="E947" s="3"/>
      <c r="F947" s="3"/>
      <c r="G947" s="3"/>
      <c r="J947" s="4"/>
      <c r="L947" s="5"/>
      <c r="M947" s="5"/>
      <c r="N947" s="5"/>
      <c r="O947" s="5"/>
      <c r="P947" s="5"/>
    </row>
    <row r="948" spans="1:16" ht="15.75" customHeight="1" x14ac:dyDescent="0.25">
      <c r="A948" s="2"/>
      <c r="B948" s="3"/>
      <c r="C948" s="3"/>
      <c r="D948" s="3"/>
      <c r="E948" s="3"/>
      <c r="F948" s="3"/>
      <c r="G948" s="3"/>
      <c r="J948" s="4"/>
      <c r="L948" s="5"/>
      <c r="M948" s="5"/>
      <c r="N948" s="5"/>
      <c r="O948" s="5"/>
      <c r="P948" s="5"/>
    </row>
    <row r="949" spans="1:16" ht="15.75" customHeight="1" x14ac:dyDescent="0.25">
      <c r="A949" s="2"/>
      <c r="B949" s="3"/>
      <c r="C949" s="3"/>
      <c r="D949" s="3"/>
      <c r="E949" s="3"/>
      <c r="F949" s="3"/>
      <c r="G949" s="3"/>
      <c r="J949" s="4"/>
      <c r="L949" s="5"/>
      <c r="M949" s="5"/>
      <c r="N949" s="5"/>
      <c r="O949" s="5"/>
      <c r="P949" s="5"/>
    </row>
    <row r="950" spans="1:16" ht="15.75" customHeight="1" x14ac:dyDescent="0.25">
      <c r="A950" s="2"/>
      <c r="B950" s="3"/>
      <c r="C950" s="3"/>
      <c r="D950" s="3"/>
      <c r="E950" s="3"/>
      <c r="F950" s="3"/>
      <c r="G950" s="3"/>
      <c r="J950" s="4"/>
      <c r="L950" s="5"/>
      <c r="M950" s="5"/>
      <c r="N950" s="5"/>
      <c r="O950" s="5"/>
      <c r="P950" s="5"/>
    </row>
    <row r="951" spans="1:16" ht="15.75" customHeight="1" x14ac:dyDescent="0.25">
      <c r="A951" s="2"/>
      <c r="B951" s="3"/>
      <c r="C951" s="3"/>
      <c r="D951" s="3"/>
      <c r="E951" s="3"/>
      <c r="F951" s="3"/>
      <c r="G951" s="3"/>
      <c r="J951" s="4"/>
      <c r="L951" s="5"/>
      <c r="M951" s="5"/>
      <c r="N951" s="5"/>
      <c r="O951" s="5"/>
      <c r="P951" s="5"/>
    </row>
    <row r="952" spans="1:16" ht="15.75" customHeight="1" x14ac:dyDescent="0.25">
      <c r="A952" s="2"/>
      <c r="B952" s="3"/>
      <c r="C952" s="3"/>
      <c r="D952" s="3"/>
      <c r="E952" s="3"/>
      <c r="F952" s="3"/>
      <c r="G952" s="3"/>
      <c r="J952" s="4"/>
      <c r="L952" s="5"/>
      <c r="M952" s="5"/>
      <c r="N952" s="5"/>
      <c r="O952" s="5"/>
      <c r="P952" s="5"/>
    </row>
    <row r="953" spans="1:16" ht="15.75" customHeight="1" x14ac:dyDescent="0.25">
      <c r="A953" s="2"/>
      <c r="B953" s="3"/>
      <c r="C953" s="3"/>
      <c r="D953" s="3"/>
      <c r="E953" s="3"/>
      <c r="F953" s="3"/>
      <c r="G953" s="3"/>
      <c r="J953" s="4"/>
      <c r="L953" s="5"/>
      <c r="M953" s="5"/>
      <c r="N953" s="5"/>
      <c r="O953" s="5"/>
      <c r="P953" s="5"/>
    </row>
    <row r="954" spans="1:16" ht="15.75" customHeight="1" x14ac:dyDescent="0.25">
      <c r="A954" s="2"/>
      <c r="B954" s="3"/>
      <c r="C954" s="3"/>
      <c r="D954" s="3"/>
      <c r="E954" s="3"/>
      <c r="F954" s="3"/>
      <c r="G954" s="3"/>
      <c r="J954" s="4"/>
      <c r="L954" s="5"/>
      <c r="M954" s="5"/>
      <c r="N954" s="5"/>
      <c r="O954" s="5"/>
      <c r="P954" s="5"/>
    </row>
    <row r="955" spans="1:16" ht="15.75" customHeight="1" x14ac:dyDescent="0.25">
      <c r="A955" s="2"/>
      <c r="B955" s="3"/>
      <c r="C955" s="3"/>
      <c r="D955" s="3"/>
      <c r="E955" s="3"/>
      <c r="F955" s="3"/>
      <c r="G955" s="3"/>
      <c r="J955" s="4"/>
      <c r="L955" s="5"/>
      <c r="M955" s="5"/>
      <c r="N955" s="5"/>
      <c r="O955" s="5"/>
      <c r="P955" s="5"/>
    </row>
    <row r="956" spans="1:16" ht="15.75" customHeight="1" x14ac:dyDescent="0.25">
      <c r="A956" s="2"/>
      <c r="B956" s="3"/>
      <c r="C956" s="3"/>
      <c r="D956" s="3"/>
      <c r="E956" s="3"/>
      <c r="F956" s="3"/>
      <c r="G956" s="3"/>
      <c r="J956" s="4"/>
      <c r="L956" s="5"/>
      <c r="M956" s="5"/>
      <c r="N956" s="5"/>
      <c r="O956" s="5"/>
      <c r="P956" s="5"/>
    </row>
    <row r="957" spans="1:16" ht="15.75" customHeight="1" x14ac:dyDescent="0.25">
      <c r="A957" s="2"/>
      <c r="B957" s="3"/>
      <c r="C957" s="3"/>
      <c r="D957" s="3"/>
      <c r="E957" s="3"/>
      <c r="F957" s="3"/>
      <c r="G957" s="3"/>
      <c r="J957" s="4"/>
      <c r="L957" s="5"/>
      <c r="M957" s="5"/>
      <c r="N957" s="5"/>
      <c r="O957" s="5"/>
      <c r="P957" s="5"/>
    </row>
    <row r="958" spans="1:16" ht="15.75" customHeight="1" x14ac:dyDescent="0.25">
      <c r="A958" s="2"/>
      <c r="B958" s="3"/>
      <c r="C958" s="3"/>
      <c r="D958" s="3"/>
      <c r="E958" s="3"/>
      <c r="F958" s="3"/>
      <c r="G958" s="3"/>
      <c r="J958" s="4"/>
      <c r="L958" s="5"/>
      <c r="M958" s="5"/>
      <c r="N958" s="5"/>
      <c r="O958" s="5"/>
      <c r="P958" s="5"/>
    </row>
    <row r="959" spans="1:16" ht="15.75" customHeight="1" x14ac:dyDescent="0.25">
      <c r="A959" s="2"/>
      <c r="B959" s="3"/>
      <c r="C959" s="3"/>
      <c r="D959" s="3"/>
      <c r="E959" s="3"/>
      <c r="F959" s="3"/>
      <c r="G959" s="3"/>
      <c r="J959" s="4"/>
      <c r="L959" s="5"/>
      <c r="M959" s="5"/>
      <c r="N959" s="5"/>
      <c r="O959" s="5"/>
      <c r="P959" s="5"/>
    </row>
    <row r="960" spans="1:16" ht="15.75" customHeight="1" x14ac:dyDescent="0.25">
      <c r="A960" s="2"/>
      <c r="B960" s="3"/>
      <c r="C960" s="3"/>
      <c r="D960" s="3"/>
      <c r="E960" s="3"/>
      <c r="F960" s="3"/>
      <c r="G960" s="3"/>
      <c r="J960" s="4"/>
      <c r="L960" s="5"/>
      <c r="M960" s="5"/>
      <c r="N960" s="5"/>
      <c r="O960" s="5"/>
      <c r="P960" s="5"/>
    </row>
    <row r="961" spans="1:16" ht="15.75" customHeight="1" x14ac:dyDescent="0.25">
      <c r="A961" s="2"/>
      <c r="B961" s="3"/>
      <c r="C961" s="3"/>
      <c r="D961" s="3"/>
      <c r="E961" s="3"/>
      <c r="F961" s="3"/>
      <c r="G961" s="3"/>
      <c r="J961" s="4"/>
      <c r="L961" s="5"/>
      <c r="M961" s="5"/>
      <c r="N961" s="5"/>
      <c r="O961" s="5"/>
      <c r="P961" s="5"/>
    </row>
    <row r="962" spans="1:16" ht="15.75" customHeight="1" x14ac:dyDescent="0.25">
      <c r="A962" s="2"/>
      <c r="B962" s="3"/>
      <c r="C962" s="3"/>
      <c r="D962" s="3"/>
      <c r="E962" s="3"/>
      <c r="F962" s="3"/>
      <c r="G962" s="3"/>
      <c r="J962" s="4"/>
      <c r="L962" s="5"/>
      <c r="M962" s="5"/>
      <c r="N962" s="5"/>
      <c r="O962" s="5"/>
      <c r="P962" s="5"/>
    </row>
    <row r="963" spans="1:16" ht="15.75" customHeight="1" x14ac:dyDescent="0.25">
      <c r="A963" s="2"/>
      <c r="B963" s="3"/>
      <c r="C963" s="3"/>
      <c r="D963" s="3"/>
      <c r="E963" s="3"/>
      <c r="F963" s="3"/>
      <c r="G963" s="3"/>
      <c r="J963" s="4"/>
      <c r="L963" s="5"/>
      <c r="M963" s="5"/>
      <c r="N963" s="5"/>
      <c r="O963" s="5"/>
      <c r="P963" s="5"/>
    </row>
    <row r="964" spans="1:16" ht="15.75" customHeight="1" x14ac:dyDescent="0.25">
      <c r="A964" s="2"/>
      <c r="B964" s="3"/>
      <c r="C964" s="3"/>
      <c r="D964" s="3"/>
      <c r="E964" s="3"/>
      <c r="F964" s="3"/>
      <c r="G964" s="3"/>
      <c r="J964" s="4"/>
      <c r="L964" s="5"/>
      <c r="M964" s="5"/>
      <c r="N964" s="5"/>
      <c r="O964" s="5"/>
      <c r="P964" s="5"/>
    </row>
    <row r="965" spans="1:16" ht="15.75" customHeight="1" x14ac:dyDescent="0.25">
      <c r="A965" s="2"/>
      <c r="B965" s="3"/>
      <c r="C965" s="3"/>
      <c r="D965" s="3"/>
      <c r="E965" s="3"/>
      <c r="F965" s="3"/>
      <c r="G965" s="3"/>
      <c r="J965" s="4"/>
      <c r="L965" s="5"/>
      <c r="M965" s="5"/>
      <c r="N965" s="5"/>
      <c r="O965" s="5"/>
      <c r="P965" s="5"/>
    </row>
    <row r="966" spans="1:16" ht="15.75" customHeight="1" x14ac:dyDescent="0.25">
      <c r="A966" s="2"/>
      <c r="B966" s="3"/>
      <c r="C966" s="3"/>
      <c r="D966" s="3"/>
      <c r="E966" s="3"/>
      <c r="F966" s="3"/>
      <c r="G966" s="3"/>
      <c r="J966" s="4"/>
      <c r="L966" s="5"/>
      <c r="M966" s="5"/>
      <c r="N966" s="5"/>
      <c r="O966" s="5"/>
      <c r="P966" s="5"/>
    </row>
    <row r="967" spans="1:16" ht="15.75" customHeight="1" x14ac:dyDescent="0.25">
      <c r="A967" s="2"/>
      <c r="B967" s="3"/>
      <c r="C967" s="3"/>
      <c r="D967" s="3"/>
      <c r="E967" s="3"/>
      <c r="F967" s="3"/>
      <c r="G967" s="3"/>
      <c r="J967" s="4"/>
      <c r="L967" s="5"/>
      <c r="M967" s="5"/>
      <c r="N967" s="5"/>
      <c r="O967" s="5"/>
      <c r="P967" s="5"/>
    </row>
    <row r="968" spans="1:16" ht="15.75" customHeight="1" x14ac:dyDescent="0.25">
      <c r="A968" s="2"/>
      <c r="B968" s="3"/>
      <c r="C968" s="3"/>
      <c r="D968" s="3"/>
      <c r="E968" s="3"/>
      <c r="F968" s="3"/>
      <c r="G968" s="3"/>
      <c r="J968" s="4"/>
      <c r="L968" s="5"/>
      <c r="M968" s="5"/>
      <c r="N968" s="5"/>
      <c r="O968" s="5"/>
      <c r="P968" s="5"/>
    </row>
    <row r="969" spans="1:16" ht="15.75" customHeight="1" x14ac:dyDescent="0.25">
      <c r="A969" s="2"/>
      <c r="B969" s="3"/>
      <c r="C969" s="3"/>
      <c r="D969" s="3"/>
      <c r="E969" s="3"/>
      <c r="F969" s="3"/>
      <c r="G969" s="3"/>
      <c r="J969" s="4"/>
      <c r="L969" s="5"/>
      <c r="M969" s="5"/>
      <c r="N969" s="5"/>
      <c r="O969" s="5"/>
      <c r="P969" s="5"/>
    </row>
    <row r="970" spans="1:16" ht="15.75" customHeight="1" x14ac:dyDescent="0.25">
      <c r="L970" s="5"/>
      <c r="M970" s="5"/>
      <c r="N970" s="5"/>
      <c r="O970" s="5"/>
      <c r="P970" s="5"/>
    </row>
    <row r="971" spans="1:16" ht="15.75" customHeight="1" x14ac:dyDescent="0.25">
      <c r="L971" s="5"/>
      <c r="M971" s="5"/>
      <c r="N971" s="5"/>
      <c r="O971" s="5"/>
      <c r="P971" s="5"/>
    </row>
    <row r="972" spans="1:16" ht="15.75" customHeight="1" x14ac:dyDescent="0.25">
      <c r="L972" s="5"/>
      <c r="M972" s="5"/>
      <c r="N972" s="5"/>
      <c r="O972" s="5"/>
      <c r="P972" s="5"/>
    </row>
    <row r="973" spans="1:16" ht="15.75" customHeight="1" x14ac:dyDescent="0.25">
      <c r="L973" s="5"/>
      <c r="M973" s="5"/>
      <c r="N973" s="5"/>
      <c r="O973" s="5"/>
      <c r="P973" s="5"/>
    </row>
    <row r="974" spans="1:16" ht="15.75" customHeight="1" x14ac:dyDescent="0.25">
      <c r="L974" s="5"/>
      <c r="M974" s="5"/>
      <c r="N974" s="5"/>
      <c r="O974" s="5"/>
      <c r="P974" s="5"/>
    </row>
    <row r="975" spans="1:16" ht="15.75" customHeight="1" x14ac:dyDescent="0.25">
      <c r="L975" s="5"/>
      <c r="M975" s="5"/>
      <c r="N975" s="5"/>
      <c r="O975" s="5"/>
      <c r="P975" s="5"/>
    </row>
    <row r="976" spans="1:16" ht="15.75" customHeight="1" x14ac:dyDescent="0.25">
      <c r="L976" s="5"/>
      <c r="M976" s="5"/>
      <c r="N976" s="5"/>
      <c r="O976" s="5"/>
      <c r="P976" s="5"/>
    </row>
    <row r="977" spans="12:16" ht="15.75" customHeight="1" x14ac:dyDescent="0.25">
      <c r="L977" s="5"/>
      <c r="M977" s="5"/>
      <c r="N977" s="5"/>
      <c r="O977" s="5"/>
      <c r="P977" s="5"/>
    </row>
    <row r="978" spans="12:16" ht="15.75" customHeight="1" x14ac:dyDescent="0.25">
      <c r="L978" s="5"/>
      <c r="M978" s="5"/>
      <c r="N978" s="5"/>
      <c r="O978" s="5"/>
      <c r="P978" s="5"/>
    </row>
    <row r="979" spans="12:16" ht="15.75" customHeight="1" x14ac:dyDescent="0.25">
      <c r="L979" s="5"/>
      <c r="M979" s="5"/>
      <c r="N979" s="5"/>
      <c r="O979" s="5"/>
      <c r="P979" s="5"/>
    </row>
    <row r="980" spans="12:16" ht="15.75" customHeight="1" x14ac:dyDescent="0.25">
      <c r="L980" s="5"/>
      <c r="M980" s="5"/>
      <c r="N980" s="5"/>
      <c r="O980" s="5"/>
      <c r="P980" s="5"/>
    </row>
    <row r="981" spans="12:16" ht="15.75" customHeight="1" x14ac:dyDescent="0.25">
      <c r="L981" s="5"/>
      <c r="M981" s="5"/>
      <c r="N981" s="5"/>
      <c r="O981" s="5"/>
      <c r="P981" s="5"/>
    </row>
    <row r="982" spans="12:16" ht="15.75" customHeight="1" x14ac:dyDescent="0.25">
      <c r="L982" s="5"/>
      <c r="M982" s="5"/>
      <c r="N982" s="5"/>
      <c r="O982" s="5"/>
      <c r="P982" s="5"/>
    </row>
    <row r="983" spans="12:16" ht="15.75" customHeight="1" x14ac:dyDescent="0.25">
      <c r="L983" s="5"/>
      <c r="M983" s="5"/>
      <c r="N983" s="5"/>
      <c r="O983" s="5"/>
      <c r="P983" s="5"/>
    </row>
    <row r="984" spans="12:16" ht="15.75" customHeight="1" x14ac:dyDescent="0.25">
      <c r="L984" s="5"/>
      <c r="M984" s="5"/>
      <c r="N984" s="5"/>
      <c r="O984" s="5"/>
      <c r="P984" s="5"/>
    </row>
    <row r="985" spans="12:16" ht="15.75" customHeight="1" x14ac:dyDescent="0.25">
      <c r="L985" s="5"/>
      <c r="M985" s="5"/>
      <c r="N985" s="5"/>
      <c r="O985" s="5"/>
      <c r="P985" s="5"/>
    </row>
    <row r="986" spans="12:16" ht="15.75" customHeight="1" x14ac:dyDescent="0.25">
      <c r="L986" s="5"/>
      <c r="M986" s="5"/>
      <c r="N986" s="5"/>
      <c r="O986" s="5"/>
      <c r="P986" s="5"/>
    </row>
    <row r="987" spans="12:16" ht="15.75" customHeight="1" x14ac:dyDescent="0.25">
      <c r="L987" s="5"/>
      <c r="M987" s="5"/>
      <c r="N987" s="5"/>
      <c r="O987" s="5"/>
      <c r="P987" s="5"/>
    </row>
    <row r="988" spans="12:16" ht="15.75" customHeight="1" x14ac:dyDescent="0.25">
      <c r="L988" s="5"/>
      <c r="M988" s="5"/>
      <c r="N988" s="5"/>
      <c r="O988" s="5"/>
      <c r="P988" s="5"/>
    </row>
    <row r="989" spans="12:16" ht="15.75" customHeight="1" x14ac:dyDescent="0.25">
      <c r="L989" s="5"/>
      <c r="M989" s="5"/>
      <c r="N989" s="5"/>
      <c r="O989" s="5"/>
      <c r="P989" s="5"/>
    </row>
    <row r="990" spans="12:16" ht="15.75" customHeight="1" x14ac:dyDescent="0.25">
      <c r="L990" s="5"/>
      <c r="M990" s="5"/>
      <c r="N990" s="5"/>
      <c r="O990" s="5"/>
      <c r="P990" s="5"/>
    </row>
    <row r="991" spans="12:16" ht="15.75" customHeight="1" x14ac:dyDescent="0.25">
      <c r="L991" s="5"/>
      <c r="M991" s="5"/>
      <c r="N991" s="5"/>
      <c r="O991" s="5"/>
      <c r="P991" s="5"/>
    </row>
    <row r="992" spans="12:16" ht="15.75" customHeight="1" x14ac:dyDescent="0.25">
      <c r="L992" s="5"/>
      <c r="M992" s="5"/>
      <c r="N992" s="5"/>
      <c r="O992" s="5"/>
      <c r="P992" s="5"/>
    </row>
    <row r="993" spans="12:16" ht="15.75" customHeight="1" x14ac:dyDescent="0.25">
      <c r="L993" s="5"/>
      <c r="M993" s="5"/>
      <c r="N993" s="5"/>
      <c r="O993" s="5"/>
      <c r="P993" s="5"/>
    </row>
    <row r="994" spans="12:16" ht="15.75" customHeight="1" x14ac:dyDescent="0.25">
      <c r="L994" s="5"/>
      <c r="M994" s="5"/>
      <c r="N994" s="5"/>
      <c r="O994" s="5"/>
      <c r="P994" s="5"/>
    </row>
    <row r="995" spans="12:16" ht="15.75" customHeight="1" x14ac:dyDescent="0.25">
      <c r="L995" s="5"/>
      <c r="M995" s="5"/>
      <c r="N995" s="5"/>
      <c r="O995" s="5"/>
      <c r="P995" s="5"/>
    </row>
    <row r="996" spans="12:16" ht="15.75" customHeight="1" x14ac:dyDescent="0.25">
      <c r="L996" s="5"/>
      <c r="M996" s="5"/>
      <c r="N996" s="5"/>
      <c r="O996" s="5"/>
      <c r="P996" s="5"/>
    </row>
    <row r="997" spans="12:16" ht="15.75" customHeight="1" x14ac:dyDescent="0.25">
      <c r="L997" s="5"/>
      <c r="M997" s="5"/>
      <c r="N997" s="5"/>
      <c r="O997" s="5"/>
      <c r="P997" s="5"/>
    </row>
    <row r="998" spans="12:16" ht="15.75" customHeight="1" x14ac:dyDescent="0.25">
      <c r="L998" s="5"/>
      <c r="M998" s="5"/>
      <c r="N998" s="5"/>
      <c r="O998" s="5"/>
      <c r="P998" s="5"/>
    </row>
    <row r="999" spans="12:16" ht="15.75" customHeight="1" x14ac:dyDescent="0.25">
      <c r="L999" s="5"/>
      <c r="M999" s="5"/>
      <c r="N999" s="5"/>
      <c r="O999" s="5"/>
      <c r="P999" s="5"/>
    </row>
    <row r="1000" spans="12:16" ht="15.75" customHeight="1" x14ac:dyDescent="0.25">
      <c r="L1000" s="5"/>
      <c r="M1000" s="5"/>
      <c r="N1000" s="5"/>
      <c r="O1000" s="5"/>
      <c r="P1000" s="5"/>
    </row>
    <row r="1001" spans="12:16" ht="15.75" customHeight="1" x14ac:dyDescent="0.25">
      <c r="L1001" s="5"/>
      <c r="M1001" s="5"/>
      <c r="N1001" s="5"/>
      <c r="O1001" s="5"/>
      <c r="P1001" s="5"/>
    </row>
    <row r="1002" spans="12:16" ht="15.75" customHeight="1" x14ac:dyDescent="0.25">
      <c r="L1002" s="5"/>
      <c r="M1002" s="5"/>
      <c r="N1002" s="5"/>
      <c r="O1002" s="5"/>
      <c r="P1002" s="5"/>
    </row>
    <row r="1003" spans="12:16" ht="15.75" customHeight="1" x14ac:dyDescent="0.25">
      <c r="L1003" s="5"/>
      <c r="M1003" s="5"/>
      <c r="N1003" s="5"/>
      <c r="O1003" s="5"/>
      <c r="P1003" s="5"/>
    </row>
    <row r="1004" spans="12:16" ht="15.75" customHeight="1" x14ac:dyDescent="0.25">
      <c r="L1004" s="5"/>
      <c r="M1004" s="5"/>
      <c r="N1004" s="5"/>
      <c r="O1004" s="5"/>
      <c r="P1004" s="5"/>
    </row>
    <row r="1005" spans="12:16" ht="15.75" customHeight="1" x14ac:dyDescent="0.25">
      <c r="L1005" s="5"/>
      <c r="M1005" s="5"/>
      <c r="N1005" s="5"/>
      <c r="O1005" s="5"/>
      <c r="P1005" s="5"/>
    </row>
    <row r="1006" spans="12:16" ht="15.75" customHeight="1" x14ac:dyDescent="0.25">
      <c r="L1006" s="5"/>
      <c r="M1006" s="5"/>
      <c r="N1006" s="5"/>
      <c r="O1006" s="5"/>
      <c r="P1006" s="5"/>
    </row>
    <row r="1007" spans="12:16" ht="15.75" customHeight="1" x14ac:dyDescent="0.25">
      <c r="L1007" s="5"/>
      <c r="M1007" s="5"/>
      <c r="N1007" s="5"/>
      <c r="O1007" s="5"/>
      <c r="P1007" s="5"/>
    </row>
    <row r="1008" spans="12:16" ht="15.75" customHeight="1" x14ac:dyDescent="0.25">
      <c r="L1008" s="5"/>
      <c r="M1008" s="5"/>
      <c r="N1008" s="5"/>
      <c r="O1008" s="5"/>
      <c r="P1008" s="5"/>
    </row>
    <row r="1009" spans="12:16" ht="15.75" customHeight="1" x14ac:dyDescent="0.25">
      <c r="L1009" s="5"/>
      <c r="M1009" s="5"/>
      <c r="N1009" s="5"/>
      <c r="O1009" s="5"/>
      <c r="P1009" s="5"/>
    </row>
    <row r="1010" spans="12:16" ht="15.75" customHeight="1" x14ac:dyDescent="0.25">
      <c r="L1010" s="5"/>
      <c r="M1010" s="5"/>
      <c r="N1010" s="5"/>
      <c r="O1010" s="5"/>
      <c r="P1010" s="5"/>
    </row>
    <row r="1011" spans="12:16" ht="15.75" customHeight="1" x14ac:dyDescent="0.25">
      <c r="L1011" s="5"/>
      <c r="M1011" s="5"/>
      <c r="N1011" s="5"/>
      <c r="O1011" s="5"/>
      <c r="P1011" s="5"/>
    </row>
    <row r="1012" spans="12:16" ht="15.75" customHeight="1" x14ac:dyDescent="0.25">
      <c r="L1012" s="5"/>
      <c r="M1012" s="5"/>
      <c r="N1012" s="5"/>
      <c r="O1012" s="5"/>
      <c r="P1012" s="5"/>
    </row>
    <row r="1013" spans="12:16" ht="15.75" customHeight="1" x14ac:dyDescent="0.25">
      <c r="L1013" s="5"/>
      <c r="M1013" s="5"/>
      <c r="N1013" s="5"/>
      <c r="O1013" s="5"/>
      <c r="P1013" s="5"/>
    </row>
    <row r="1014" spans="12:16" ht="15.75" customHeight="1" x14ac:dyDescent="0.25">
      <c r="L1014" s="5"/>
      <c r="M1014" s="5"/>
      <c r="N1014" s="5"/>
      <c r="O1014" s="5"/>
      <c r="P1014" s="5"/>
    </row>
    <row r="1015" spans="12:16" ht="15.75" customHeight="1" x14ac:dyDescent="0.25">
      <c r="L1015" s="5"/>
      <c r="M1015" s="5"/>
      <c r="N1015" s="5"/>
      <c r="O1015" s="5"/>
      <c r="P1015" s="5"/>
    </row>
    <row r="1016" spans="12:16" ht="15.75" customHeight="1" x14ac:dyDescent="0.25">
      <c r="L1016" s="5"/>
      <c r="M1016" s="5"/>
      <c r="N1016" s="5"/>
      <c r="O1016" s="5"/>
      <c r="P1016" s="5"/>
    </row>
    <row r="1017" spans="12:16" ht="15.75" customHeight="1" x14ac:dyDescent="0.25">
      <c r="L1017" s="5"/>
      <c r="M1017" s="5"/>
      <c r="N1017" s="5"/>
      <c r="O1017" s="5"/>
      <c r="P1017" s="5"/>
    </row>
    <row r="1018" spans="12:16" ht="15.75" customHeight="1" x14ac:dyDescent="0.25">
      <c r="L1018" s="5"/>
      <c r="M1018" s="5"/>
      <c r="N1018" s="5"/>
      <c r="O1018" s="5"/>
      <c r="P1018" s="5"/>
    </row>
    <row r="1019" spans="12:16" ht="15.75" customHeight="1" x14ac:dyDescent="0.25">
      <c r="L1019" s="5"/>
      <c r="M1019" s="5"/>
      <c r="N1019" s="5"/>
      <c r="O1019" s="5"/>
      <c r="P1019" s="5"/>
    </row>
    <row r="1020" spans="12:16" ht="15.75" customHeight="1" x14ac:dyDescent="0.25">
      <c r="L1020" s="5"/>
      <c r="M1020" s="5"/>
      <c r="N1020" s="5"/>
      <c r="O1020" s="5"/>
      <c r="P1020" s="5"/>
    </row>
    <row r="1021" spans="12:16" ht="15.75" customHeight="1" x14ac:dyDescent="0.25">
      <c r="L1021" s="5"/>
      <c r="M1021" s="5"/>
      <c r="N1021" s="5"/>
      <c r="O1021" s="5"/>
      <c r="P1021" s="5"/>
    </row>
    <row r="1022" spans="12:16" ht="15.75" customHeight="1" x14ac:dyDescent="0.25">
      <c r="L1022" s="5"/>
      <c r="M1022" s="5"/>
      <c r="N1022" s="5"/>
      <c r="O1022" s="5"/>
      <c r="P1022" s="5"/>
    </row>
    <row r="1023" spans="12:16" ht="15.75" customHeight="1" x14ac:dyDescent="0.25">
      <c r="L1023" s="5"/>
      <c r="M1023" s="5"/>
      <c r="N1023" s="5"/>
      <c r="O1023" s="5"/>
      <c r="P1023" s="5"/>
    </row>
    <row r="1024" spans="12:16" ht="15.75" customHeight="1" x14ac:dyDescent="0.25">
      <c r="L1024" s="5"/>
      <c r="M1024" s="5"/>
      <c r="N1024" s="5"/>
      <c r="O1024" s="5"/>
      <c r="P1024" s="5"/>
    </row>
    <row r="1025" spans="12:16" ht="15.75" customHeight="1" x14ac:dyDescent="0.25">
      <c r="L1025" s="5"/>
      <c r="M1025" s="5"/>
      <c r="N1025" s="5"/>
      <c r="O1025" s="5"/>
      <c r="P1025" s="5"/>
    </row>
    <row r="1026" spans="12:16" ht="15.75" customHeight="1" x14ac:dyDescent="0.25">
      <c r="L1026" s="5"/>
      <c r="M1026" s="5"/>
      <c r="N1026" s="5"/>
      <c r="O1026" s="5"/>
      <c r="P1026" s="5"/>
    </row>
    <row r="1027" spans="12:16" ht="15.75" customHeight="1" x14ac:dyDescent="0.25">
      <c r="L1027" s="5"/>
      <c r="M1027" s="5"/>
      <c r="N1027" s="5"/>
      <c r="O1027" s="5"/>
      <c r="P1027" s="5"/>
    </row>
    <row r="1028" spans="12:16" ht="15.75" customHeight="1" x14ac:dyDescent="0.25">
      <c r="L1028" s="5"/>
      <c r="M1028" s="5"/>
      <c r="N1028" s="5"/>
      <c r="O1028" s="5"/>
      <c r="P1028" s="5"/>
    </row>
    <row r="1029" spans="12:16" ht="15.75" customHeight="1" x14ac:dyDescent="0.25">
      <c r="L1029" s="5"/>
      <c r="M1029" s="5"/>
      <c r="N1029" s="5"/>
      <c r="O1029" s="5"/>
      <c r="P1029" s="5"/>
    </row>
    <row r="1030" spans="12:16" ht="15.75" customHeight="1" x14ac:dyDescent="0.25">
      <c r="L1030" s="5"/>
      <c r="M1030" s="5"/>
      <c r="N1030" s="5"/>
      <c r="O1030" s="5"/>
      <c r="P1030" s="5"/>
    </row>
    <row r="1031" spans="12:16" ht="15.75" customHeight="1" x14ac:dyDescent="0.25">
      <c r="L1031" s="5"/>
      <c r="M1031" s="5"/>
      <c r="N1031" s="5"/>
      <c r="O1031" s="5"/>
      <c r="P1031" s="5"/>
    </row>
    <row r="1032" spans="12:16" ht="15.75" customHeight="1" x14ac:dyDescent="0.25">
      <c r="L1032" s="5"/>
      <c r="M1032" s="5"/>
      <c r="N1032" s="5"/>
      <c r="O1032" s="5"/>
      <c r="P1032" s="5"/>
    </row>
    <row r="1033" spans="12:16" ht="15.75" customHeight="1" x14ac:dyDescent="0.25">
      <c r="L1033" s="5"/>
      <c r="M1033" s="5"/>
      <c r="N1033" s="5"/>
      <c r="O1033" s="5"/>
      <c r="P1033" s="5"/>
    </row>
    <row r="1034" spans="12:16" ht="15.75" customHeight="1" x14ac:dyDescent="0.25">
      <c r="L1034" s="5"/>
      <c r="M1034" s="5"/>
      <c r="N1034" s="5"/>
      <c r="O1034" s="5"/>
      <c r="P1034" s="5"/>
    </row>
    <row r="1035" spans="12:16" ht="15.75" customHeight="1" x14ac:dyDescent="0.25">
      <c r="L1035" s="5"/>
      <c r="M1035" s="5"/>
      <c r="N1035" s="5"/>
      <c r="O1035" s="5"/>
      <c r="P1035" s="5"/>
    </row>
    <row r="1036" spans="12:16" ht="15.75" customHeight="1" x14ac:dyDescent="0.25">
      <c r="L1036" s="5"/>
      <c r="M1036" s="5"/>
      <c r="N1036" s="5"/>
      <c r="O1036" s="5"/>
      <c r="P1036" s="5"/>
    </row>
    <row r="1037" spans="12:16" ht="15.75" customHeight="1" x14ac:dyDescent="0.25">
      <c r="L1037" s="5"/>
      <c r="M1037" s="5"/>
      <c r="N1037" s="5"/>
      <c r="O1037" s="5"/>
      <c r="P1037" s="5"/>
    </row>
    <row r="1038" spans="12:16" ht="15.75" customHeight="1" x14ac:dyDescent="0.25">
      <c r="L1038" s="5"/>
      <c r="M1038" s="5"/>
      <c r="N1038" s="5"/>
      <c r="O1038" s="5"/>
      <c r="P1038" s="5"/>
    </row>
    <row r="1039" spans="12:16" ht="15.75" customHeight="1" x14ac:dyDescent="0.25">
      <c r="L1039" s="5"/>
      <c r="M1039" s="5"/>
      <c r="N1039" s="5"/>
      <c r="O1039" s="5"/>
      <c r="P1039" s="5"/>
    </row>
    <row r="1040" spans="12:16" ht="15.75" customHeight="1" x14ac:dyDescent="0.25">
      <c r="L1040" s="5"/>
      <c r="M1040" s="5"/>
      <c r="N1040" s="5"/>
      <c r="O1040" s="5"/>
      <c r="P1040" s="5"/>
    </row>
    <row r="1041" spans="12:16" ht="15.75" customHeight="1" x14ac:dyDescent="0.25">
      <c r="L1041" s="5"/>
      <c r="M1041" s="5"/>
      <c r="N1041" s="5"/>
      <c r="O1041" s="5"/>
      <c r="P1041" s="5"/>
    </row>
    <row r="1042" spans="12:16" ht="15.75" customHeight="1" x14ac:dyDescent="0.25">
      <c r="L1042" s="5"/>
      <c r="M1042" s="5"/>
      <c r="N1042" s="5"/>
      <c r="O1042" s="5"/>
      <c r="P1042" s="5"/>
    </row>
    <row r="1043" spans="12:16" ht="15.75" customHeight="1" x14ac:dyDescent="0.25">
      <c r="L1043" s="5"/>
      <c r="M1043" s="5"/>
      <c r="N1043" s="5"/>
      <c r="O1043" s="5"/>
      <c r="P1043" s="5"/>
    </row>
    <row r="1044" spans="12:16" ht="15.75" customHeight="1" x14ac:dyDescent="0.25">
      <c r="L1044" s="5"/>
      <c r="M1044" s="5"/>
      <c r="N1044" s="5"/>
      <c r="O1044" s="5"/>
      <c r="P1044" s="5"/>
    </row>
    <row r="1045" spans="12:16" ht="15.75" customHeight="1" x14ac:dyDescent="0.25">
      <c r="L1045" s="5"/>
      <c r="M1045" s="5"/>
      <c r="N1045" s="5"/>
      <c r="O1045" s="5"/>
      <c r="P1045" s="5"/>
    </row>
    <row r="1046" spans="12:16" ht="15.75" customHeight="1" x14ac:dyDescent="0.25">
      <c r="L1046" s="5"/>
      <c r="M1046" s="5"/>
      <c r="N1046" s="5"/>
      <c r="O1046" s="5"/>
      <c r="P1046" s="5"/>
    </row>
    <row r="1047" spans="12:16" ht="15.75" customHeight="1" x14ac:dyDescent="0.25">
      <c r="L1047" s="5"/>
      <c r="M1047" s="5"/>
      <c r="N1047" s="5"/>
      <c r="O1047" s="5"/>
      <c r="P1047" s="5"/>
    </row>
    <row r="1048" spans="12:16" ht="15.75" customHeight="1" x14ac:dyDescent="0.25">
      <c r="L1048" s="5"/>
      <c r="M1048" s="5"/>
      <c r="N1048" s="5"/>
      <c r="O1048" s="5"/>
      <c r="P1048" s="5"/>
    </row>
    <row r="1049" spans="12:16" ht="15.75" customHeight="1" x14ac:dyDescent="0.25">
      <c r="L1049" s="5"/>
      <c r="M1049" s="5"/>
      <c r="N1049" s="5"/>
      <c r="O1049" s="5"/>
      <c r="P1049" s="5"/>
    </row>
    <row r="1050" spans="12:16" ht="15.75" customHeight="1" x14ac:dyDescent="0.25">
      <c r="L1050" s="5"/>
      <c r="M1050" s="5"/>
      <c r="N1050" s="5"/>
      <c r="O1050" s="5"/>
      <c r="P1050" s="5"/>
    </row>
    <row r="1051" spans="12:16" ht="15.75" customHeight="1" x14ac:dyDescent="0.25">
      <c r="L1051" s="5"/>
      <c r="M1051" s="5"/>
      <c r="N1051" s="5"/>
      <c r="O1051" s="5"/>
      <c r="P1051" s="5"/>
    </row>
    <row r="1052" spans="12:16" ht="15.75" customHeight="1" x14ac:dyDescent="0.25">
      <c r="L1052" s="5"/>
      <c r="M1052" s="5"/>
      <c r="N1052" s="5"/>
      <c r="O1052" s="5"/>
      <c r="P1052" s="5"/>
    </row>
    <row r="1053" spans="12:16" ht="15.75" customHeight="1" x14ac:dyDescent="0.25">
      <c r="L1053" s="5"/>
      <c r="M1053" s="5"/>
      <c r="N1053" s="5"/>
      <c r="O1053" s="5"/>
      <c r="P1053" s="5"/>
    </row>
    <row r="1054" spans="12:16" ht="15.75" customHeight="1" x14ac:dyDescent="0.25">
      <c r="L1054" s="5"/>
      <c r="M1054" s="5"/>
      <c r="N1054" s="5"/>
      <c r="O1054" s="5"/>
      <c r="P1054" s="5"/>
    </row>
    <row r="1055" spans="12:16" ht="15.75" customHeight="1" x14ac:dyDescent="0.25">
      <c r="L1055" s="5"/>
      <c r="M1055" s="5"/>
      <c r="N1055" s="5"/>
      <c r="O1055" s="5"/>
      <c r="P1055" s="5"/>
    </row>
    <row r="1056" spans="12:16" ht="15.75" customHeight="1" x14ac:dyDescent="0.25">
      <c r="L1056" s="5"/>
      <c r="M1056" s="5"/>
      <c r="N1056" s="5"/>
      <c r="O1056" s="5"/>
      <c r="P1056" s="5"/>
    </row>
    <row r="1057" spans="12:16" ht="15.75" customHeight="1" x14ac:dyDescent="0.25">
      <c r="L1057" s="5"/>
      <c r="M1057" s="5"/>
      <c r="N1057" s="5"/>
      <c r="O1057" s="5"/>
      <c r="P1057" s="5"/>
    </row>
    <row r="1058" spans="12:16" ht="15.75" customHeight="1" x14ac:dyDescent="0.25">
      <c r="L1058" s="5"/>
      <c r="M1058" s="5"/>
      <c r="N1058" s="5"/>
      <c r="O1058" s="5"/>
      <c r="P1058" s="5"/>
    </row>
    <row r="1059" spans="12:16" ht="15.75" customHeight="1" x14ac:dyDescent="0.25">
      <c r="L1059" s="5"/>
      <c r="M1059" s="5"/>
      <c r="N1059" s="5"/>
      <c r="O1059" s="5"/>
      <c r="P1059" s="5"/>
    </row>
    <row r="1060" spans="12:16" ht="15.75" customHeight="1" x14ac:dyDescent="0.25">
      <c r="L1060" s="5"/>
      <c r="M1060" s="5"/>
      <c r="N1060" s="5"/>
      <c r="O1060" s="5"/>
      <c r="P1060" s="5"/>
    </row>
    <row r="1061" spans="12:16" ht="15.75" customHeight="1" x14ac:dyDescent="0.25">
      <c r="L1061" s="5"/>
      <c r="M1061" s="5"/>
      <c r="N1061" s="5"/>
      <c r="O1061" s="5"/>
      <c r="P1061" s="5"/>
    </row>
    <row r="1062" spans="12:16" ht="15.75" customHeight="1" x14ac:dyDescent="0.25">
      <c r="L1062" s="5"/>
      <c r="M1062" s="5"/>
      <c r="N1062" s="5"/>
      <c r="O1062" s="5"/>
      <c r="P1062" s="5"/>
    </row>
    <row r="1063" spans="12:16" ht="15.75" customHeight="1" x14ac:dyDescent="0.25">
      <c r="L1063" s="5"/>
      <c r="M1063" s="5"/>
      <c r="N1063" s="5"/>
      <c r="O1063" s="5"/>
      <c r="P1063" s="5"/>
    </row>
    <row r="1064" spans="12:16" ht="15.75" customHeight="1" x14ac:dyDescent="0.25">
      <c r="L1064" s="5"/>
      <c r="M1064" s="5"/>
      <c r="N1064" s="5"/>
      <c r="O1064" s="5"/>
      <c r="P1064" s="5"/>
    </row>
    <row r="1065" spans="12:16" ht="15.75" customHeight="1" x14ac:dyDescent="0.25">
      <c r="L1065" s="5"/>
      <c r="M1065" s="5"/>
      <c r="N1065" s="5"/>
      <c r="O1065" s="5"/>
      <c r="P1065" s="5"/>
    </row>
    <row r="1066" spans="12:16" ht="15.75" customHeight="1" x14ac:dyDescent="0.25">
      <c r="L1066" s="5"/>
      <c r="M1066" s="5"/>
      <c r="N1066" s="5"/>
      <c r="O1066" s="5"/>
      <c r="P1066" s="5"/>
    </row>
    <row r="1067" spans="12:16" ht="15.75" customHeight="1" x14ac:dyDescent="0.25">
      <c r="L1067" s="5"/>
      <c r="M1067" s="5"/>
      <c r="N1067" s="5"/>
      <c r="O1067" s="5"/>
      <c r="P1067" s="5"/>
    </row>
    <row r="1068" spans="12:16" ht="15.75" customHeight="1" x14ac:dyDescent="0.25">
      <c r="L1068" s="5"/>
      <c r="M1068" s="5"/>
      <c r="N1068" s="5"/>
      <c r="O1068" s="5"/>
      <c r="P1068" s="5"/>
    </row>
    <row r="1069" spans="12:16" ht="15.75" customHeight="1" x14ac:dyDescent="0.25">
      <c r="L1069" s="5"/>
      <c r="M1069" s="5"/>
      <c r="N1069" s="5"/>
      <c r="O1069" s="5"/>
      <c r="P1069" s="5"/>
    </row>
    <row r="1070" spans="12:16" ht="15.75" customHeight="1" x14ac:dyDescent="0.25">
      <c r="L1070" s="5"/>
      <c r="M1070" s="5"/>
      <c r="N1070" s="5"/>
      <c r="O1070" s="5"/>
      <c r="P1070" s="5"/>
    </row>
    <row r="1071" spans="12:16" ht="15.75" customHeight="1" x14ac:dyDescent="0.25">
      <c r="L1071" s="5"/>
      <c r="M1071" s="5"/>
      <c r="N1071" s="5"/>
      <c r="O1071" s="5"/>
      <c r="P1071" s="5"/>
    </row>
    <row r="1072" spans="12:16" ht="15.75" customHeight="1" x14ac:dyDescent="0.25">
      <c r="L1072" s="5"/>
      <c r="M1072" s="5"/>
      <c r="N1072" s="5"/>
      <c r="O1072" s="5"/>
      <c r="P1072" s="5"/>
    </row>
    <row r="1073" spans="12:16" ht="15.75" customHeight="1" x14ac:dyDescent="0.25">
      <c r="L1073" s="5"/>
      <c r="M1073" s="5"/>
      <c r="N1073" s="5"/>
      <c r="O1073" s="5"/>
      <c r="P1073" s="5"/>
    </row>
    <row r="1074" spans="12:16" ht="15.75" customHeight="1" x14ac:dyDescent="0.25">
      <c r="L1074" s="5"/>
      <c r="M1074" s="5"/>
      <c r="N1074" s="5"/>
      <c r="O1074" s="5"/>
      <c r="P1074" s="5"/>
    </row>
    <row r="1075" spans="12:16" ht="15.75" customHeight="1" x14ac:dyDescent="0.25">
      <c r="L1075" s="5"/>
      <c r="M1075" s="5"/>
      <c r="N1075" s="5"/>
      <c r="O1075" s="5"/>
      <c r="P1075" s="5"/>
    </row>
    <row r="1076" spans="12:16" ht="15.75" customHeight="1" x14ac:dyDescent="0.25">
      <c r="L1076" s="5"/>
      <c r="M1076" s="5"/>
      <c r="N1076" s="5"/>
      <c r="O1076" s="5"/>
      <c r="P1076" s="5"/>
    </row>
    <row r="1077" spans="12:16" ht="15.75" customHeight="1" x14ac:dyDescent="0.25">
      <c r="L1077" s="5"/>
      <c r="M1077" s="5"/>
      <c r="N1077" s="5"/>
      <c r="O1077" s="5"/>
      <c r="P1077" s="5"/>
    </row>
    <row r="1078" spans="12:16" ht="15.75" customHeight="1" x14ac:dyDescent="0.25">
      <c r="L1078" s="5"/>
      <c r="M1078" s="5"/>
      <c r="N1078" s="5"/>
      <c r="O1078" s="5"/>
      <c r="P1078" s="5"/>
    </row>
    <row r="1079" spans="12:16" ht="15.75" customHeight="1" x14ac:dyDescent="0.25">
      <c r="L1079" s="5"/>
      <c r="M1079" s="5"/>
      <c r="N1079" s="5"/>
      <c r="O1079" s="5"/>
      <c r="P1079" s="5"/>
    </row>
    <row r="1080" spans="12:16" ht="15.75" customHeight="1" x14ac:dyDescent="0.25">
      <c r="L1080" s="5"/>
      <c r="M1080" s="5"/>
      <c r="N1080" s="5"/>
      <c r="O1080" s="5"/>
      <c r="P1080" s="5"/>
    </row>
    <row r="1081" spans="12:16" ht="15.75" customHeight="1" x14ac:dyDescent="0.25">
      <c r="L1081" s="5"/>
      <c r="M1081" s="5"/>
      <c r="N1081" s="5"/>
      <c r="O1081" s="5"/>
      <c r="P1081" s="5"/>
    </row>
    <row r="1082" spans="12:16" ht="15.75" customHeight="1" x14ac:dyDescent="0.25">
      <c r="L1082" s="5"/>
      <c r="M1082" s="5"/>
      <c r="N1082" s="5"/>
      <c r="O1082" s="5"/>
      <c r="P1082" s="5"/>
    </row>
    <row r="1083" spans="12:16" ht="15.75" customHeight="1" x14ac:dyDescent="0.25">
      <c r="L1083" s="5"/>
      <c r="M1083" s="5"/>
      <c r="N1083" s="5"/>
      <c r="O1083" s="5"/>
      <c r="P1083" s="5"/>
    </row>
    <row r="1084" spans="12:16" ht="15.75" customHeight="1" x14ac:dyDescent="0.25">
      <c r="L1084" s="5"/>
      <c r="M1084" s="5"/>
      <c r="N1084" s="5"/>
      <c r="O1084" s="5"/>
      <c r="P1084" s="5"/>
    </row>
    <row r="1085" spans="12:16" ht="15.75" customHeight="1" x14ac:dyDescent="0.25">
      <c r="L1085" s="5"/>
      <c r="M1085" s="5"/>
      <c r="N1085" s="5"/>
      <c r="O1085" s="5"/>
      <c r="P1085" s="5"/>
    </row>
    <row r="1086" spans="12:16" ht="15.75" customHeight="1" x14ac:dyDescent="0.25">
      <c r="L1086" s="5"/>
      <c r="M1086" s="5"/>
      <c r="N1086" s="5"/>
      <c r="O1086" s="5"/>
      <c r="P1086" s="5"/>
    </row>
    <row r="1087" spans="12:16" ht="15.75" customHeight="1" x14ac:dyDescent="0.25">
      <c r="L1087" s="5"/>
      <c r="M1087" s="5"/>
      <c r="N1087" s="5"/>
      <c r="O1087" s="5"/>
      <c r="P1087" s="5"/>
    </row>
    <row r="1088" spans="12:16" ht="15.75" customHeight="1" x14ac:dyDescent="0.25">
      <c r="L1088" s="5"/>
      <c r="M1088" s="5"/>
      <c r="N1088" s="5"/>
      <c r="O1088" s="5"/>
      <c r="P1088" s="5"/>
    </row>
    <row r="1089" spans="12:16" ht="15.75" customHeight="1" x14ac:dyDescent="0.25">
      <c r="L1089" s="5"/>
      <c r="M1089" s="5"/>
      <c r="N1089" s="5"/>
      <c r="O1089" s="5"/>
      <c r="P1089" s="5"/>
    </row>
    <row r="1090" spans="12:16" ht="15.75" customHeight="1" x14ac:dyDescent="0.25">
      <c r="L1090" s="5"/>
      <c r="M1090" s="5"/>
      <c r="N1090" s="5"/>
      <c r="O1090" s="5"/>
      <c r="P1090" s="5"/>
    </row>
    <row r="1091" spans="12:16" ht="15.75" customHeight="1" x14ac:dyDescent="0.25">
      <c r="L1091" s="5"/>
      <c r="M1091" s="5"/>
      <c r="N1091" s="5"/>
      <c r="O1091" s="5"/>
      <c r="P1091" s="5"/>
    </row>
    <row r="1092" spans="12:16" ht="15.75" customHeight="1" x14ac:dyDescent="0.25">
      <c r="L1092" s="5"/>
      <c r="M1092" s="5"/>
      <c r="N1092" s="5"/>
      <c r="O1092" s="5"/>
      <c r="P1092" s="5"/>
    </row>
    <row r="1093" spans="12:16" ht="15.75" customHeight="1" x14ac:dyDescent="0.25">
      <c r="L1093" s="5"/>
      <c r="M1093" s="5"/>
      <c r="N1093" s="5"/>
      <c r="O1093" s="5"/>
      <c r="P1093" s="5"/>
    </row>
    <row r="1094" spans="12:16" ht="15.75" customHeight="1" x14ac:dyDescent="0.25">
      <c r="L1094" s="5"/>
      <c r="M1094" s="5"/>
      <c r="N1094" s="5"/>
      <c r="O1094" s="5"/>
      <c r="P1094" s="5"/>
    </row>
    <row r="1095" spans="12:16" ht="15.75" customHeight="1" x14ac:dyDescent="0.25">
      <c r="L1095" s="5"/>
      <c r="M1095" s="5"/>
      <c r="N1095" s="5"/>
      <c r="O1095" s="5"/>
      <c r="P1095" s="5"/>
    </row>
    <row r="1096" spans="12:16" ht="15.75" customHeight="1" x14ac:dyDescent="0.25">
      <c r="L1096" s="5"/>
      <c r="M1096" s="5"/>
      <c r="N1096" s="5"/>
      <c r="O1096" s="5"/>
      <c r="P1096" s="5"/>
    </row>
    <row r="1097" spans="12:16" ht="15.75" customHeight="1" x14ac:dyDescent="0.25">
      <c r="L1097" s="5"/>
      <c r="M1097" s="5"/>
      <c r="N1097" s="5"/>
      <c r="O1097" s="5"/>
      <c r="P1097" s="5"/>
    </row>
    <row r="1098" spans="12:16" ht="15.75" customHeight="1" x14ac:dyDescent="0.25">
      <c r="L1098" s="5"/>
      <c r="M1098" s="5"/>
      <c r="N1098" s="5"/>
      <c r="O1098" s="5"/>
      <c r="P1098" s="5"/>
    </row>
    <row r="1099" spans="12:16" ht="15.75" customHeight="1" x14ac:dyDescent="0.25">
      <c r="L1099" s="5"/>
      <c r="M1099" s="5"/>
      <c r="N1099" s="5"/>
      <c r="O1099" s="5"/>
      <c r="P1099" s="5"/>
    </row>
    <row r="1100" spans="12:16" ht="15.75" customHeight="1" x14ac:dyDescent="0.25">
      <c r="L1100" s="5"/>
      <c r="M1100" s="5"/>
      <c r="N1100" s="5"/>
      <c r="O1100" s="5"/>
      <c r="P1100" s="5"/>
    </row>
    <row r="1101" spans="12:16" ht="15.75" customHeight="1" x14ac:dyDescent="0.25">
      <c r="L1101" s="5"/>
      <c r="M1101" s="5"/>
      <c r="N1101" s="5"/>
      <c r="O1101" s="5"/>
      <c r="P1101" s="5"/>
    </row>
    <row r="1102" spans="12:16" ht="15.75" customHeight="1" x14ac:dyDescent="0.25">
      <c r="L1102" s="5"/>
      <c r="M1102" s="5"/>
      <c r="N1102" s="5"/>
      <c r="O1102" s="5"/>
      <c r="P1102" s="5"/>
    </row>
    <row r="1103" spans="12:16" ht="15.75" customHeight="1" x14ac:dyDescent="0.25">
      <c r="L1103" s="5"/>
      <c r="M1103" s="5"/>
      <c r="N1103" s="5"/>
      <c r="O1103" s="5"/>
      <c r="P1103" s="5"/>
    </row>
    <row r="1104" spans="12:16" ht="15.75" customHeight="1" x14ac:dyDescent="0.25">
      <c r="L1104" s="5"/>
      <c r="M1104" s="5"/>
      <c r="N1104" s="5"/>
      <c r="O1104" s="5"/>
      <c r="P1104" s="5"/>
    </row>
    <row r="1105" spans="12:16" ht="15.75" customHeight="1" x14ac:dyDescent="0.25">
      <c r="L1105" s="5"/>
      <c r="M1105" s="5"/>
      <c r="N1105" s="5"/>
      <c r="O1105" s="5"/>
      <c r="P1105" s="5"/>
    </row>
    <row r="1106" spans="12:16" ht="15.75" customHeight="1" x14ac:dyDescent="0.25">
      <c r="L1106" s="5"/>
      <c r="M1106" s="5"/>
      <c r="N1106" s="5"/>
      <c r="O1106" s="5"/>
      <c r="P1106" s="5"/>
    </row>
    <row r="1107" spans="12:16" ht="15.75" customHeight="1" x14ac:dyDescent="0.25">
      <c r="L1107" s="5"/>
      <c r="M1107" s="5"/>
      <c r="N1107" s="5"/>
      <c r="O1107" s="5"/>
      <c r="P1107" s="5"/>
    </row>
    <row r="1108" spans="12:16" ht="15.75" customHeight="1" x14ac:dyDescent="0.25">
      <c r="L1108" s="5"/>
      <c r="M1108" s="5"/>
      <c r="N1108" s="5"/>
      <c r="O1108" s="5"/>
      <c r="P1108" s="5"/>
    </row>
    <row r="1109" spans="12:16" ht="15.75" customHeight="1" x14ac:dyDescent="0.25">
      <c r="L1109" s="5"/>
      <c r="M1109" s="5"/>
      <c r="N1109" s="5"/>
      <c r="O1109" s="5"/>
      <c r="P1109" s="5"/>
    </row>
    <row r="1110" spans="12:16" ht="15.75" customHeight="1" x14ac:dyDescent="0.25">
      <c r="L1110" s="5"/>
      <c r="M1110" s="5"/>
      <c r="N1110" s="5"/>
      <c r="O1110" s="5"/>
      <c r="P1110" s="5"/>
    </row>
    <row r="1111" spans="12:16" ht="15.75" customHeight="1" x14ac:dyDescent="0.25">
      <c r="L1111" s="5"/>
      <c r="M1111" s="5"/>
      <c r="N1111" s="5"/>
      <c r="O1111" s="5"/>
      <c r="P1111" s="5"/>
    </row>
    <row r="1112" spans="12:16" ht="15.75" customHeight="1" x14ac:dyDescent="0.25">
      <c r="L1112" s="5"/>
      <c r="M1112" s="5"/>
      <c r="N1112" s="5"/>
      <c r="O1112" s="5"/>
      <c r="P1112" s="5"/>
    </row>
    <row r="1113" spans="12:16" ht="15.75" customHeight="1" x14ac:dyDescent="0.25">
      <c r="L1113" s="5"/>
      <c r="M1113" s="5"/>
      <c r="N1113" s="5"/>
      <c r="O1113" s="5"/>
      <c r="P1113" s="5"/>
    </row>
    <row r="1114" spans="12:16" ht="15.75" customHeight="1" x14ac:dyDescent="0.25">
      <c r="L1114" s="5"/>
      <c r="M1114" s="5"/>
      <c r="N1114" s="5"/>
      <c r="O1114" s="5"/>
      <c r="P1114" s="5"/>
    </row>
    <row r="1115" spans="12:16" ht="15.75" customHeight="1" x14ac:dyDescent="0.25">
      <c r="L1115" s="5"/>
      <c r="M1115" s="5"/>
      <c r="N1115" s="5"/>
      <c r="O1115" s="5"/>
      <c r="P1115" s="5"/>
    </row>
    <row r="1116" spans="12:16" ht="15.75" customHeight="1" x14ac:dyDescent="0.25">
      <c r="L1116" s="5"/>
      <c r="M1116" s="5"/>
      <c r="N1116" s="5"/>
      <c r="O1116" s="5"/>
      <c r="P1116" s="5"/>
    </row>
    <row r="1117" spans="12:16" ht="15.75" customHeight="1" x14ac:dyDescent="0.25">
      <c r="L1117" s="5"/>
      <c r="M1117" s="5"/>
      <c r="N1117" s="5"/>
      <c r="O1117" s="5"/>
      <c r="P1117" s="5"/>
    </row>
    <row r="1118" spans="12:16" ht="15.75" customHeight="1" x14ac:dyDescent="0.25">
      <c r="L1118" s="5"/>
      <c r="M1118" s="5"/>
      <c r="N1118" s="5"/>
      <c r="O1118" s="5"/>
      <c r="P1118" s="5"/>
    </row>
    <row r="1119" spans="12:16" ht="15.75" customHeight="1" x14ac:dyDescent="0.25">
      <c r="L1119" s="5"/>
      <c r="M1119" s="5"/>
      <c r="N1119" s="5"/>
      <c r="O1119" s="5"/>
      <c r="P1119" s="5"/>
    </row>
    <row r="1120" spans="12:16" ht="15.75" customHeight="1" x14ac:dyDescent="0.25">
      <c r="L1120" s="5"/>
      <c r="M1120" s="5"/>
      <c r="N1120" s="5"/>
      <c r="O1120" s="5"/>
      <c r="P1120" s="5"/>
    </row>
    <row r="1121" spans="12:16" ht="15.75" customHeight="1" x14ac:dyDescent="0.25">
      <c r="L1121" s="5"/>
      <c r="M1121" s="5"/>
      <c r="N1121" s="5"/>
      <c r="O1121" s="5"/>
      <c r="P1121" s="5"/>
    </row>
    <row r="1122" spans="12:16" ht="15.75" customHeight="1" x14ac:dyDescent="0.25">
      <c r="L1122" s="5"/>
      <c r="M1122" s="5"/>
      <c r="N1122" s="5"/>
      <c r="O1122" s="5"/>
      <c r="P1122" s="5"/>
    </row>
    <row r="1123" spans="12:16" ht="15.75" customHeight="1" x14ac:dyDescent="0.25">
      <c r="L1123" s="5"/>
      <c r="M1123" s="5"/>
      <c r="N1123" s="5"/>
      <c r="O1123" s="5"/>
      <c r="P1123" s="5"/>
    </row>
    <row r="1124" spans="12:16" ht="15.75" customHeight="1" x14ac:dyDescent="0.25">
      <c r="L1124" s="5"/>
      <c r="M1124" s="5"/>
      <c r="N1124" s="5"/>
      <c r="O1124" s="5"/>
      <c r="P1124" s="5"/>
    </row>
    <row r="1125" spans="12:16" ht="15.75" customHeight="1" x14ac:dyDescent="0.25">
      <c r="L1125" s="5"/>
      <c r="M1125" s="5"/>
      <c r="N1125" s="5"/>
      <c r="O1125" s="5"/>
      <c r="P1125" s="5"/>
    </row>
    <row r="1126" spans="12:16" ht="15.75" customHeight="1" x14ac:dyDescent="0.25">
      <c r="L1126" s="5"/>
      <c r="M1126" s="5"/>
      <c r="N1126" s="5"/>
      <c r="O1126" s="5"/>
      <c r="P1126" s="5"/>
    </row>
    <row r="1127" spans="12:16" ht="15.75" customHeight="1" x14ac:dyDescent="0.25">
      <c r="L1127" s="5"/>
      <c r="M1127" s="5"/>
      <c r="N1127" s="5"/>
      <c r="O1127" s="5"/>
      <c r="P1127" s="5"/>
    </row>
    <row r="1128" spans="12:16" ht="15.75" customHeight="1" x14ac:dyDescent="0.25">
      <c r="L1128" s="5"/>
      <c r="M1128" s="5"/>
      <c r="N1128" s="5"/>
      <c r="O1128" s="5"/>
      <c r="P1128" s="5"/>
    </row>
    <row r="1129" spans="12:16" ht="15.75" customHeight="1" x14ac:dyDescent="0.25">
      <c r="L1129" s="5"/>
      <c r="M1129" s="5"/>
      <c r="N1129" s="5"/>
      <c r="O1129" s="5"/>
      <c r="P1129" s="5"/>
    </row>
    <row r="1130" spans="12:16" ht="15.75" customHeight="1" x14ac:dyDescent="0.25">
      <c r="L1130" s="5"/>
      <c r="M1130" s="5"/>
      <c r="N1130" s="5"/>
      <c r="O1130" s="5"/>
      <c r="P1130" s="5"/>
    </row>
    <row r="1131" spans="12:16" ht="15.75" customHeight="1" x14ac:dyDescent="0.25">
      <c r="L1131" s="5"/>
      <c r="M1131" s="5"/>
      <c r="N1131" s="5"/>
      <c r="O1131" s="5"/>
      <c r="P1131" s="5"/>
    </row>
    <row r="1132" spans="12:16" ht="15.75" customHeight="1" x14ac:dyDescent="0.25">
      <c r="L1132" s="5"/>
      <c r="M1132" s="5"/>
      <c r="N1132" s="5"/>
      <c r="O1132" s="5"/>
      <c r="P1132" s="5"/>
    </row>
    <row r="1133" spans="12:16" ht="15.75" customHeight="1" x14ac:dyDescent="0.25">
      <c r="L1133" s="5"/>
      <c r="M1133" s="5"/>
      <c r="N1133" s="5"/>
      <c r="O1133" s="5"/>
      <c r="P1133" s="5"/>
    </row>
    <row r="1134" spans="12:16" ht="15.75" customHeight="1" x14ac:dyDescent="0.25">
      <c r="L1134" s="5"/>
      <c r="M1134" s="5"/>
      <c r="N1134" s="5"/>
      <c r="O1134" s="5"/>
      <c r="P1134" s="5"/>
    </row>
    <row r="1135" spans="12:16" ht="15.75" customHeight="1" x14ac:dyDescent="0.25">
      <c r="L1135" s="5"/>
      <c r="M1135" s="5"/>
      <c r="N1135" s="5"/>
      <c r="O1135" s="5"/>
      <c r="P1135" s="5"/>
    </row>
    <row r="1136" spans="12:16" ht="15.75" customHeight="1" x14ac:dyDescent="0.25">
      <c r="L1136" s="5"/>
      <c r="M1136" s="5"/>
      <c r="N1136" s="5"/>
      <c r="O1136" s="5"/>
      <c r="P1136" s="5"/>
    </row>
    <row r="1137" spans="12:16" ht="15.75" customHeight="1" x14ac:dyDescent="0.25">
      <c r="L1137" s="5"/>
      <c r="M1137" s="5"/>
      <c r="N1137" s="5"/>
      <c r="O1137" s="5"/>
      <c r="P1137" s="5"/>
    </row>
    <row r="1138" spans="12:16" ht="15.75" customHeight="1" x14ac:dyDescent="0.25">
      <c r="L1138" s="5"/>
      <c r="M1138" s="5"/>
      <c r="N1138" s="5"/>
      <c r="O1138" s="5"/>
      <c r="P1138" s="5"/>
    </row>
    <row r="1139" spans="12:16" ht="15.75" customHeight="1" x14ac:dyDescent="0.25">
      <c r="L1139" s="5"/>
      <c r="M1139" s="5"/>
      <c r="N1139" s="5"/>
      <c r="O1139" s="5"/>
      <c r="P1139" s="5"/>
    </row>
    <row r="1140" spans="12:16" ht="15.75" customHeight="1" x14ac:dyDescent="0.25">
      <c r="L1140" s="5"/>
      <c r="M1140" s="5"/>
      <c r="N1140" s="5"/>
      <c r="O1140" s="5"/>
      <c r="P1140" s="5"/>
    </row>
    <row r="1141" spans="12:16" ht="15.75" customHeight="1" x14ac:dyDescent="0.25">
      <c r="L1141" s="5"/>
      <c r="M1141" s="5"/>
      <c r="N1141" s="5"/>
      <c r="O1141" s="5"/>
      <c r="P1141" s="5"/>
    </row>
    <row r="1142" spans="12:16" ht="15.75" customHeight="1" x14ac:dyDescent="0.25">
      <c r="L1142" s="5"/>
      <c r="M1142" s="5"/>
      <c r="N1142" s="5"/>
      <c r="O1142" s="5"/>
      <c r="P1142" s="5"/>
    </row>
    <row r="1143" spans="12:16" ht="15.75" customHeight="1" x14ac:dyDescent="0.25">
      <c r="L1143" s="5"/>
      <c r="M1143" s="5"/>
      <c r="N1143" s="5"/>
      <c r="O1143" s="5"/>
      <c r="P1143" s="5"/>
    </row>
    <row r="1144" spans="12:16" ht="15.75" customHeight="1" x14ac:dyDescent="0.25">
      <c r="L1144" s="5"/>
      <c r="M1144" s="5"/>
      <c r="N1144" s="5"/>
      <c r="O1144" s="5"/>
      <c r="P1144" s="5"/>
    </row>
    <row r="1145" spans="12:16" ht="15.75" customHeight="1" x14ac:dyDescent="0.25">
      <c r="L1145" s="5"/>
      <c r="M1145" s="5"/>
      <c r="N1145" s="5"/>
      <c r="O1145" s="5"/>
      <c r="P1145" s="5"/>
    </row>
    <row r="1146" spans="12:16" ht="15.75" customHeight="1" x14ac:dyDescent="0.25">
      <c r="L1146" s="5"/>
      <c r="M1146" s="5"/>
      <c r="N1146" s="5"/>
      <c r="O1146" s="5"/>
      <c r="P1146" s="5"/>
    </row>
    <row r="1147" spans="12:16" ht="15.75" customHeight="1" x14ac:dyDescent="0.25">
      <c r="L1147" s="5"/>
      <c r="M1147" s="5"/>
      <c r="N1147" s="5"/>
      <c r="O1147" s="5"/>
      <c r="P1147" s="5"/>
    </row>
    <row r="1148" spans="12:16" ht="15.75" customHeight="1" x14ac:dyDescent="0.25">
      <c r="L1148" s="5"/>
      <c r="M1148" s="5"/>
      <c r="N1148" s="5"/>
      <c r="O1148" s="5"/>
      <c r="P1148" s="5"/>
    </row>
    <row r="1149" spans="12:16" ht="15.75" customHeight="1" x14ac:dyDescent="0.25">
      <c r="L1149" s="5"/>
      <c r="M1149" s="5"/>
      <c r="N1149" s="5"/>
      <c r="O1149" s="5"/>
      <c r="P1149" s="5"/>
    </row>
    <row r="1150" spans="12:16" ht="15.75" customHeight="1" x14ac:dyDescent="0.25">
      <c r="L1150" s="5"/>
      <c r="M1150" s="5"/>
      <c r="N1150" s="5"/>
      <c r="O1150" s="5"/>
      <c r="P1150" s="5"/>
    </row>
    <row r="1151" spans="12:16" ht="15.75" customHeight="1" x14ac:dyDescent="0.25">
      <c r="L1151" s="5"/>
      <c r="M1151" s="5"/>
      <c r="N1151" s="5"/>
      <c r="O1151" s="5"/>
      <c r="P1151" s="5"/>
    </row>
    <row r="1152" spans="12:16" ht="15.75" customHeight="1" x14ac:dyDescent="0.25">
      <c r="L1152" s="5"/>
      <c r="M1152" s="5"/>
      <c r="N1152" s="5"/>
      <c r="O1152" s="5"/>
      <c r="P1152" s="5"/>
    </row>
    <row r="1153" spans="12:16" ht="15.75" customHeight="1" x14ac:dyDescent="0.25">
      <c r="L1153" s="5"/>
      <c r="M1153" s="5"/>
      <c r="N1153" s="5"/>
      <c r="O1153" s="5"/>
      <c r="P1153" s="5"/>
    </row>
    <row r="1154" spans="12:16" ht="15.75" customHeight="1" x14ac:dyDescent="0.25">
      <c r="L1154" s="5"/>
      <c r="M1154" s="5"/>
      <c r="N1154" s="5"/>
      <c r="O1154" s="5"/>
      <c r="P1154" s="5"/>
    </row>
    <row r="1155" spans="12:16" ht="15.75" customHeight="1" x14ac:dyDescent="0.25">
      <c r="L1155" s="5"/>
      <c r="M1155" s="5"/>
      <c r="N1155" s="5"/>
      <c r="O1155" s="5"/>
      <c r="P1155" s="5"/>
    </row>
    <row r="1156" spans="12:16" ht="15.75" customHeight="1" x14ac:dyDescent="0.25">
      <c r="L1156" s="5"/>
      <c r="M1156" s="5"/>
      <c r="N1156" s="5"/>
      <c r="O1156" s="5"/>
      <c r="P1156" s="5"/>
    </row>
    <row r="1157" spans="12:16" ht="15.75" customHeight="1" x14ac:dyDescent="0.25">
      <c r="L1157" s="5"/>
      <c r="M1157" s="5"/>
      <c r="N1157" s="5"/>
      <c r="O1157" s="5"/>
      <c r="P1157" s="5"/>
    </row>
    <row r="1158" spans="12:16" ht="15.75" customHeight="1" x14ac:dyDescent="0.25">
      <c r="L1158" s="5"/>
      <c r="M1158" s="5"/>
      <c r="N1158" s="5"/>
      <c r="O1158" s="5"/>
      <c r="P1158" s="5"/>
    </row>
    <row r="1159" spans="12:16" ht="15.75" customHeight="1" x14ac:dyDescent="0.25">
      <c r="L1159" s="5"/>
      <c r="M1159" s="5"/>
      <c r="N1159" s="5"/>
      <c r="O1159" s="5"/>
      <c r="P1159" s="5"/>
    </row>
    <row r="1160" spans="12:16" ht="15.75" customHeight="1" x14ac:dyDescent="0.25">
      <c r="L1160" s="5"/>
      <c r="M1160" s="5"/>
      <c r="N1160" s="5"/>
      <c r="O1160" s="5"/>
      <c r="P1160" s="5"/>
    </row>
    <row r="1161" spans="12:16" ht="15.75" customHeight="1" x14ac:dyDescent="0.25">
      <c r="L1161" s="5"/>
      <c r="M1161" s="5"/>
      <c r="N1161" s="5"/>
      <c r="O1161" s="5"/>
      <c r="P1161" s="5"/>
    </row>
    <row r="1162" spans="12:16" ht="15.75" customHeight="1" x14ac:dyDescent="0.25">
      <c r="L1162" s="5"/>
      <c r="M1162" s="5"/>
      <c r="N1162" s="5"/>
      <c r="O1162" s="5"/>
      <c r="P1162" s="5"/>
    </row>
    <row r="1163" spans="12:16" ht="15.75" customHeight="1" x14ac:dyDescent="0.25">
      <c r="L1163" s="5"/>
      <c r="M1163" s="5"/>
      <c r="N1163" s="5"/>
      <c r="O1163" s="5"/>
      <c r="P1163" s="5"/>
    </row>
    <row r="1164" spans="12:16" ht="15.75" customHeight="1" x14ac:dyDescent="0.25">
      <c r="L1164" s="5"/>
      <c r="M1164" s="5"/>
      <c r="N1164" s="5"/>
      <c r="O1164" s="5"/>
      <c r="P1164" s="5"/>
    </row>
    <row r="1165" spans="12:16" ht="15.75" customHeight="1" x14ac:dyDescent="0.25">
      <c r="L1165" s="5"/>
      <c r="M1165" s="5"/>
      <c r="N1165" s="5"/>
      <c r="O1165" s="5"/>
      <c r="P1165" s="5"/>
    </row>
    <row r="1166" spans="12:16" ht="15.75" customHeight="1" x14ac:dyDescent="0.25">
      <c r="L1166" s="5"/>
      <c r="M1166" s="5"/>
      <c r="N1166" s="5"/>
      <c r="O1166" s="5"/>
      <c r="P1166" s="5"/>
    </row>
    <row r="1167" spans="12:16" ht="15.75" customHeight="1" x14ac:dyDescent="0.25">
      <c r="L1167" s="5"/>
      <c r="M1167" s="5"/>
      <c r="N1167" s="5"/>
      <c r="O1167" s="5"/>
      <c r="P1167" s="5"/>
    </row>
    <row r="1168" spans="12:16" ht="15.75" customHeight="1" x14ac:dyDescent="0.25">
      <c r="L1168" s="5"/>
      <c r="M1168" s="5"/>
      <c r="N1168" s="5"/>
      <c r="O1168" s="5"/>
      <c r="P1168" s="5"/>
    </row>
    <row r="1169" spans="12:16" ht="15.75" customHeight="1" x14ac:dyDescent="0.25">
      <c r="L1169" s="5"/>
      <c r="M1169" s="5"/>
      <c r="N1169" s="5"/>
      <c r="O1169" s="5"/>
      <c r="P1169" s="5"/>
    </row>
    <row r="1170" spans="12:16" ht="15.75" customHeight="1" x14ac:dyDescent="0.25">
      <c r="L1170" s="5"/>
      <c r="M1170" s="5"/>
      <c r="N1170" s="5"/>
      <c r="O1170" s="5"/>
      <c r="P1170" s="5"/>
    </row>
    <row r="1171" spans="12:16" ht="15.75" customHeight="1" x14ac:dyDescent="0.25">
      <c r="L1171" s="5"/>
      <c r="M1171" s="5"/>
      <c r="N1171" s="5"/>
      <c r="O1171" s="5"/>
      <c r="P1171" s="5"/>
    </row>
    <row r="1172" spans="12:16" ht="15.75" customHeight="1" x14ac:dyDescent="0.25">
      <c r="L1172" s="5"/>
      <c r="M1172" s="5"/>
      <c r="N1172" s="5"/>
      <c r="O1172" s="5"/>
      <c r="P1172" s="5"/>
    </row>
    <row r="1173" spans="12:16" ht="15.75" customHeight="1" x14ac:dyDescent="0.25">
      <c r="L1173" s="5"/>
      <c r="M1173" s="5"/>
      <c r="N1173" s="5"/>
      <c r="O1173" s="5"/>
      <c r="P1173" s="5"/>
    </row>
    <row r="1174" spans="12:16" ht="15.75" customHeight="1" x14ac:dyDescent="0.25">
      <c r="L1174" s="5"/>
      <c r="M1174" s="5"/>
      <c r="N1174" s="5"/>
      <c r="O1174" s="5"/>
      <c r="P1174" s="5"/>
    </row>
    <row r="1175" spans="12:16" ht="15.75" customHeight="1" x14ac:dyDescent="0.25">
      <c r="L1175" s="5"/>
      <c r="M1175" s="5"/>
      <c r="N1175" s="5"/>
      <c r="O1175" s="5"/>
      <c r="P1175" s="5"/>
    </row>
    <row r="1176" spans="12:16" ht="15.75" customHeight="1" x14ac:dyDescent="0.25">
      <c r="L1176" s="5"/>
      <c r="M1176" s="5"/>
      <c r="N1176" s="5"/>
      <c r="O1176" s="5"/>
      <c r="P1176" s="5"/>
    </row>
    <row r="1177" spans="12:16" ht="15.75" customHeight="1" x14ac:dyDescent="0.25">
      <c r="L1177" s="5"/>
      <c r="M1177" s="5"/>
      <c r="N1177" s="5"/>
      <c r="O1177" s="5"/>
      <c r="P1177" s="5"/>
    </row>
    <row r="1178" spans="12:16" ht="15.75" customHeight="1" x14ac:dyDescent="0.25">
      <c r="L1178" s="5"/>
      <c r="M1178" s="5"/>
      <c r="N1178" s="5"/>
      <c r="O1178" s="5"/>
      <c r="P1178" s="5"/>
    </row>
    <row r="1179" spans="12:16" ht="15.75" customHeight="1" x14ac:dyDescent="0.25">
      <c r="L1179" s="5"/>
      <c r="M1179" s="5"/>
      <c r="N1179" s="5"/>
      <c r="O1179" s="5"/>
      <c r="P1179" s="5"/>
    </row>
    <row r="1180" spans="12:16" ht="15.75" customHeight="1" x14ac:dyDescent="0.25">
      <c r="L1180" s="5"/>
      <c r="M1180" s="5"/>
      <c r="N1180" s="5"/>
      <c r="O1180" s="5"/>
      <c r="P1180" s="5"/>
    </row>
    <row r="1181" spans="12:16" ht="15.75" customHeight="1" x14ac:dyDescent="0.25">
      <c r="L1181" s="5"/>
      <c r="M1181" s="5"/>
      <c r="N1181" s="5"/>
      <c r="O1181" s="5"/>
      <c r="P1181" s="5"/>
    </row>
    <row r="1182" spans="12:16" ht="15.75" customHeight="1" x14ac:dyDescent="0.25">
      <c r="L1182" s="5"/>
      <c r="M1182" s="5"/>
      <c r="N1182" s="5"/>
      <c r="O1182" s="5"/>
      <c r="P1182" s="5"/>
    </row>
    <row r="1183" spans="12:16" ht="15.75" customHeight="1" x14ac:dyDescent="0.25">
      <c r="L1183" s="5"/>
      <c r="M1183" s="5"/>
      <c r="N1183" s="5"/>
      <c r="O1183" s="5"/>
      <c r="P1183" s="5"/>
    </row>
    <row r="1184" spans="12:16" ht="15.75" customHeight="1" x14ac:dyDescent="0.25">
      <c r="L1184" s="5"/>
      <c r="M1184" s="5"/>
      <c r="N1184" s="5"/>
      <c r="O1184" s="5"/>
      <c r="P1184" s="5"/>
    </row>
    <row r="1185" spans="12:16" ht="15.75" customHeight="1" x14ac:dyDescent="0.25">
      <c r="L1185" s="5"/>
      <c r="M1185" s="5"/>
      <c r="N1185" s="5"/>
      <c r="O1185" s="5"/>
      <c r="P1185" s="5"/>
    </row>
    <row r="1186" spans="12:16" ht="15.75" customHeight="1" x14ac:dyDescent="0.25">
      <c r="L1186" s="5"/>
      <c r="M1186" s="5"/>
      <c r="N1186" s="5"/>
      <c r="O1186" s="5"/>
      <c r="P1186" s="5"/>
    </row>
    <row r="1187" spans="12:16" ht="15.75" customHeight="1" x14ac:dyDescent="0.25">
      <c r="L1187" s="5"/>
      <c r="M1187" s="5"/>
      <c r="N1187" s="5"/>
      <c r="O1187" s="5"/>
      <c r="P1187" s="5"/>
    </row>
    <row r="1188" spans="12:16" ht="15.75" customHeight="1" x14ac:dyDescent="0.25">
      <c r="L1188" s="5"/>
      <c r="M1188" s="5"/>
      <c r="N1188" s="5"/>
      <c r="O1188" s="5"/>
      <c r="P1188" s="5"/>
    </row>
    <row r="1189" spans="12:16" ht="15.75" customHeight="1" x14ac:dyDescent="0.25">
      <c r="L1189" s="5"/>
      <c r="M1189" s="5"/>
      <c r="N1189" s="5"/>
      <c r="O1189" s="5"/>
      <c r="P1189" s="5"/>
    </row>
    <row r="1190" spans="12:16" ht="15.75" customHeight="1" x14ac:dyDescent="0.25">
      <c r="L1190" s="5"/>
      <c r="M1190" s="5"/>
      <c r="N1190" s="5"/>
      <c r="O1190" s="5"/>
      <c r="P1190" s="5"/>
    </row>
    <row r="1191" spans="12:16" ht="15.75" customHeight="1" x14ac:dyDescent="0.25">
      <c r="L1191" s="5"/>
      <c r="M1191" s="5"/>
      <c r="N1191" s="5"/>
      <c r="O1191" s="5"/>
      <c r="P1191" s="5"/>
    </row>
    <row r="1192" spans="12:16" ht="15.75" customHeight="1" x14ac:dyDescent="0.25">
      <c r="L1192" s="5"/>
      <c r="M1192" s="5"/>
      <c r="N1192" s="5"/>
      <c r="O1192" s="5"/>
      <c r="P1192" s="5"/>
    </row>
    <row r="1193" spans="12:16" ht="15.75" customHeight="1" x14ac:dyDescent="0.25">
      <c r="L1193" s="5"/>
      <c r="M1193" s="5"/>
      <c r="N1193" s="5"/>
      <c r="O1193" s="5"/>
      <c r="P1193" s="5"/>
    </row>
    <row r="1194" spans="12:16" ht="15.75" customHeight="1" x14ac:dyDescent="0.25">
      <c r="L1194" s="5"/>
      <c r="M1194" s="5"/>
      <c r="N1194" s="5"/>
      <c r="O1194" s="5"/>
      <c r="P1194" s="5"/>
    </row>
    <row r="1195" spans="12:16" ht="15.75" customHeight="1" x14ac:dyDescent="0.25">
      <c r="L1195" s="5"/>
      <c r="M1195" s="5"/>
      <c r="N1195" s="5"/>
      <c r="O1195" s="5"/>
      <c r="P1195" s="5"/>
    </row>
    <row r="1196" spans="12:16" ht="15.75" customHeight="1" x14ac:dyDescent="0.25">
      <c r="L1196" s="5"/>
      <c r="M1196" s="5"/>
      <c r="N1196" s="5"/>
      <c r="O1196" s="5"/>
      <c r="P1196" s="5"/>
    </row>
    <row r="1197" spans="12:16" ht="15.75" customHeight="1" x14ac:dyDescent="0.25">
      <c r="L1197" s="5"/>
      <c r="M1197" s="5"/>
      <c r="N1197" s="5"/>
      <c r="O1197" s="5"/>
      <c r="P1197" s="5"/>
    </row>
    <row r="1198" spans="12:16" ht="15.75" customHeight="1" x14ac:dyDescent="0.25">
      <c r="L1198" s="5"/>
      <c r="M1198" s="5"/>
      <c r="N1198" s="5"/>
      <c r="O1198" s="5"/>
      <c r="P1198" s="5"/>
    </row>
    <row r="1199" spans="12:16" ht="15.75" customHeight="1" x14ac:dyDescent="0.25">
      <c r="L1199" s="5"/>
      <c r="M1199" s="5"/>
      <c r="N1199" s="5"/>
      <c r="O1199" s="5"/>
      <c r="P1199" s="5"/>
    </row>
    <row r="1200" spans="12:16" ht="15.75" customHeight="1" x14ac:dyDescent="0.25">
      <c r="L1200" s="5"/>
      <c r="M1200" s="5"/>
      <c r="N1200" s="5"/>
      <c r="O1200" s="5"/>
      <c r="P1200" s="5"/>
    </row>
    <row r="1201" spans="12:16" ht="15.75" customHeight="1" x14ac:dyDescent="0.25">
      <c r="L1201" s="5"/>
      <c r="M1201" s="5"/>
      <c r="N1201" s="5"/>
      <c r="O1201" s="5"/>
      <c r="P1201" s="5"/>
    </row>
    <row r="1202" spans="12:16" ht="15.75" customHeight="1" x14ac:dyDescent="0.25">
      <c r="L1202" s="5"/>
      <c r="M1202" s="5"/>
      <c r="N1202" s="5"/>
      <c r="O1202" s="5"/>
      <c r="P1202" s="5"/>
    </row>
    <row r="1203" spans="12:16" ht="15.75" customHeight="1" x14ac:dyDescent="0.25">
      <c r="L1203" s="5"/>
      <c r="M1203" s="5"/>
      <c r="N1203" s="5"/>
      <c r="O1203" s="5"/>
      <c r="P1203" s="5"/>
    </row>
    <row r="1204" spans="12:16" ht="15.75" customHeight="1" x14ac:dyDescent="0.25">
      <c r="L1204" s="5"/>
      <c r="M1204" s="5"/>
      <c r="N1204" s="5"/>
      <c r="O1204" s="5"/>
      <c r="P1204" s="5"/>
    </row>
    <row r="1205" spans="12:16" ht="15.75" customHeight="1" x14ac:dyDescent="0.25">
      <c r="L1205" s="5"/>
      <c r="M1205" s="5"/>
      <c r="N1205" s="5"/>
      <c r="O1205" s="5"/>
      <c r="P1205" s="5"/>
    </row>
    <row r="1206" spans="12:16" ht="15.75" customHeight="1" x14ac:dyDescent="0.25">
      <c r="L1206" s="5"/>
      <c r="M1206" s="5"/>
      <c r="N1206" s="5"/>
      <c r="O1206" s="5"/>
      <c r="P1206" s="5"/>
    </row>
    <row r="1207" spans="12:16" ht="15.75" customHeight="1" x14ac:dyDescent="0.25">
      <c r="L1207" s="5"/>
      <c r="M1207" s="5"/>
      <c r="N1207" s="5"/>
      <c r="O1207" s="5"/>
      <c r="P1207" s="5"/>
    </row>
    <row r="1208" spans="12:16" ht="15.75" customHeight="1" x14ac:dyDescent="0.25">
      <c r="L1208" s="5"/>
      <c r="M1208" s="5"/>
      <c r="N1208" s="5"/>
      <c r="O1208" s="5"/>
      <c r="P1208" s="5"/>
    </row>
    <row r="1209" spans="12:16" ht="15.75" customHeight="1" x14ac:dyDescent="0.25">
      <c r="L1209" s="5"/>
      <c r="M1209" s="5"/>
      <c r="N1209" s="5"/>
      <c r="O1209" s="5"/>
      <c r="P1209" s="5"/>
    </row>
    <row r="1210" spans="12:16" ht="15.75" customHeight="1" x14ac:dyDescent="0.25">
      <c r="L1210" s="5"/>
      <c r="M1210" s="5"/>
      <c r="N1210" s="5"/>
      <c r="O1210" s="5"/>
      <c r="P1210" s="5"/>
    </row>
    <row r="1211" spans="12:16" ht="15.75" customHeight="1" x14ac:dyDescent="0.25">
      <c r="L1211" s="5"/>
      <c r="M1211" s="5"/>
      <c r="N1211" s="5"/>
      <c r="O1211" s="5"/>
      <c r="P1211" s="5"/>
    </row>
    <row r="1212" spans="12:16" ht="15.75" customHeight="1" x14ac:dyDescent="0.25">
      <c r="L1212" s="5"/>
      <c r="M1212" s="5"/>
      <c r="N1212" s="5"/>
      <c r="O1212" s="5"/>
      <c r="P1212" s="5"/>
    </row>
    <row r="1213" spans="12:16" ht="15.75" customHeight="1" x14ac:dyDescent="0.25">
      <c r="L1213" s="5"/>
      <c r="M1213" s="5"/>
      <c r="N1213" s="5"/>
      <c r="O1213" s="5"/>
      <c r="P1213" s="5"/>
    </row>
    <row r="1214" spans="12:16" ht="15.75" customHeight="1" x14ac:dyDescent="0.25">
      <c r="L1214" s="5"/>
      <c r="M1214" s="5"/>
      <c r="N1214" s="5"/>
      <c r="O1214" s="5"/>
      <c r="P1214" s="5"/>
    </row>
    <row r="1215" spans="12:16" ht="15.75" customHeight="1" x14ac:dyDescent="0.25">
      <c r="L1215" s="5"/>
      <c r="M1215" s="5"/>
      <c r="N1215" s="5"/>
      <c r="O1215" s="5"/>
      <c r="P1215" s="5"/>
    </row>
    <row r="1216" spans="12:16" ht="15.75" customHeight="1" x14ac:dyDescent="0.25">
      <c r="L1216" s="5"/>
      <c r="M1216" s="5"/>
      <c r="N1216" s="5"/>
      <c r="O1216" s="5"/>
      <c r="P1216" s="5"/>
    </row>
    <row r="1217" spans="12:16" ht="15.75" customHeight="1" x14ac:dyDescent="0.25">
      <c r="L1217" s="5"/>
      <c r="M1217" s="5"/>
      <c r="N1217" s="5"/>
      <c r="O1217" s="5"/>
      <c r="P1217" s="5"/>
    </row>
    <row r="1218" spans="12:16" ht="15.75" customHeight="1" x14ac:dyDescent="0.25">
      <c r="L1218" s="5"/>
      <c r="M1218" s="5"/>
      <c r="N1218" s="5"/>
      <c r="O1218" s="5"/>
      <c r="P1218" s="5"/>
    </row>
    <row r="1219" spans="12:16" ht="15.75" customHeight="1" x14ac:dyDescent="0.25">
      <c r="L1219" s="5"/>
      <c r="M1219" s="5"/>
      <c r="N1219" s="5"/>
      <c r="O1219" s="5"/>
      <c r="P1219" s="5"/>
    </row>
    <row r="1220" spans="12:16" ht="15.75" customHeight="1" x14ac:dyDescent="0.25">
      <c r="L1220" s="5"/>
      <c r="M1220" s="5"/>
      <c r="N1220" s="5"/>
      <c r="O1220" s="5"/>
      <c r="P1220" s="5"/>
    </row>
    <row r="1221" spans="12:16" ht="15.75" customHeight="1" x14ac:dyDescent="0.25">
      <c r="L1221" s="5"/>
      <c r="M1221" s="5"/>
      <c r="N1221" s="5"/>
      <c r="O1221" s="5"/>
      <c r="P1221" s="5"/>
    </row>
    <row r="1222" spans="12:16" ht="15.75" customHeight="1" x14ac:dyDescent="0.25">
      <c r="L1222" s="5"/>
      <c r="M1222" s="5"/>
      <c r="N1222" s="5"/>
      <c r="O1222" s="5"/>
      <c r="P1222" s="5"/>
    </row>
    <row r="1223" spans="12:16" ht="15.75" customHeight="1" x14ac:dyDescent="0.25">
      <c r="L1223" s="5"/>
      <c r="M1223" s="5"/>
      <c r="N1223" s="5"/>
      <c r="O1223" s="5"/>
      <c r="P1223" s="5"/>
    </row>
    <row r="1224" spans="12:16" ht="15.75" customHeight="1" x14ac:dyDescent="0.25">
      <c r="L1224" s="5"/>
      <c r="M1224" s="5"/>
      <c r="N1224" s="5"/>
      <c r="O1224" s="5"/>
      <c r="P1224" s="5"/>
    </row>
    <row r="1225" spans="12:16" ht="15.75" customHeight="1" x14ac:dyDescent="0.25">
      <c r="L1225" s="5"/>
      <c r="M1225" s="5"/>
      <c r="N1225" s="5"/>
      <c r="O1225" s="5"/>
      <c r="P1225" s="5"/>
    </row>
    <row r="1226" spans="12:16" ht="15.75" customHeight="1" x14ac:dyDescent="0.25">
      <c r="L1226" s="5"/>
      <c r="M1226" s="5"/>
      <c r="N1226" s="5"/>
      <c r="O1226" s="5"/>
      <c r="P1226" s="5"/>
    </row>
    <row r="1227" spans="12:16" ht="15.75" customHeight="1" x14ac:dyDescent="0.25">
      <c r="L1227" s="5"/>
      <c r="M1227" s="5"/>
      <c r="N1227" s="5"/>
      <c r="O1227" s="5"/>
      <c r="P1227" s="5"/>
    </row>
    <row r="1228" spans="12:16" ht="15.75" customHeight="1" x14ac:dyDescent="0.25">
      <c r="L1228" s="5"/>
      <c r="M1228" s="5"/>
      <c r="N1228" s="5"/>
      <c r="O1228" s="5"/>
      <c r="P1228" s="5"/>
    </row>
    <row r="1229" spans="12:16" ht="15.75" customHeight="1" x14ac:dyDescent="0.25">
      <c r="L1229" s="5"/>
      <c r="M1229" s="5"/>
      <c r="N1229" s="5"/>
      <c r="O1229" s="5"/>
      <c r="P1229" s="5"/>
    </row>
    <row r="1230" spans="12:16" ht="15.75" customHeight="1" x14ac:dyDescent="0.25">
      <c r="L1230" s="5"/>
      <c r="M1230" s="5"/>
      <c r="N1230" s="5"/>
      <c r="O1230" s="5"/>
      <c r="P1230" s="5"/>
    </row>
    <row r="1231" spans="12:16" ht="15.75" customHeight="1" x14ac:dyDescent="0.25">
      <c r="L1231" s="5"/>
      <c r="M1231" s="5"/>
      <c r="N1231" s="5"/>
      <c r="O1231" s="5"/>
      <c r="P1231" s="5"/>
    </row>
    <row r="1232" spans="12:16" ht="15.75" customHeight="1" x14ac:dyDescent="0.25">
      <c r="L1232" s="5"/>
      <c r="M1232" s="5"/>
      <c r="N1232" s="5"/>
      <c r="O1232" s="5"/>
      <c r="P1232" s="5"/>
    </row>
    <row r="1233" spans="12:16" ht="15.75" customHeight="1" x14ac:dyDescent="0.25">
      <c r="L1233" s="5"/>
      <c r="M1233" s="5"/>
      <c r="N1233" s="5"/>
      <c r="O1233" s="5"/>
      <c r="P1233" s="5"/>
    </row>
    <row r="1234" spans="12:16" ht="15.75" customHeight="1" x14ac:dyDescent="0.25">
      <c r="L1234" s="5"/>
      <c r="M1234" s="5"/>
      <c r="N1234" s="5"/>
      <c r="O1234" s="5"/>
      <c r="P1234" s="5"/>
    </row>
    <row r="1235" spans="12:16" ht="15.75" customHeight="1" x14ac:dyDescent="0.25">
      <c r="L1235" s="5"/>
      <c r="M1235" s="5"/>
      <c r="N1235" s="5"/>
      <c r="O1235" s="5"/>
      <c r="P1235" s="5"/>
    </row>
    <row r="1236" spans="12:16" ht="15.75" customHeight="1" x14ac:dyDescent="0.25">
      <c r="L1236" s="5"/>
      <c r="M1236" s="5"/>
      <c r="N1236" s="5"/>
      <c r="O1236" s="5"/>
      <c r="P1236" s="5"/>
    </row>
    <row r="1237" spans="12:16" ht="15.75" customHeight="1" x14ac:dyDescent="0.25">
      <c r="L1237" s="5"/>
      <c r="M1237" s="5"/>
      <c r="N1237" s="5"/>
      <c r="O1237" s="5"/>
      <c r="P1237" s="5"/>
    </row>
    <row r="1238" spans="12:16" ht="15.75" customHeight="1" x14ac:dyDescent="0.25">
      <c r="L1238" s="5"/>
      <c r="M1238" s="5"/>
      <c r="N1238" s="5"/>
      <c r="O1238" s="5"/>
      <c r="P1238" s="5"/>
    </row>
    <row r="1239" spans="12:16" ht="15.75" customHeight="1" x14ac:dyDescent="0.25">
      <c r="L1239" s="5"/>
      <c r="M1239" s="5"/>
      <c r="N1239" s="5"/>
      <c r="O1239" s="5"/>
      <c r="P1239" s="5"/>
    </row>
    <row r="1240" spans="12:16" ht="15.75" customHeight="1" x14ac:dyDescent="0.25">
      <c r="L1240" s="5"/>
      <c r="M1240" s="5"/>
      <c r="N1240" s="5"/>
      <c r="O1240" s="5"/>
      <c r="P1240" s="5"/>
    </row>
    <row r="1241" spans="12:16" ht="15.75" customHeight="1" x14ac:dyDescent="0.25">
      <c r="L1241" s="5"/>
      <c r="M1241" s="5"/>
      <c r="N1241" s="5"/>
      <c r="O1241" s="5"/>
      <c r="P1241" s="5"/>
    </row>
    <row r="1242" spans="12:16" ht="15.75" customHeight="1" x14ac:dyDescent="0.25">
      <c r="L1242" s="5"/>
      <c r="M1242" s="5"/>
      <c r="N1242" s="5"/>
      <c r="O1242" s="5"/>
      <c r="P1242" s="5"/>
    </row>
    <row r="1243" spans="12:16" ht="15.75" customHeight="1" x14ac:dyDescent="0.25">
      <c r="L1243" s="5"/>
      <c r="M1243" s="5"/>
      <c r="N1243" s="5"/>
      <c r="O1243" s="5"/>
      <c r="P1243" s="5"/>
    </row>
    <row r="1244" spans="12:16" ht="15.75" customHeight="1" x14ac:dyDescent="0.25">
      <c r="L1244" s="5"/>
      <c r="M1244" s="5"/>
      <c r="N1244" s="5"/>
      <c r="O1244" s="5"/>
      <c r="P1244" s="5"/>
    </row>
    <row r="1245" spans="12:16" ht="15.75" customHeight="1" x14ac:dyDescent="0.25">
      <c r="L1245" s="5"/>
      <c r="M1245" s="5"/>
      <c r="N1245" s="5"/>
      <c r="O1245" s="5"/>
      <c r="P1245" s="5"/>
    </row>
    <row r="1246" spans="12:16" ht="15.75" customHeight="1" x14ac:dyDescent="0.25">
      <c r="L1246" s="5"/>
      <c r="M1246" s="5"/>
      <c r="N1246" s="5"/>
      <c r="O1246" s="5"/>
      <c r="P1246" s="5"/>
    </row>
    <row r="1247" spans="12:16" ht="15.75" customHeight="1" x14ac:dyDescent="0.25">
      <c r="L1247" s="5"/>
      <c r="M1247" s="5"/>
      <c r="N1247" s="5"/>
      <c r="O1247" s="5"/>
      <c r="P1247" s="5"/>
    </row>
    <row r="1248" spans="12:16" ht="15.75" customHeight="1" x14ac:dyDescent="0.25">
      <c r="L1248" s="5"/>
      <c r="M1248" s="5"/>
      <c r="N1248" s="5"/>
      <c r="O1248" s="5"/>
      <c r="P1248" s="5"/>
    </row>
    <row r="1249" spans="12:16" ht="15.75" customHeight="1" x14ac:dyDescent="0.25">
      <c r="L1249" s="5"/>
      <c r="M1249" s="5"/>
      <c r="N1249" s="5"/>
      <c r="O1249" s="5"/>
      <c r="P1249" s="5"/>
    </row>
    <row r="1250" spans="12:16" ht="15.75" customHeight="1" x14ac:dyDescent="0.25">
      <c r="L1250" s="5"/>
      <c r="M1250" s="5"/>
      <c r="N1250" s="5"/>
      <c r="O1250" s="5"/>
      <c r="P1250" s="5"/>
    </row>
    <row r="1251" spans="12:16" ht="15.75" customHeight="1" x14ac:dyDescent="0.25">
      <c r="L1251" s="5"/>
      <c r="M1251" s="5"/>
      <c r="N1251" s="5"/>
      <c r="O1251" s="5"/>
      <c r="P1251" s="5"/>
    </row>
    <row r="1252" spans="12:16" ht="15.75" customHeight="1" x14ac:dyDescent="0.25">
      <c r="L1252" s="5"/>
      <c r="M1252" s="5"/>
      <c r="N1252" s="5"/>
      <c r="O1252" s="5"/>
      <c r="P1252" s="5"/>
    </row>
    <row r="1253" spans="12:16" ht="15.75" customHeight="1" x14ac:dyDescent="0.25">
      <c r="L1253" s="5"/>
      <c r="M1253" s="5"/>
      <c r="N1253" s="5"/>
      <c r="O1253" s="5"/>
      <c r="P1253" s="5"/>
    </row>
    <row r="1254" spans="12:16" ht="15.75" customHeight="1" x14ac:dyDescent="0.25">
      <c r="L1254" s="5"/>
      <c r="M1254" s="5"/>
      <c r="N1254" s="5"/>
      <c r="O1254" s="5"/>
      <c r="P1254" s="5"/>
    </row>
    <row r="1255" spans="12:16" ht="15.75" customHeight="1" x14ac:dyDescent="0.25">
      <c r="L1255" s="5"/>
      <c r="M1255" s="5"/>
      <c r="N1255" s="5"/>
      <c r="O1255" s="5"/>
      <c r="P1255" s="5"/>
    </row>
    <row r="1256" spans="12:16" ht="15.75" customHeight="1" x14ac:dyDescent="0.25">
      <c r="L1256" s="5"/>
      <c r="M1256" s="5"/>
      <c r="N1256" s="5"/>
      <c r="O1256" s="5"/>
      <c r="P1256" s="5"/>
    </row>
    <row r="1257" spans="12:16" ht="15.75" customHeight="1" x14ac:dyDescent="0.25">
      <c r="L1257" s="5"/>
      <c r="M1257" s="5"/>
      <c r="N1257" s="5"/>
      <c r="O1257" s="5"/>
      <c r="P1257" s="5"/>
    </row>
    <row r="1258" spans="12:16" ht="15.75" customHeight="1" x14ac:dyDescent="0.25">
      <c r="L1258" s="5"/>
      <c r="M1258" s="5"/>
      <c r="N1258" s="5"/>
      <c r="O1258" s="5"/>
      <c r="P1258" s="5"/>
    </row>
    <row r="1259" spans="12:16" ht="15.75" customHeight="1" x14ac:dyDescent="0.25">
      <c r="L1259" s="5"/>
      <c r="M1259" s="5"/>
      <c r="N1259" s="5"/>
      <c r="O1259" s="5"/>
      <c r="P1259" s="5"/>
    </row>
    <row r="1260" spans="12:16" ht="15.75" customHeight="1" x14ac:dyDescent="0.25">
      <c r="L1260" s="5"/>
      <c r="M1260" s="5"/>
      <c r="N1260" s="5"/>
      <c r="O1260" s="5"/>
      <c r="P1260" s="5"/>
    </row>
    <row r="1261" spans="12:16" ht="15.75" customHeight="1" x14ac:dyDescent="0.25">
      <c r="L1261" s="5"/>
      <c r="M1261" s="5"/>
      <c r="N1261" s="5"/>
      <c r="O1261" s="5"/>
      <c r="P1261" s="5"/>
    </row>
    <row r="1262" spans="12:16" ht="15.75" customHeight="1" x14ac:dyDescent="0.25">
      <c r="L1262" s="5"/>
      <c r="M1262" s="5"/>
      <c r="N1262" s="5"/>
      <c r="O1262" s="5"/>
      <c r="P1262" s="5"/>
    </row>
    <row r="1263" spans="12:16" ht="15.75" customHeight="1" x14ac:dyDescent="0.25">
      <c r="L1263" s="5"/>
      <c r="M1263" s="5"/>
      <c r="N1263" s="5"/>
      <c r="O1263" s="5"/>
      <c r="P1263" s="5"/>
    </row>
    <row r="1264" spans="12:16" ht="15.75" customHeight="1" x14ac:dyDescent="0.25">
      <c r="L1264" s="5"/>
      <c r="M1264" s="5"/>
      <c r="N1264" s="5"/>
      <c r="O1264" s="5"/>
      <c r="P1264" s="5"/>
    </row>
    <row r="1265" spans="12:16" ht="15.75" customHeight="1" x14ac:dyDescent="0.25">
      <c r="L1265" s="5"/>
      <c r="M1265" s="5"/>
      <c r="N1265" s="5"/>
      <c r="O1265" s="5"/>
      <c r="P1265" s="5"/>
    </row>
    <row r="1266" spans="12:16" ht="15.75" customHeight="1" x14ac:dyDescent="0.25">
      <c r="L1266" s="5"/>
      <c r="M1266" s="5"/>
      <c r="N1266" s="5"/>
      <c r="O1266" s="5"/>
      <c r="P1266" s="5"/>
    </row>
    <row r="1267" spans="12:16" ht="15.75" customHeight="1" x14ac:dyDescent="0.25">
      <c r="L1267" s="5"/>
      <c r="M1267" s="5"/>
      <c r="N1267" s="5"/>
      <c r="O1267" s="5"/>
      <c r="P1267" s="5"/>
    </row>
    <row r="1268" spans="12:16" ht="15.75" customHeight="1" x14ac:dyDescent="0.25">
      <c r="L1268" s="5"/>
      <c r="M1268" s="5"/>
      <c r="N1268" s="5"/>
      <c r="O1268" s="5"/>
      <c r="P1268" s="5"/>
    </row>
    <row r="1269" spans="12:16" ht="15.75" customHeight="1" x14ac:dyDescent="0.25">
      <c r="L1269" s="5"/>
      <c r="M1269" s="5"/>
      <c r="N1269" s="5"/>
      <c r="O1269" s="5"/>
      <c r="P1269" s="5"/>
    </row>
    <row r="1270" spans="12:16" ht="15.75" customHeight="1" x14ac:dyDescent="0.25">
      <c r="L1270" s="5"/>
      <c r="M1270" s="5"/>
      <c r="N1270" s="5"/>
      <c r="O1270" s="5"/>
      <c r="P1270" s="5"/>
    </row>
    <row r="1271" spans="12:16" ht="15.75" customHeight="1" x14ac:dyDescent="0.25">
      <c r="L1271" s="5"/>
      <c r="M1271" s="5"/>
      <c r="N1271" s="5"/>
      <c r="O1271" s="5"/>
      <c r="P1271" s="5"/>
    </row>
    <row r="1272" spans="12:16" ht="15.75" customHeight="1" x14ac:dyDescent="0.25">
      <c r="L1272" s="5"/>
      <c r="M1272" s="5"/>
      <c r="N1272" s="5"/>
      <c r="O1272" s="5"/>
      <c r="P1272" s="5"/>
    </row>
    <row r="1273" spans="12:16" ht="15.75" customHeight="1" x14ac:dyDescent="0.25">
      <c r="L1273" s="5"/>
      <c r="M1273" s="5"/>
      <c r="N1273" s="5"/>
      <c r="O1273" s="5"/>
      <c r="P1273" s="5"/>
    </row>
    <row r="1274" spans="12:16" ht="15.75" customHeight="1" x14ac:dyDescent="0.25">
      <c r="L1274" s="5"/>
      <c r="M1274" s="5"/>
      <c r="N1274" s="5"/>
      <c r="O1274" s="5"/>
      <c r="P1274" s="5"/>
    </row>
    <row r="1275" spans="12:16" ht="15.75" customHeight="1" x14ac:dyDescent="0.25">
      <c r="L1275" s="5"/>
      <c r="M1275" s="5"/>
      <c r="N1275" s="5"/>
      <c r="O1275" s="5"/>
      <c r="P1275" s="5"/>
    </row>
    <row r="1276" spans="12:16" ht="15.75" customHeight="1" x14ac:dyDescent="0.25">
      <c r="L1276" s="5"/>
      <c r="M1276" s="5"/>
      <c r="N1276" s="5"/>
      <c r="O1276" s="5"/>
      <c r="P1276" s="5"/>
    </row>
    <row r="1277" spans="12:16" ht="15.75" customHeight="1" x14ac:dyDescent="0.25">
      <c r="L1277" s="5"/>
      <c r="M1277" s="5"/>
      <c r="N1277" s="5"/>
      <c r="O1277" s="5"/>
      <c r="P1277" s="5"/>
    </row>
    <row r="1278" spans="12:16" ht="15.75" customHeight="1" x14ac:dyDescent="0.25">
      <c r="L1278" s="5"/>
      <c r="M1278" s="5"/>
      <c r="N1278" s="5"/>
      <c r="O1278" s="5"/>
      <c r="P1278" s="5"/>
    </row>
    <row r="1279" spans="12:16" ht="15.75" customHeight="1" x14ac:dyDescent="0.25">
      <c r="L1279" s="5"/>
      <c r="M1279" s="5"/>
      <c r="N1279" s="5"/>
      <c r="O1279" s="5"/>
      <c r="P1279" s="5"/>
    </row>
    <row r="1280" spans="12:16" ht="15.75" customHeight="1" x14ac:dyDescent="0.25">
      <c r="L1280" s="5"/>
      <c r="M1280" s="5"/>
      <c r="N1280" s="5"/>
      <c r="O1280" s="5"/>
      <c r="P1280" s="5"/>
    </row>
    <row r="1281" spans="12:16" ht="15.75" customHeight="1" x14ac:dyDescent="0.25">
      <c r="L1281" s="5"/>
      <c r="M1281" s="5"/>
      <c r="N1281" s="5"/>
      <c r="O1281" s="5"/>
      <c r="P1281" s="5"/>
    </row>
    <row r="1282" spans="12:16" ht="15.75" customHeight="1" x14ac:dyDescent="0.25">
      <c r="L1282" s="5"/>
      <c r="M1282" s="5"/>
      <c r="N1282" s="5"/>
      <c r="O1282" s="5"/>
      <c r="P1282" s="5"/>
    </row>
    <row r="1283" spans="12:16" ht="15.75" customHeight="1" x14ac:dyDescent="0.25">
      <c r="L1283" s="5"/>
      <c r="M1283" s="5"/>
      <c r="N1283" s="5"/>
      <c r="O1283" s="5"/>
      <c r="P1283" s="5"/>
    </row>
    <row r="1284" spans="12:16" ht="15.75" customHeight="1" x14ac:dyDescent="0.25">
      <c r="L1284" s="5"/>
      <c r="M1284" s="5"/>
      <c r="N1284" s="5"/>
      <c r="O1284" s="5"/>
      <c r="P1284" s="5"/>
    </row>
    <row r="1285" spans="12:16" ht="15.75" customHeight="1" x14ac:dyDescent="0.25">
      <c r="L1285" s="5"/>
      <c r="M1285" s="5"/>
      <c r="N1285" s="5"/>
      <c r="O1285" s="5"/>
      <c r="P1285" s="5"/>
    </row>
    <row r="1286" spans="12:16" ht="15.75" customHeight="1" x14ac:dyDescent="0.25">
      <c r="L1286" s="5"/>
      <c r="M1286" s="5"/>
      <c r="N1286" s="5"/>
      <c r="O1286" s="5"/>
      <c r="P1286" s="5"/>
    </row>
    <row r="1287" spans="12:16" ht="15.75" customHeight="1" x14ac:dyDescent="0.25">
      <c r="L1287" s="5"/>
      <c r="M1287" s="5"/>
      <c r="N1287" s="5"/>
      <c r="O1287" s="5"/>
      <c r="P1287" s="5"/>
    </row>
    <row r="1288" spans="12:16" ht="15.75" customHeight="1" x14ac:dyDescent="0.25">
      <c r="L1288" s="5"/>
      <c r="M1288" s="5"/>
      <c r="N1288" s="5"/>
      <c r="O1288" s="5"/>
      <c r="P1288" s="5"/>
    </row>
    <row r="1289" spans="12:16" ht="15.75" customHeight="1" x14ac:dyDescent="0.25">
      <c r="L1289" s="5"/>
      <c r="M1289" s="5"/>
      <c r="N1289" s="5"/>
      <c r="O1289" s="5"/>
      <c r="P1289" s="5"/>
    </row>
    <row r="1290" spans="12:16" ht="15.75" customHeight="1" x14ac:dyDescent="0.25">
      <c r="L1290" s="5"/>
      <c r="M1290" s="5"/>
      <c r="N1290" s="5"/>
      <c r="O1290" s="5"/>
      <c r="P1290" s="5"/>
    </row>
    <row r="1291" spans="12:16" ht="15.75" customHeight="1" x14ac:dyDescent="0.25">
      <c r="L1291" s="5"/>
      <c r="M1291" s="5"/>
      <c r="N1291" s="5"/>
      <c r="O1291" s="5"/>
      <c r="P1291" s="5"/>
    </row>
    <row r="1292" spans="12:16" ht="15.75" customHeight="1" x14ac:dyDescent="0.25">
      <c r="L1292" s="5"/>
      <c r="M1292" s="5"/>
      <c r="N1292" s="5"/>
      <c r="O1292" s="5"/>
      <c r="P1292" s="5"/>
    </row>
    <row r="1293" spans="12:16" ht="15.75" customHeight="1" x14ac:dyDescent="0.25">
      <c r="L1293" s="5"/>
      <c r="M1293" s="5"/>
      <c r="N1293" s="5"/>
      <c r="O1293" s="5"/>
      <c r="P1293" s="5"/>
    </row>
    <row r="1294" spans="12:16" ht="15.75" customHeight="1" x14ac:dyDescent="0.25">
      <c r="L1294" s="5"/>
      <c r="M1294" s="5"/>
      <c r="N1294" s="5"/>
      <c r="O1294" s="5"/>
      <c r="P1294" s="5"/>
    </row>
    <row r="1295" spans="12:16" ht="15.75" customHeight="1" x14ac:dyDescent="0.25">
      <c r="L1295" s="5"/>
      <c r="M1295" s="5"/>
      <c r="N1295" s="5"/>
      <c r="O1295" s="5"/>
      <c r="P1295" s="5"/>
    </row>
    <row r="1296" spans="12:16" ht="15.75" customHeight="1" x14ac:dyDescent="0.25">
      <c r="L1296" s="5"/>
      <c r="M1296" s="5"/>
      <c r="N1296" s="5"/>
      <c r="O1296" s="5"/>
      <c r="P1296" s="5"/>
    </row>
    <row r="1297" spans="12:16" ht="15.75" customHeight="1" x14ac:dyDescent="0.25">
      <c r="L1297" s="5"/>
      <c r="M1297" s="5"/>
      <c r="N1297" s="5"/>
      <c r="O1297" s="5"/>
      <c r="P1297" s="5"/>
    </row>
    <row r="1298" spans="12:16" ht="15.75" customHeight="1" x14ac:dyDescent="0.25">
      <c r="L1298" s="5"/>
      <c r="M1298" s="5"/>
      <c r="N1298" s="5"/>
      <c r="O1298" s="5"/>
      <c r="P1298" s="5"/>
    </row>
    <row r="1299" spans="12:16" ht="15.75" customHeight="1" x14ac:dyDescent="0.25">
      <c r="L1299" s="5"/>
      <c r="M1299" s="5"/>
      <c r="N1299" s="5"/>
      <c r="O1299" s="5"/>
      <c r="P1299" s="5"/>
    </row>
    <row r="1300" spans="12:16" ht="15.75" customHeight="1" x14ac:dyDescent="0.25">
      <c r="L1300" s="5"/>
      <c r="M1300" s="5"/>
      <c r="N1300" s="5"/>
      <c r="O1300" s="5"/>
      <c r="P1300" s="5"/>
    </row>
    <row r="1301" spans="12:16" ht="15.75" customHeight="1" x14ac:dyDescent="0.25">
      <c r="L1301" s="5"/>
      <c r="M1301" s="5"/>
      <c r="N1301" s="5"/>
      <c r="O1301" s="5"/>
      <c r="P1301" s="5"/>
    </row>
    <row r="1302" spans="12:16" ht="15.75" customHeight="1" x14ac:dyDescent="0.25">
      <c r="L1302" s="5"/>
      <c r="M1302" s="5"/>
      <c r="N1302" s="5"/>
      <c r="O1302" s="5"/>
      <c r="P1302" s="5"/>
    </row>
    <row r="1303" spans="12:16" ht="15.75" customHeight="1" x14ac:dyDescent="0.25">
      <c r="L1303" s="5"/>
      <c r="M1303" s="5"/>
      <c r="N1303" s="5"/>
      <c r="O1303" s="5"/>
      <c r="P1303" s="5"/>
    </row>
    <row r="1304" spans="12:16" ht="15.75" customHeight="1" x14ac:dyDescent="0.25">
      <c r="L1304" s="5"/>
      <c r="M1304" s="5"/>
      <c r="N1304" s="5"/>
      <c r="O1304" s="5"/>
      <c r="P1304" s="5"/>
    </row>
    <row r="1305" spans="12:16" ht="15.75" customHeight="1" x14ac:dyDescent="0.25">
      <c r="L1305" s="5"/>
      <c r="M1305" s="5"/>
      <c r="N1305" s="5"/>
      <c r="O1305" s="5"/>
      <c r="P1305" s="5"/>
    </row>
    <row r="1306" spans="12:16" ht="15.75" customHeight="1" x14ac:dyDescent="0.25">
      <c r="L1306" s="5"/>
      <c r="M1306" s="5"/>
      <c r="N1306" s="5"/>
      <c r="O1306" s="5"/>
      <c r="P1306" s="5"/>
    </row>
    <row r="1307" spans="12:16" ht="15.75" customHeight="1" x14ac:dyDescent="0.25">
      <c r="L1307" s="5"/>
      <c r="M1307" s="5"/>
      <c r="N1307" s="5"/>
      <c r="O1307" s="5"/>
      <c r="P1307" s="5"/>
    </row>
    <row r="1308" spans="12:16" ht="15.75" customHeight="1" x14ac:dyDescent="0.25">
      <c r="L1308" s="5"/>
      <c r="M1308" s="5"/>
      <c r="N1308" s="5"/>
      <c r="O1308" s="5"/>
      <c r="P1308" s="5"/>
    </row>
    <row r="1309" spans="12:16" ht="15.75" customHeight="1" x14ac:dyDescent="0.25">
      <c r="L1309" s="5"/>
      <c r="M1309" s="5"/>
      <c r="N1309" s="5"/>
      <c r="O1309" s="5"/>
      <c r="P1309" s="5"/>
    </row>
    <row r="1310" spans="12:16" ht="15.75" customHeight="1" x14ac:dyDescent="0.25">
      <c r="L1310" s="5"/>
      <c r="M1310" s="5"/>
      <c r="N1310" s="5"/>
      <c r="O1310" s="5"/>
      <c r="P1310" s="5"/>
    </row>
    <row r="1311" spans="12:16" ht="15.75" customHeight="1" x14ac:dyDescent="0.25">
      <c r="L1311" s="5"/>
      <c r="M1311" s="5"/>
      <c r="N1311" s="5"/>
      <c r="O1311" s="5"/>
      <c r="P1311" s="5"/>
    </row>
    <row r="1312" spans="12:16" ht="15.75" customHeight="1" x14ac:dyDescent="0.25">
      <c r="L1312" s="5"/>
      <c r="M1312" s="5"/>
      <c r="N1312" s="5"/>
      <c r="O1312" s="5"/>
      <c r="P1312" s="5"/>
    </row>
    <row r="1313" spans="12:16" ht="15.75" customHeight="1" x14ac:dyDescent="0.25">
      <c r="L1313" s="5"/>
      <c r="M1313" s="5"/>
      <c r="N1313" s="5"/>
      <c r="O1313" s="5"/>
      <c r="P1313" s="5"/>
    </row>
    <row r="1314" spans="12:16" ht="15.75" customHeight="1" x14ac:dyDescent="0.25">
      <c r="L1314" s="5"/>
      <c r="M1314" s="5"/>
      <c r="N1314" s="5"/>
      <c r="O1314" s="5"/>
      <c r="P1314" s="5"/>
    </row>
    <row r="1315" spans="12:16" ht="15.75" customHeight="1" x14ac:dyDescent="0.25">
      <c r="L1315" s="5"/>
      <c r="M1315" s="5"/>
      <c r="N1315" s="5"/>
      <c r="O1315" s="5"/>
      <c r="P1315" s="5"/>
    </row>
    <row r="1316" spans="12:16" ht="15.75" customHeight="1" x14ac:dyDescent="0.25">
      <c r="L1316" s="5"/>
      <c r="M1316" s="5"/>
      <c r="N1316" s="5"/>
      <c r="O1316" s="5"/>
      <c r="P1316" s="5"/>
    </row>
    <row r="1317" spans="12:16" ht="15.75" customHeight="1" x14ac:dyDescent="0.25">
      <c r="L1317" s="5"/>
      <c r="M1317" s="5"/>
      <c r="N1317" s="5"/>
      <c r="O1317" s="5"/>
      <c r="P1317" s="5"/>
    </row>
    <row r="1318" spans="12:16" ht="15.75" customHeight="1" x14ac:dyDescent="0.25">
      <c r="L1318" s="5"/>
      <c r="M1318" s="5"/>
      <c r="N1318" s="5"/>
      <c r="O1318" s="5"/>
      <c r="P1318" s="5"/>
    </row>
    <row r="1319" spans="12:16" ht="15.75" customHeight="1" x14ac:dyDescent="0.25">
      <c r="L1319" s="5"/>
      <c r="M1319" s="5"/>
      <c r="N1319" s="5"/>
      <c r="O1319" s="5"/>
      <c r="P1319" s="5"/>
    </row>
    <row r="1320" spans="12:16" ht="15.75" customHeight="1" x14ac:dyDescent="0.25">
      <c r="L1320" s="5"/>
      <c r="M1320" s="5"/>
      <c r="N1320" s="5"/>
      <c r="O1320" s="5"/>
      <c r="P1320" s="5"/>
    </row>
    <row r="1321" spans="12:16" ht="15.75" customHeight="1" x14ac:dyDescent="0.25">
      <c r="L1321" s="5"/>
      <c r="M1321" s="5"/>
      <c r="N1321" s="5"/>
      <c r="O1321" s="5"/>
      <c r="P1321" s="5"/>
    </row>
    <row r="1322" spans="12:16" ht="15.75" customHeight="1" x14ac:dyDescent="0.25">
      <c r="L1322" s="5"/>
      <c r="M1322" s="5"/>
      <c r="N1322" s="5"/>
      <c r="O1322" s="5"/>
      <c r="P1322" s="5"/>
    </row>
    <row r="1323" spans="12:16" ht="15.75" customHeight="1" x14ac:dyDescent="0.25">
      <c r="L1323" s="5"/>
      <c r="M1323" s="5"/>
      <c r="N1323" s="5"/>
      <c r="O1323" s="5"/>
      <c r="P1323" s="5"/>
    </row>
    <row r="1324" spans="12:16" ht="15.75" customHeight="1" x14ac:dyDescent="0.25">
      <c r="L1324" s="5"/>
      <c r="M1324" s="5"/>
      <c r="N1324" s="5"/>
      <c r="O1324" s="5"/>
      <c r="P1324" s="5"/>
    </row>
    <row r="1325" spans="12:16" ht="15.75" customHeight="1" x14ac:dyDescent="0.25">
      <c r="L1325" s="5"/>
      <c r="M1325" s="5"/>
      <c r="N1325" s="5"/>
      <c r="O1325" s="5"/>
      <c r="P1325" s="5"/>
    </row>
    <row r="1326" spans="12:16" ht="15.75" customHeight="1" x14ac:dyDescent="0.25">
      <c r="L1326" s="5"/>
      <c r="M1326" s="5"/>
      <c r="N1326" s="5"/>
      <c r="O1326" s="5"/>
      <c r="P1326" s="5"/>
    </row>
    <row r="1327" spans="12:16" ht="15.75" customHeight="1" x14ac:dyDescent="0.25">
      <c r="L1327" s="5"/>
      <c r="M1327" s="5"/>
      <c r="N1327" s="5"/>
      <c r="O1327" s="5"/>
      <c r="P1327" s="5"/>
    </row>
    <row r="1328" spans="12:16" ht="15.75" customHeight="1" x14ac:dyDescent="0.25">
      <c r="L1328" s="5"/>
      <c r="M1328" s="5"/>
      <c r="N1328" s="5"/>
      <c r="O1328" s="5"/>
      <c r="P1328" s="5"/>
    </row>
    <row r="1329" spans="12:16" ht="15.75" customHeight="1" x14ac:dyDescent="0.25">
      <c r="L1329" s="5"/>
      <c r="M1329" s="5"/>
      <c r="N1329" s="5"/>
      <c r="O1329" s="5"/>
      <c r="P1329" s="5"/>
    </row>
    <row r="1330" spans="12:16" ht="15.75" customHeight="1" x14ac:dyDescent="0.25">
      <c r="L1330" s="5"/>
      <c r="M1330" s="5"/>
      <c r="N1330" s="5"/>
      <c r="O1330" s="5"/>
      <c r="P1330" s="5"/>
    </row>
    <row r="1331" spans="12:16" ht="15.75" customHeight="1" x14ac:dyDescent="0.25">
      <c r="L1331" s="5"/>
      <c r="M1331" s="5"/>
      <c r="N1331" s="5"/>
      <c r="O1331" s="5"/>
      <c r="P1331" s="5"/>
    </row>
    <row r="1332" spans="12:16" ht="15.75" customHeight="1" x14ac:dyDescent="0.25">
      <c r="L1332" s="5"/>
      <c r="M1332" s="5"/>
      <c r="N1332" s="5"/>
      <c r="O1332" s="5"/>
      <c r="P1332" s="5"/>
    </row>
    <row r="1333" spans="12:16" ht="15.75" customHeight="1" x14ac:dyDescent="0.25">
      <c r="L1333" s="5"/>
      <c r="M1333" s="5"/>
      <c r="N1333" s="5"/>
      <c r="O1333" s="5"/>
      <c r="P1333" s="5"/>
    </row>
    <row r="1334" spans="12:16" ht="15.75" customHeight="1" x14ac:dyDescent="0.25">
      <c r="L1334" s="5"/>
      <c r="M1334" s="5"/>
      <c r="N1334" s="5"/>
      <c r="O1334" s="5"/>
      <c r="P1334" s="5"/>
    </row>
    <row r="1335" spans="12:16" ht="15.75" customHeight="1" x14ac:dyDescent="0.25">
      <c r="L1335" s="5"/>
      <c r="M1335" s="5"/>
      <c r="N1335" s="5"/>
      <c r="O1335" s="5"/>
      <c r="P1335" s="5"/>
    </row>
    <row r="1336" spans="12:16" ht="15.75" customHeight="1" x14ac:dyDescent="0.25">
      <c r="L1336" s="5"/>
      <c r="M1336" s="5"/>
      <c r="N1336" s="5"/>
      <c r="O1336" s="5"/>
      <c r="P1336" s="5"/>
    </row>
    <row r="1337" spans="12:16" ht="15.75" customHeight="1" x14ac:dyDescent="0.25">
      <c r="L1337" s="5"/>
      <c r="M1337" s="5"/>
      <c r="N1337" s="5"/>
      <c r="O1337" s="5"/>
      <c r="P1337" s="5"/>
    </row>
    <row r="1338" spans="12:16" ht="15.75" customHeight="1" x14ac:dyDescent="0.25">
      <c r="L1338" s="5"/>
      <c r="M1338" s="5"/>
      <c r="N1338" s="5"/>
      <c r="O1338" s="5"/>
      <c r="P1338" s="5"/>
    </row>
    <row r="1339" spans="12:16" ht="15.75" customHeight="1" x14ac:dyDescent="0.25">
      <c r="L1339" s="5"/>
      <c r="M1339" s="5"/>
      <c r="N1339" s="5"/>
      <c r="O1339" s="5"/>
      <c r="P1339" s="5"/>
    </row>
    <row r="1340" spans="12:16" ht="15.75" customHeight="1" x14ac:dyDescent="0.25">
      <c r="L1340" s="5"/>
      <c r="M1340" s="5"/>
      <c r="N1340" s="5"/>
      <c r="O1340" s="5"/>
      <c r="P1340" s="5"/>
    </row>
    <row r="1341" spans="12:16" ht="15.75" customHeight="1" x14ac:dyDescent="0.25">
      <c r="L1341" s="5"/>
      <c r="M1341" s="5"/>
      <c r="N1341" s="5"/>
      <c r="O1341" s="5"/>
      <c r="P1341" s="5"/>
    </row>
    <row r="1342" spans="12:16" ht="15.75" customHeight="1" x14ac:dyDescent="0.25">
      <c r="L1342" s="5"/>
      <c r="M1342" s="5"/>
      <c r="N1342" s="5"/>
      <c r="O1342" s="5"/>
      <c r="P1342" s="5"/>
    </row>
    <row r="1343" spans="12:16" ht="15.75" customHeight="1" x14ac:dyDescent="0.25">
      <c r="L1343" s="5"/>
      <c r="M1343" s="5"/>
      <c r="N1343" s="5"/>
      <c r="O1343" s="5"/>
      <c r="P1343" s="5"/>
    </row>
    <row r="1344" spans="12:16" ht="15.75" customHeight="1" x14ac:dyDescent="0.25">
      <c r="L1344" s="5"/>
      <c r="M1344" s="5"/>
      <c r="N1344" s="5"/>
      <c r="O1344" s="5"/>
      <c r="P1344" s="5"/>
    </row>
    <row r="1345" spans="12:16" ht="15.75" customHeight="1" x14ac:dyDescent="0.25">
      <c r="L1345" s="5"/>
      <c r="M1345" s="5"/>
      <c r="N1345" s="5"/>
      <c r="O1345" s="5"/>
      <c r="P1345" s="5"/>
    </row>
    <row r="1346" spans="12:16" ht="15.75" customHeight="1" x14ac:dyDescent="0.25">
      <c r="L1346" s="5"/>
      <c r="M1346" s="5"/>
      <c r="N1346" s="5"/>
      <c r="O1346" s="5"/>
      <c r="P1346" s="5"/>
    </row>
    <row r="1347" spans="12:16" ht="15.75" customHeight="1" x14ac:dyDescent="0.25">
      <c r="L1347" s="5"/>
      <c r="M1347" s="5"/>
      <c r="N1347" s="5"/>
      <c r="O1347" s="5"/>
      <c r="P1347" s="5"/>
    </row>
    <row r="1348" spans="12:16" ht="15.75" customHeight="1" x14ac:dyDescent="0.25">
      <c r="L1348" s="5"/>
      <c r="M1348" s="5"/>
      <c r="N1348" s="5"/>
      <c r="O1348" s="5"/>
      <c r="P1348" s="5"/>
    </row>
    <row r="1349" spans="12:16" ht="15.75" customHeight="1" x14ac:dyDescent="0.25">
      <c r="L1349" s="5"/>
      <c r="M1349" s="5"/>
      <c r="N1349" s="5"/>
      <c r="O1349" s="5"/>
      <c r="P1349" s="5"/>
    </row>
    <row r="1350" spans="12:16" ht="15.75" customHeight="1" x14ac:dyDescent="0.25">
      <c r="L1350" s="5"/>
      <c r="M1350" s="5"/>
      <c r="N1350" s="5"/>
      <c r="O1350" s="5"/>
      <c r="P1350" s="5"/>
    </row>
    <row r="1351" spans="12:16" ht="15.75" customHeight="1" x14ac:dyDescent="0.25">
      <c r="L1351" s="5"/>
      <c r="M1351" s="5"/>
      <c r="N1351" s="5"/>
      <c r="O1351" s="5"/>
      <c r="P1351" s="5"/>
    </row>
    <row r="1352" spans="12:16" ht="15.75" customHeight="1" x14ac:dyDescent="0.25">
      <c r="L1352" s="5"/>
      <c r="M1352" s="5"/>
      <c r="N1352" s="5"/>
      <c r="O1352" s="5"/>
      <c r="P1352" s="5"/>
    </row>
    <row r="1353" spans="12:16" ht="15.75" customHeight="1" x14ac:dyDescent="0.25">
      <c r="L1353" s="5"/>
      <c r="M1353" s="5"/>
      <c r="N1353" s="5"/>
      <c r="O1353" s="5"/>
      <c r="P1353" s="5"/>
    </row>
    <row r="1354" spans="12:16" ht="15.75" customHeight="1" x14ac:dyDescent="0.25">
      <c r="L1354" s="5"/>
      <c r="M1354" s="5"/>
      <c r="N1354" s="5"/>
      <c r="O1354" s="5"/>
      <c r="P1354" s="5"/>
    </row>
    <row r="1355" spans="12:16" ht="15.75" customHeight="1" x14ac:dyDescent="0.25">
      <c r="L1355" s="5"/>
      <c r="M1355" s="5"/>
      <c r="N1355" s="5"/>
      <c r="O1355" s="5"/>
      <c r="P1355" s="5"/>
    </row>
    <row r="1356" spans="12:16" ht="15.75" customHeight="1" x14ac:dyDescent="0.25">
      <c r="L1356" s="5"/>
      <c r="M1356" s="5"/>
      <c r="N1356" s="5"/>
      <c r="O1356" s="5"/>
      <c r="P1356" s="5"/>
    </row>
    <row r="1357" spans="12:16" ht="15.75" customHeight="1" x14ac:dyDescent="0.25">
      <c r="L1357" s="5"/>
      <c r="M1357" s="5"/>
      <c r="N1357" s="5"/>
      <c r="O1357" s="5"/>
      <c r="P1357" s="5"/>
    </row>
    <row r="1358" spans="12:16" ht="15.75" customHeight="1" x14ac:dyDescent="0.25">
      <c r="L1358" s="5"/>
      <c r="M1358" s="5"/>
      <c r="N1358" s="5"/>
      <c r="O1358" s="5"/>
      <c r="P1358" s="5"/>
    </row>
    <row r="1359" spans="12:16" ht="15.75" customHeight="1" x14ac:dyDescent="0.25">
      <c r="L1359" s="5"/>
      <c r="M1359" s="5"/>
      <c r="N1359" s="5"/>
      <c r="O1359" s="5"/>
      <c r="P1359" s="5"/>
    </row>
    <row r="1360" spans="12:16" ht="15.75" customHeight="1" x14ac:dyDescent="0.25">
      <c r="L1360" s="5"/>
      <c r="M1360" s="5"/>
      <c r="N1360" s="5"/>
      <c r="O1360" s="5"/>
      <c r="P1360" s="5"/>
    </row>
    <row r="1361" spans="12:16" ht="15.75" customHeight="1" x14ac:dyDescent="0.25">
      <c r="L1361" s="5"/>
      <c r="M1361" s="5"/>
      <c r="N1361" s="5"/>
      <c r="O1361" s="5"/>
      <c r="P1361" s="5"/>
    </row>
    <row r="1362" spans="12:16" ht="15.75" customHeight="1" x14ac:dyDescent="0.25">
      <c r="L1362" s="5"/>
      <c r="M1362" s="5"/>
      <c r="N1362" s="5"/>
      <c r="O1362" s="5"/>
      <c r="P1362" s="5"/>
    </row>
    <row r="1363" spans="12:16" ht="15.75" customHeight="1" x14ac:dyDescent="0.25">
      <c r="L1363" s="5"/>
      <c r="M1363" s="5"/>
      <c r="N1363" s="5"/>
      <c r="O1363" s="5"/>
      <c r="P1363" s="5"/>
    </row>
    <row r="1364" spans="12:16" ht="15.75" customHeight="1" x14ac:dyDescent="0.25">
      <c r="L1364" s="5"/>
      <c r="M1364" s="5"/>
      <c r="N1364" s="5"/>
      <c r="O1364" s="5"/>
      <c r="P1364" s="5"/>
    </row>
    <row r="1365" spans="12:16" ht="15.75" customHeight="1" x14ac:dyDescent="0.25">
      <c r="L1365" s="5"/>
      <c r="M1365" s="5"/>
      <c r="N1365" s="5"/>
      <c r="O1365" s="5"/>
      <c r="P1365" s="5"/>
    </row>
    <row r="1366" spans="12:16" ht="15.75" customHeight="1" x14ac:dyDescent="0.25">
      <c r="L1366" s="5"/>
      <c r="M1366" s="5"/>
      <c r="N1366" s="5"/>
      <c r="O1366" s="5"/>
      <c r="P1366" s="5"/>
    </row>
    <row r="1367" spans="12:16" ht="15.75" customHeight="1" x14ac:dyDescent="0.25">
      <c r="L1367" s="5"/>
      <c r="M1367" s="5"/>
      <c r="N1367" s="5"/>
      <c r="O1367" s="5"/>
      <c r="P1367" s="5"/>
    </row>
    <row r="1368" spans="12:16" ht="15.75" customHeight="1" x14ac:dyDescent="0.25">
      <c r="L1368" s="5"/>
      <c r="M1368" s="5"/>
      <c r="N1368" s="5"/>
      <c r="O1368" s="5"/>
      <c r="P1368" s="5"/>
    </row>
    <row r="1369" spans="12:16" ht="15.75" customHeight="1" x14ac:dyDescent="0.25">
      <c r="L1369" s="5"/>
      <c r="M1369" s="5"/>
      <c r="N1369" s="5"/>
      <c r="O1369" s="5"/>
      <c r="P1369" s="5"/>
    </row>
    <row r="1370" spans="12:16" ht="15.75" customHeight="1" x14ac:dyDescent="0.25">
      <c r="L1370" s="5"/>
      <c r="M1370" s="5"/>
      <c r="N1370" s="5"/>
      <c r="O1370" s="5"/>
      <c r="P1370" s="5"/>
    </row>
    <row r="1371" spans="12:16" ht="15.75" customHeight="1" x14ac:dyDescent="0.25">
      <c r="L1371" s="5"/>
      <c r="M1371" s="5"/>
      <c r="N1371" s="5"/>
      <c r="O1371" s="5"/>
      <c r="P1371" s="5"/>
    </row>
    <row r="1372" spans="12:16" ht="15.75" customHeight="1" x14ac:dyDescent="0.25">
      <c r="L1372" s="5"/>
      <c r="M1372" s="5"/>
      <c r="N1372" s="5"/>
      <c r="O1372" s="5"/>
      <c r="P1372" s="5"/>
    </row>
    <row r="1373" spans="12:16" ht="15.75" customHeight="1" x14ac:dyDescent="0.25">
      <c r="L1373" s="5"/>
      <c r="M1373" s="5"/>
      <c r="N1373" s="5"/>
      <c r="O1373" s="5"/>
      <c r="P1373" s="5"/>
    </row>
    <row r="1374" spans="12:16" ht="15.75" customHeight="1" x14ac:dyDescent="0.25">
      <c r="L1374" s="5"/>
      <c r="M1374" s="5"/>
      <c r="N1374" s="5"/>
      <c r="O1374" s="5"/>
      <c r="P1374" s="5"/>
    </row>
    <row r="1375" spans="12:16" ht="15.75" customHeight="1" x14ac:dyDescent="0.25">
      <c r="L1375" s="5"/>
      <c r="M1375" s="5"/>
      <c r="N1375" s="5"/>
      <c r="O1375" s="5"/>
      <c r="P1375" s="5"/>
    </row>
    <row r="1376" spans="12:16" ht="15.75" customHeight="1" x14ac:dyDescent="0.25">
      <c r="L1376" s="5"/>
      <c r="M1376" s="5"/>
      <c r="N1376" s="5"/>
      <c r="O1376" s="5"/>
      <c r="P1376" s="5"/>
    </row>
    <row r="1377" spans="12:16" ht="15.75" customHeight="1" x14ac:dyDescent="0.25">
      <c r="L1377" s="5"/>
      <c r="M1377" s="5"/>
      <c r="N1377" s="5"/>
      <c r="O1377" s="5"/>
      <c r="P1377" s="5"/>
    </row>
    <row r="1378" spans="12:16" ht="15.75" customHeight="1" x14ac:dyDescent="0.25">
      <c r="L1378" s="5"/>
      <c r="M1378" s="5"/>
      <c r="N1378" s="5"/>
      <c r="O1378" s="5"/>
      <c r="P1378" s="5"/>
    </row>
    <row r="1379" spans="12:16" ht="15.75" customHeight="1" x14ac:dyDescent="0.25">
      <c r="L1379" s="5"/>
      <c r="M1379" s="5"/>
      <c r="N1379" s="5"/>
      <c r="O1379" s="5"/>
      <c r="P1379" s="5"/>
    </row>
    <row r="1380" spans="12:16" ht="15.75" customHeight="1" x14ac:dyDescent="0.25">
      <c r="L1380" s="5"/>
      <c r="M1380" s="5"/>
      <c r="N1380" s="5"/>
      <c r="O1380" s="5"/>
      <c r="P1380" s="5"/>
    </row>
    <row r="1381" spans="12:16" ht="15.75" customHeight="1" x14ac:dyDescent="0.25">
      <c r="L1381" s="5"/>
      <c r="M1381" s="5"/>
      <c r="N1381" s="5"/>
      <c r="O1381" s="5"/>
      <c r="P1381" s="5"/>
    </row>
    <row r="1382" spans="12:16" ht="15.75" customHeight="1" x14ac:dyDescent="0.25">
      <c r="L1382" s="5"/>
      <c r="M1382" s="5"/>
      <c r="N1382" s="5"/>
      <c r="O1382" s="5"/>
      <c r="P1382" s="5"/>
    </row>
    <row r="1383" spans="12:16" ht="15.75" customHeight="1" x14ac:dyDescent="0.25">
      <c r="L1383" s="5"/>
      <c r="M1383" s="5"/>
      <c r="N1383" s="5"/>
      <c r="O1383" s="5"/>
      <c r="P1383" s="5"/>
    </row>
    <row r="1384" spans="12:16" ht="15.75" customHeight="1" x14ac:dyDescent="0.25">
      <c r="L1384" s="5"/>
      <c r="M1384" s="5"/>
      <c r="N1384" s="5"/>
      <c r="O1384" s="5"/>
      <c r="P1384" s="5"/>
    </row>
    <row r="1385" spans="12:16" ht="15.75" customHeight="1" x14ac:dyDescent="0.25">
      <c r="L1385" s="5"/>
      <c r="M1385" s="5"/>
      <c r="N1385" s="5"/>
      <c r="O1385" s="5"/>
      <c r="P1385" s="5"/>
    </row>
    <row r="1386" spans="12:16" ht="15.75" customHeight="1" x14ac:dyDescent="0.25">
      <c r="L1386" s="5"/>
      <c r="M1386" s="5"/>
      <c r="N1386" s="5"/>
      <c r="O1386" s="5"/>
      <c r="P1386" s="5"/>
    </row>
    <row r="1387" spans="12:16" ht="15.75" customHeight="1" x14ac:dyDescent="0.25">
      <c r="L1387" s="5"/>
      <c r="M1387" s="5"/>
      <c r="N1387" s="5"/>
      <c r="O1387" s="5"/>
      <c r="P1387" s="5"/>
    </row>
    <row r="1388" spans="12:16" ht="15.75" customHeight="1" x14ac:dyDescent="0.25">
      <c r="L1388" s="5"/>
      <c r="M1388" s="5"/>
      <c r="N1388" s="5"/>
      <c r="O1388" s="5"/>
      <c r="P1388" s="5"/>
    </row>
    <row r="1389" spans="12:16" ht="15.75" customHeight="1" x14ac:dyDescent="0.25">
      <c r="L1389" s="5"/>
      <c r="M1389" s="5"/>
      <c r="N1389" s="5"/>
      <c r="O1389" s="5"/>
      <c r="P1389" s="5"/>
    </row>
    <row r="1390" spans="12:16" ht="15.75" customHeight="1" x14ac:dyDescent="0.25">
      <c r="L1390" s="5"/>
      <c r="M1390" s="5"/>
      <c r="N1390" s="5"/>
      <c r="O1390" s="5"/>
      <c r="P1390" s="5"/>
    </row>
    <row r="1391" spans="12:16" ht="15.75" customHeight="1" x14ac:dyDescent="0.25">
      <c r="L1391" s="5"/>
      <c r="M1391" s="5"/>
      <c r="N1391" s="5"/>
      <c r="O1391" s="5"/>
      <c r="P1391" s="5"/>
    </row>
    <row r="1392" spans="12:16" ht="15.75" customHeight="1" x14ac:dyDescent="0.25">
      <c r="L1392" s="5"/>
      <c r="M1392" s="5"/>
      <c r="N1392" s="5"/>
      <c r="O1392" s="5"/>
      <c r="P1392" s="5"/>
    </row>
    <row r="1393" spans="12:16" ht="15.75" customHeight="1" x14ac:dyDescent="0.25">
      <c r="L1393" s="5"/>
      <c r="M1393" s="5"/>
      <c r="N1393" s="5"/>
      <c r="O1393" s="5"/>
      <c r="P1393" s="5"/>
    </row>
    <row r="1394" spans="12:16" ht="15.75" customHeight="1" x14ac:dyDescent="0.25">
      <c r="L1394" s="5"/>
      <c r="M1394" s="5"/>
      <c r="N1394" s="5"/>
      <c r="O1394" s="5"/>
      <c r="P1394" s="5"/>
    </row>
    <row r="1395" spans="12:16" ht="15.75" customHeight="1" x14ac:dyDescent="0.25">
      <c r="L1395" s="5"/>
      <c r="M1395" s="5"/>
      <c r="N1395" s="5"/>
      <c r="O1395" s="5"/>
      <c r="P1395" s="5"/>
    </row>
    <row r="1396" spans="12:16" ht="15.75" customHeight="1" x14ac:dyDescent="0.25">
      <c r="L1396" s="5"/>
      <c r="M1396" s="5"/>
      <c r="N1396" s="5"/>
      <c r="O1396" s="5"/>
      <c r="P1396" s="5"/>
    </row>
    <row r="1397" spans="12:16" ht="15.75" customHeight="1" x14ac:dyDescent="0.25">
      <c r="L1397" s="5"/>
      <c r="M1397" s="5"/>
      <c r="N1397" s="5"/>
      <c r="O1397" s="5"/>
      <c r="P1397" s="5"/>
    </row>
    <row r="1398" spans="12:16" ht="15.75" customHeight="1" x14ac:dyDescent="0.25">
      <c r="L1398" s="5"/>
      <c r="M1398" s="5"/>
      <c r="N1398" s="5"/>
      <c r="O1398" s="5"/>
      <c r="P1398" s="5"/>
    </row>
    <row r="1399" spans="12:16" ht="15.75" customHeight="1" x14ac:dyDescent="0.25">
      <c r="L1399" s="5"/>
      <c r="M1399" s="5"/>
      <c r="N1399" s="5"/>
      <c r="O1399" s="5"/>
      <c r="P1399" s="5"/>
    </row>
    <row r="1400" spans="12:16" ht="15.75" customHeight="1" x14ac:dyDescent="0.25">
      <c r="L1400" s="5"/>
      <c r="M1400" s="5"/>
      <c r="N1400" s="5"/>
      <c r="O1400" s="5"/>
      <c r="P1400" s="5"/>
    </row>
    <row r="1401" spans="12:16" ht="15.75" customHeight="1" x14ac:dyDescent="0.25">
      <c r="L1401" s="5"/>
      <c r="M1401" s="5"/>
      <c r="N1401" s="5"/>
      <c r="O1401" s="5"/>
      <c r="P1401" s="5"/>
    </row>
    <row r="1402" spans="12:16" ht="15.75" customHeight="1" x14ac:dyDescent="0.25">
      <c r="L1402" s="5"/>
      <c r="M1402" s="5"/>
      <c r="N1402" s="5"/>
      <c r="O1402" s="5"/>
      <c r="P1402" s="5"/>
    </row>
    <row r="1403" spans="12:16" ht="15.75" customHeight="1" x14ac:dyDescent="0.25">
      <c r="L1403" s="5"/>
      <c r="M1403" s="5"/>
      <c r="N1403" s="5"/>
      <c r="O1403" s="5"/>
      <c r="P1403" s="5"/>
    </row>
    <row r="1404" spans="12:16" ht="15.75" customHeight="1" x14ac:dyDescent="0.25">
      <c r="L1404" s="5"/>
      <c r="M1404" s="5"/>
      <c r="N1404" s="5"/>
      <c r="O1404" s="5"/>
      <c r="P1404" s="5"/>
    </row>
    <row r="1405" spans="12:16" ht="15.75" customHeight="1" x14ac:dyDescent="0.25">
      <c r="L1405" s="5"/>
      <c r="M1405" s="5"/>
      <c r="N1405" s="5"/>
      <c r="O1405" s="5"/>
      <c r="P1405" s="5"/>
    </row>
    <row r="1406" spans="12:16" ht="15.75" customHeight="1" x14ac:dyDescent="0.25">
      <c r="L1406" s="5"/>
      <c r="M1406" s="5"/>
      <c r="N1406" s="5"/>
      <c r="O1406" s="5"/>
      <c r="P1406" s="5"/>
    </row>
    <row r="1407" spans="12:16" ht="15.75" customHeight="1" x14ac:dyDescent="0.25">
      <c r="L1407" s="5"/>
      <c r="M1407" s="5"/>
      <c r="N1407" s="5"/>
      <c r="O1407" s="5"/>
      <c r="P1407" s="5"/>
    </row>
    <row r="1408" spans="12:16" ht="15.75" customHeight="1" x14ac:dyDescent="0.25">
      <c r="L1408" s="5"/>
      <c r="M1408" s="5"/>
      <c r="N1408" s="5"/>
      <c r="O1408" s="5"/>
      <c r="P1408" s="5"/>
    </row>
    <row r="1409" spans="12:16" ht="15.75" customHeight="1" x14ac:dyDescent="0.25">
      <c r="L1409" s="5"/>
      <c r="M1409" s="5"/>
      <c r="N1409" s="5"/>
      <c r="O1409" s="5"/>
      <c r="P1409" s="5"/>
    </row>
    <row r="1410" spans="12:16" ht="15.75" customHeight="1" x14ac:dyDescent="0.25">
      <c r="L1410" s="5"/>
      <c r="M1410" s="5"/>
      <c r="N1410" s="5"/>
      <c r="O1410" s="5"/>
      <c r="P1410" s="5"/>
    </row>
    <row r="1411" spans="12:16" ht="15.75" customHeight="1" x14ac:dyDescent="0.25">
      <c r="L1411" s="5"/>
      <c r="M1411" s="5"/>
      <c r="N1411" s="5"/>
      <c r="O1411" s="5"/>
      <c r="P1411" s="5"/>
    </row>
    <row r="1412" spans="12:16" ht="15.75" customHeight="1" x14ac:dyDescent="0.25">
      <c r="L1412" s="5"/>
      <c r="M1412" s="5"/>
      <c r="N1412" s="5"/>
      <c r="O1412" s="5"/>
      <c r="P1412" s="5"/>
    </row>
    <row r="1413" spans="12:16" ht="15.75" customHeight="1" x14ac:dyDescent="0.25">
      <c r="L1413" s="5"/>
      <c r="M1413" s="5"/>
      <c r="N1413" s="5"/>
      <c r="O1413" s="5"/>
      <c r="P1413" s="5"/>
    </row>
    <row r="1414" spans="12:16" ht="15.75" customHeight="1" x14ac:dyDescent="0.25">
      <c r="L1414" s="5"/>
      <c r="M1414" s="5"/>
      <c r="N1414" s="5"/>
      <c r="O1414" s="5"/>
      <c r="P1414" s="5"/>
    </row>
    <row r="1415" spans="12:16" ht="15.75" customHeight="1" x14ac:dyDescent="0.25">
      <c r="L1415" s="5"/>
      <c r="M1415" s="5"/>
      <c r="N1415" s="5"/>
      <c r="O1415" s="5"/>
      <c r="P1415" s="5"/>
    </row>
    <row r="1416" spans="12:16" ht="15.75" customHeight="1" x14ac:dyDescent="0.25">
      <c r="L1416" s="5"/>
      <c r="M1416" s="5"/>
      <c r="N1416" s="5"/>
      <c r="O1416" s="5"/>
      <c r="P1416" s="5"/>
    </row>
    <row r="1417" spans="12:16" ht="15.75" customHeight="1" x14ac:dyDescent="0.25">
      <c r="L1417" s="5"/>
      <c r="M1417" s="5"/>
      <c r="N1417" s="5"/>
      <c r="O1417" s="5"/>
      <c r="P1417" s="5"/>
    </row>
    <row r="1418" spans="12:16" ht="15.75" customHeight="1" x14ac:dyDescent="0.25">
      <c r="L1418" s="5"/>
      <c r="M1418" s="5"/>
      <c r="N1418" s="5"/>
      <c r="O1418" s="5"/>
      <c r="P1418" s="5"/>
    </row>
    <row r="1419" spans="12:16" ht="15.75" customHeight="1" x14ac:dyDescent="0.25">
      <c r="L1419" s="5"/>
      <c r="M1419" s="5"/>
      <c r="N1419" s="5"/>
      <c r="O1419" s="5"/>
      <c r="P1419" s="5"/>
    </row>
    <row r="1420" spans="12:16" ht="15.75" customHeight="1" x14ac:dyDescent="0.25">
      <c r="L1420" s="5"/>
      <c r="M1420" s="5"/>
      <c r="N1420" s="5"/>
      <c r="O1420" s="5"/>
      <c r="P1420" s="5"/>
    </row>
    <row r="1421" spans="12:16" ht="15.75" customHeight="1" x14ac:dyDescent="0.25">
      <c r="L1421" s="5"/>
      <c r="M1421" s="5"/>
      <c r="N1421" s="5"/>
      <c r="O1421" s="5"/>
      <c r="P1421" s="5"/>
    </row>
    <row r="1422" spans="12:16" ht="15.75" customHeight="1" x14ac:dyDescent="0.25">
      <c r="L1422" s="5"/>
      <c r="M1422" s="5"/>
      <c r="N1422" s="5"/>
      <c r="O1422" s="5"/>
      <c r="P1422" s="5"/>
    </row>
    <row r="1423" spans="12:16" ht="15.75" customHeight="1" x14ac:dyDescent="0.25">
      <c r="L1423" s="5"/>
      <c r="M1423" s="5"/>
      <c r="N1423" s="5"/>
      <c r="O1423" s="5"/>
      <c r="P1423" s="5"/>
    </row>
    <row r="1424" spans="12:16" ht="15.75" customHeight="1" x14ac:dyDescent="0.25">
      <c r="L1424" s="5"/>
      <c r="M1424" s="5"/>
      <c r="N1424" s="5"/>
      <c r="O1424" s="5"/>
      <c r="P1424" s="5"/>
    </row>
    <row r="1425" spans="12:16" ht="15.75" customHeight="1" x14ac:dyDescent="0.25">
      <c r="L1425" s="5"/>
      <c r="M1425" s="5"/>
      <c r="N1425" s="5"/>
      <c r="O1425" s="5"/>
      <c r="P1425" s="5"/>
    </row>
    <row r="1426" spans="12:16" ht="15.75" customHeight="1" x14ac:dyDescent="0.25">
      <c r="L1426" s="5"/>
      <c r="M1426" s="5"/>
      <c r="N1426" s="5"/>
      <c r="O1426" s="5"/>
      <c r="P1426" s="5"/>
    </row>
    <row r="1427" spans="12:16" ht="15.75" customHeight="1" x14ac:dyDescent="0.25">
      <c r="L1427" s="5"/>
      <c r="M1427" s="5"/>
      <c r="N1427" s="5"/>
      <c r="O1427" s="5"/>
      <c r="P1427" s="5"/>
    </row>
    <row r="1428" spans="12:16" ht="15.75" customHeight="1" x14ac:dyDescent="0.25">
      <c r="L1428" s="5"/>
      <c r="M1428" s="5"/>
      <c r="N1428" s="5"/>
      <c r="O1428" s="5"/>
      <c r="P1428" s="5"/>
    </row>
    <row r="1429" spans="12:16" ht="15.75" customHeight="1" x14ac:dyDescent="0.25">
      <c r="L1429" s="5"/>
      <c r="M1429" s="5"/>
      <c r="N1429" s="5"/>
      <c r="O1429" s="5"/>
      <c r="P1429" s="5"/>
    </row>
    <row r="1430" spans="12:16" ht="15.75" customHeight="1" x14ac:dyDescent="0.25">
      <c r="L1430" s="5"/>
      <c r="M1430" s="5"/>
      <c r="N1430" s="5"/>
      <c r="O1430" s="5"/>
      <c r="P1430" s="5"/>
    </row>
    <row r="1431" spans="12:16" ht="15.75" customHeight="1" x14ac:dyDescent="0.25">
      <c r="L1431" s="5"/>
      <c r="M1431" s="5"/>
      <c r="N1431" s="5"/>
      <c r="O1431" s="5"/>
      <c r="P1431" s="5"/>
    </row>
    <row r="1432" spans="12:16" ht="15.75" customHeight="1" x14ac:dyDescent="0.25">
      <c r="L1432" s="5"/>
      <c r="M1432" s="5"/>
      <c r="N1432" s="5"/>
      <c r="O1432" s="5"/>
      <c r="P1432" s="5"/>
    </row>
    <row r="1433" spans="12:16" ht="15.75" customHeight="1" x14ac:dyDescent="0.25">
      <c r="L1433" s="5"/>
      <c r="M1433" s="5"/>
      <c r="N1433" s="5"/>
      <c r="O1433" s="5"/>
      <c r="P1433" s="5"/>
    </row>
    <row r="1434" spans="12:16" ht="15.75" customHeight="1" x14ac:dyDescent="0.25">
      <c r="L1434" s="5"/>
      <c r="M1434" s="5"/>
      <c r="N1434" s="5"/>
      <c r="O1434" s="5"/>
      <c r="P1434" s="5"/>
    </row>
    <row r="1435" spans="12:16" ht="15.75" customHeight="1" x14ac:dyDescent="0.25">
      <c r="L1435" s="5"/>
      <c r="M1435" s="5"/>
      <c r="N1435" s="5"/>
      <c r="O1435" s="5"/>
      <c r="P1435" s="5"/>
    </row>
    <row r="1436" spans="12:16" ht="15.75" customHeight="1" x14ac:dyDescent="0.25">
      <c r="L1436" s="5"/>
      <c r="M1436" s="5"/>
      <c r="N1436" s="5"/>
      <c r="O1436" s="5"/>
      <c r="P1436" s="5"/>
    </row>
    <row r="1437" spans="12:16" ht="15.75" customHeight="1" x14ac:dyDescent="0.25">
      <c r="L1437" s="5"/>
      <c r="M1437" s="5"/>
      <c r="N1437" s="5"/>
      <c r="O1437" s="5"/>
      <c r="P1437" s="5"/>
    </row>
    <row r="1438" spans="12:16" ht="15.75" customHeight="1" x14ac:dyDescent="0.25">
      <c r="L1438" s="5"/>
      <c r="M1438" s="5"/>
      <c r="N1438" s="5"/>
      <c r="O1438" s="5"/>
      <c r="P1438" s="5"/>
    </row>
    <row r="1439" spans="12:16" ht="15.75" customHeight="1" x14ac:dyDescent="0.25">
      <c r="L1439" s="5"/>
      <c r="M1439" s="5"/>
      <c r="N1439" s="5"/>
      <c r="O1439" s="5"/>
      <c r="P1439" s="5"/>
    </row>
    <row r="1440" spans="12:16" ht="15.75" customHeight="1" x14ac:dyDescent="0.25">
      <c r="L1440" s="5"/>
      <c r="M1440" s="5"/>
      <c r="N1440" s="5"/>
      <c r="O1440" s="5"/>
      <c r="P1440" s="5"/>
    </row>
    <row r="1441" spans="12:16" ht="15.75" customHeight="1" x14ac:dyDescent="0.25">
      <c r="L1441" s="5"/>
      <c r="M1441" s="5"/>
      <c r="N1441" s="5"/>
      <c r="O1441" s="5"/>
      <c r="P1441" s="5"/>
    </row>
    <row r="1442" spans="12:16" ht="15.75" customHeight="1" x14ac:dyDescent="0.25">
      <c r="L1442" s="5"/>
      <c r="M1442" s="5"/>
      <c r="N1442" s="5"/>
      <c r="O1442" s="5"/>
      <c r="P1442" s="5"/>
    </row>
    <row r="1443" spans="12:16" ht="15.75" customHeight="1" x14ac:dyDescent="0.25">
      <c r="L1443" s="5"/>
      <c r="M1443" s="5"/>
      <c r="N1443" s="5"/>
      <c r="O1443" s="5"/>
      <c r="P1443" s="5"/>
    </row>
    <row r="1444" spans="12:16" ht="15.75" customHeight="1" x14ac:dyDescent="0.25">
      <c r="L1444" s="5"/>
      <c r="M1444" s="5"/>
      <c r="N1444" s="5"/>
      <c r="O1444" s="5"/>
      <c r="P1444" s="5"/>
    </row>
    <row r="1445" spans="12:16" ht="15.75" customHeight="1" x14ac:dyDescent="0.25">
      <c r="L1445" s="5"/>
      <c r="M1445" s="5"/>
      <c r="N1445" s="5"/>
      <c r="O1445" s="5"/>
      <c r="P1445" s="5"/>
    </row>
    <row r="1446" spans="12:16" ht="15.75" customHeight="1" x14ac:dyDescent="0.25">
      <c r="L1446" s="5"/>
      <c r="M1446" s="5"/>
      <c r="N1446" s="5"/>
      <c r="O1446" s="5"/>
      <c r="P1446" s="5"/>
    </row>
    <row r="1447" spans="12:16" ht="15.75" customHeight="1" x14ac:dyDescent="0.25">
      <c r="L1447" s="5"/>
      <c r="M1447" s="5"/>
      <c r="N1447" s="5"/>
      <c r="O1447" s="5"/>
      <c r="P1447" s="5"/>
    </row>
    <row r="1448" spans="12:16" ht="15.75" customHeight="1" x14ac:dyDescent="0.25">
      <c r="L1448" s="5"/>
      <c r="M1448" s="5"/>
      <c r="N1448" s="5"/>
      <c r="O1448" s="5"/>
      <c r="P1448" s="5"/>
    </row>
    <row r="1449" spans="12:16" ht="15.75" customHeight="1" x14ac:dyDescent="0.25">
      <c r="L1449" s="5"/>
      <c r="M1449" s="5"/>
      <c r="N1449" s="5"/>
      <c r="O1449" s="5"/>
      <c r="P1449" s="5"/>
    </row>
    <row r="1450" spans="12:16" ht="15.75" customHeight="1" x14ac:dyDescent="0.25">
      <c r="L1450" s="5"/>
      <c r="M1450" s="5"/>
      <c r="N1450" s="5"/>
      <c r="O1450" s="5"/>
      <c r="P1450" s="5"/>
    </row>
    <row r="1451" spans="12:16" ht="15.75" customHeight="1" x14ac:dyDescent="0.25">
      <c r="L1451" s="5"/>
      <c r="M1451" s="5"/>
      <c r="N1451" s="5"/>
      <c r="O1451" s="5"/>
      <c r="P1451" s="5"/>
    </row>
    <row r="1452" spans="12:16" ht="15.75" customHeight="1" x14ac:dyDescent="0.25">
      <c r="L1452" s="5"/>
      <c r="M1452" s="5"/>
      <c r="N1452" s="5"/>
      <c r="O1452" s="5"/>
      <c r="P1452" s="5"/>
    </row>
    <row r="1453" spans="12:16" ht="15.75" customHeight="1" x14ac:dyDescent="0.25">
      <c r="L1453" s="5"/>
      <c r="M1453" s="5"/>
      <c r="N1453" s="5"/>
      <c r="O1453" s="5"/>
      <c r="P1453" s="5"/>
    </row>
    <row r="1454" spans="12:16" ht="15.75" customHeight="1" x14ac:dyDescent="0.25">
      <c r="L1454" s="5"/>
      <c r="M1454" s="5"/>
      <c r="N1454" s="5"/>
      <c r="O1454" s="5"/>
      <c r="P1454" s="5"/>
    </row>
    <row r="1455" spans="12:16" ht="15.75" customHeight="1" x14ac:dyDescent="0.25">
      <c r="L1455" s="5"/>
      <c r="M1455" s="5"/>
      <c r="N1455" s="5"/>
      <c r="O1455" s="5"/>
      <c r="P1455" s="5"/>
    </row>
    <row r="1456" spans="12:16" ht="15.75" customHeight="1" x14ac:dyDescent="0.25">
      <c r="L1456" s="5"/>
      <c r="M1456" s="5"/>
      <c r="N1456" s="5"/>
      <c r="O1456" s="5"/>
      <c r="P1456" s="5"/>
    </row>
    <row r="1457" spans="12:16" ht="15.75" customHeight="1" x14ac:dyDescent="0.25">
      <c r="L1457" s="5"/>
      <c r="M1457" s="5"/>
      <c r="N1457" s="5"/>
      <c r="O1457" s="5"/>
      <c r="P1457" s="5"/>
    </row>
    <row r="1458" spans="12:16" ht="15.75" customHeight="1" x14ac:dyDescent="0.25">
      <c r="L1458" s="5"/>
      <c r="M1458" s="5"/>
      <c r="N1458" s="5"/>
      <c r="O1458" s="5"/>
      <c r="P1458" s="5"/>
    </row>
    <row r="1459" spans="12:16" ht="15.75" customHeight="1" x14ac:dyDescent="0.25">
      <c r="L1459" s="5"/>
      <c r="M1459" s="5"/>
      <c r="N1459" s="5"/>
      <c r="O1459" s="5"/>
      <c r="P1459" s="5"/>
    </row>
    <row r="1460" spans="12:16" ht="15.75" customHeight="1" x14ac:dyDescent="0.25">
      <c r="L1460" s="5"/>
      <c r="M1460" s="5"/>
      <c r="N1460" s="5"/>
      <c r="O1460" s="5"/>
      <c r="P1460" s="5"/>
    </row>
    <row r="1461" spans="12:16" ht="15.75" customHeight="1" x14ac:dyDescent="0.25">
      <c r="L1461" s="5"/>
      <c r="M1461" s="5"/>
      <c r="N1461" s="5"/>
      <c r="O1461" s="5"/>
      <c r="P1461" s="5"/>
    </row>
    <row r="1462" spans="12:16" ht="15.75" customHeight="1" x14ac:dyDescent="0.25">
      <c r="L1462" s="5"/>
      <c r="M1462" s="5"/>
      <c r="N1462" s="5"/>
      <c r="O1462" s="5"/>
      <c r="P1462" s="5"/>
    </row>
    <row r="1463" spans="12:16" ht="15.75" customHeight="1" x14ac:dyDescent="0.25">
      <c r="L1463" s="5"/>
      <c r="M1463" s="5"/>
      <c r="N1463" s="5"/>
      <c r="O1463" s="5"/>
      <c r="P1463" s="5"/>
    </row>
    <row r="1464" spans="12:16" ht="15.75" customHeight="1" x14ac:dyDescent="0.25">
      <c r="L1464" s="5"/>
      <c r="M1464" s="5"/>
      <c r="N1464" s="5"/>
      <c r="O1464" s="5"/>
      <c r="P1464" s="5"/>
    </row>
    <row r="1465" spans="12:16" ht="15.75" customHeight="1" x14ac:dyDescent="0.25">
      <c r="L1465" s="5"/>
      <c r="M1465" s="5"/>
      <c r="N1465" s="5"/>
      <c r="O1465" s="5"/>
      <c r="P1465" s="5"/>
    </row>
    <row r="1466" spans="12:16" ht="15.75" customHeight="1" x14ac:dyDescent="0.25">
      <c r="L1466" s="5"/>
      <c r="M1466" s="5"/>
      <c r="N1466" s="5"/>
      <c r="O1466" s="5"/>
      <c r="P1466" s="5"/>
    </row>
    <row r="1467" spans="12:16" ht="15.75" customHeight="1" x14ac:dyDescent="0.25">
      <c r="L1467" s="5"/>
      <c r="M1467" s="5"/>
      <c r="N1467" s="5"/>
      <c r="O1467" s="5"/>
      <c r="P1467" s="5"/>
    </row>
    <row r="1468" spans="12:16" ht="15.75" customHeight="1" x14ac:dyDescent="0.25">
      <c r="L1468" s="5"/>
      <c r="M1468" s="5"/>
      <c r="N1468" s="5"/>
      <c r="O1468" s="5"/>
      <c r="P1468" s="5"/>
    </row>
    <row r="1469" spans="12:16" ht="15.75" customHeight="1" x14ac:dyDescent="0.25">
      <c r="L1469" s="5"/>
      <c r="M1469" s="5"/>
      <c r="N1469" s="5"/>
      <c r="O1469" s="5"/>
      <c r="P1469" s="5"/>
    </row>
    <row r="1470" spans="12:16" ht="15.75" customHeight="1" x14ac:dyDescent="0.25">
      <c r="L1470" s="5"/>
      <c r="M1470" s="5"/>
      <c r="N1470" s="5"/>
      <c r="O1470" s="5"/>
      <c r="P1470" s="5"/>
    </row>
    <row r="1471" spans="12:16" ht="15.75" customHeight="1" x14ac:dyDescent="0.25">
      <c r="L1471" s="5"/>
      <c r="M1471" s="5"/>
      <c r="N1471" s="5"/>
      <c r="O1471" s="5"/>
      <c r="P1471" s="5"/>
    </row>
    <row r="1472" spans="12:16" ht="15.75" customHeight="1" x14ac:dyDescent="0.25">
      <c r="L1472" s="5"/>
      <c r="M1472" s="5"/>
      <c r="N1472" s="5"/>
      <c r="O1472" s="5"/>
      <c r="P1472" s="5"/>
    </row>
    <row r="1473" spans="12:16" ht="15.75" customHeight="1" x14ac:dyDescent="0.25">
      <c r="L1473" s="5"/>
      <c r="M1473" s="5"/>
      <c r="N1473" s="5"/>
      <c r="O1473" s="5"/>
      <c r="P1473" s="5"/>
    </row>
    <row r="1474" spans="12:16" ht="15.75" customHeight="1" x14ac:dyDescent="0.25">
      <c r="L1474" s="5"/>
      <c r="M1474" s="5"/>
      <c r="N1474" s="5"/>
      <c r="O1474" s="5"/>
      <c r="P1474" s="5"/>
    </row>
    <row r="1475" spans="12:16" ht="15.75" customHeight="1" x14ac:dyDescent="0.25">
      <c r="L1475" s="5"/>
      <c r="M1475" s="5"/>
      <c r="N1475" s="5"/>
      <c r="O1475" s="5"/>
      <c r="P1475" s="5"/>
    </row>
    <row r="1476" spans="12:16" ht="15.75" customHeight="1" x14ac:dyDescent="0.25">
      <c r="L1476" s="5"/>
      <c r="M1476" s="5"/>
      <c r="N1476" s="5"/>
      <c r="O1476" s="5"/>
      <c r="P1476" s="5"/>
    </row>
    <row r="1477" spans="12:16" ht="15.75" customHeight="1" x14ac:dyDescent="0.25">
      <c r="L1477" s="5"/>
      <c r="M1477" s="5"/>
      <c r="N1477" s="5"/>
      <c r="O1477" s="5"/>
      <c r="P1477" s="5"/>
    </row>
    <row r="1478" spans="12:16" ht="15.75" customHeight="1" x14ac:dyDescent="0.25">
      <c r="L1478" s="5"/>
      <c r="M1478" s="5"/>
      <c r="N1478" s="5"/>
      <c r="O1478" s="5"/>
      <c r="P1478" s="5"/>
    </row>
    <row r="1479" spans="12:16" ht="15.75" customHeight="1" x14ac:dyDescent="0.25">
      <c r="L1479" s="5"/>
      <c r="M1479" s="5"/>
      <c r="N1479" s="5"/>
      <c r="O1479" s="5"/>
      <c r="P1479" s="5"/>
    </row>
    <row r="1480" spans="12:16" ht="15.75" customHeight="1" x14ac:dyDescent="0.25">
      <c r="L1480" s="5"/>
      <c r="M1480" s="5"/>
      <c r="N1480" s="5"/>
      <c r="O1480" s="5"/>
      <c r="P1480" s="5"/>
    </row>
    <row r="1481" spans="12:16" ht="15.75" customHeight="1" x14ac:dyDescent="0.25">
      <c r="L1481" s="5"/>
      <c r="M1481" s="5"/>
      <c r="N1481" s="5"/>
      <c r="O1481" s="5"/>
      <c r="P1481" s="5"/>
    </row>
    <row r="1482" spans="12:16" ht="15.75" customHeight="1" x14ac:dyDescent="0.25">
      <c r="L1482" s="5"/>
      <c r="M1482" s="5"/>
      <c r="N1482" s="5"/>
      <c r="O1482" s="5"/>
      <c r="P1482" s="5"/>
    </row>
    <row r="1483" spans="12:16" ht="15.75" customHeight="1" x14ac:dyDescent="0.25">
      <c r="L1483" s="5"/>
      <c r="M1483" s="5"/>
      <c r="N1483" s="5"/>
      <c r="O1483" s="5"/>
      <c r="P1483" s="5"/>
    </row>
    <row r="1484" spans="12:16" ht="15.75" customHeight="1" x14ac:dyDescent="0.25">
      <c r="L1484" s="5"/>
      <c r="M1484" s="5"/>
      <c r="N1484" s="5"/>
      <c r="O1484" s="5"/>
      <c r="P1484" s="5"/>
    </row>
    <row r="1485" spans="12:16" ht="15.75" customHeight="1" x14ac:dyDescent="0.25">
      <c r="L1485" s="5"/>
      <c r="M1485" s="5"/>
      <c r="N1485" s="5"/>
      <c r="O1485" s="5"/>
      <c r="P1485" s="5"/>
    </row>
    <row r="1486" spans="12:16" ht="15.75" customHeight="1" x14ac:dyDescent="0.25">
      <c r="L1486" s="5"/>
      <c r="M1486" s="5"/>
      <c r="N1486" s="5"/>
      <c r="O1486" s="5"/>
      <c r="P1486" s="5"/>
    </row>
    <row r="1487" spans="12:16" ht="15.75" customHeight="1" x14ac:dyDescent="0.25">
      <c r="L1487" s="5"/>
      <c r="M1487" s="5"/>
      <c r="N1487" s="5"/>
      <c r="O1487" s="5"/>
      <c r="P1487" s="5"/>
    </row>
    <row r="1488" spans="12:16" ht="15.75" customHeight="1" x14ac:dyDescent="0.25">
      <c r="L1488" s="5"/>
      <c r="M1488" s="5"/>
      <c r="N1488" s="5"/>
      <c r="O1488" s="5"/>
      <c r="P1488" s="5"/>
    </row>
    <row r="1489" spans="12:16" ht="15.75" customHeight="1" x14ac:dyDescent="0.25">
      <c r="L1489" s="5"/>
      <c r="M1489" s="5"/>
      <c r="N1489" s="5"/>
      <c r="O1489" s="5"/>
      <c r="P1489" s="5"/>
    </row>
    <row r="1490" spans="12:16" ht="15.75" customHeight="1" x14ac:dyDescent="0.25">
      <c r="L1490" s="5"/>
      <c r="M1490" s="5"/>
      <c r="N1490" s="5"/>
      <c r="O1490" s="5"/>
      <c r="P1490" s="5"/>
    </row>
    <row r="1491" spans="12:16" ht="15.75" customHeight="1" x14ac:dyDescent="0.25">
      <c r="L1491" s="5"/>
      <c r="M1491" s="5"/>
      <c r="N1491" s="5"/>
      <c r="O1491" s="5"/>
      <c r="P1491" s="5"/>
    </row>
    <row r="1492" spans="12:16" ht="15.75" customHeight="1" x14ac:dyDescent="0.25">
      <c r="L1492" s="5"/>
      <c r="M1492" s="5"/>
      <c r="N1492" s="5"/>
      <c r="O1492" s="5"/>
      <c r="P1492" s="5"/>
    </row>
    <row r="1493" spans="12:16" ht="15.75" customHeight="1" x14ac:dyDescent="0.25">
      <c r="L1493" s="5"/>
      <c r="M1493" s="5"/>
      <c r="N1493" s="5"/>
      <c r="O1493" s="5"/>
      <c r="P1493" s="5"/>
    </row>
    <row r="1494" spans="12:16" ht="15.75" customHeight="1" x14ac:dyDescent="0.25">
      <c r="L1494" s="5"/>
      <c r="M1494" s="5"/>
      <c r="N1494" s="5"/>
      <c r="O1494" s="5"/>
      <c r="P1494" s="5"/>
    </row>
    <row r="1495" spans="12:16" ht="15.75" customHeight="1" x14ac:dyDescent="0.25">
      <c r="L1495" s="5"/>
      <c r="M1495" s="5"/>
      <c r="N1495" s="5"/>
      <c r="O1495" s="5"/>
      <c r="P1495" s="5"/>
    </row>
    <row r="1496" spans="12:16" ht="15.75" customHeight="1" x14ac:dyDescent="0.25">
      <c r="L1496" s="5"/>
      <c r="M1496" s="5"/>
      <c r="N1496" s="5"/>
      <c r="O1496" s="5"/>
      <c r="P1496" s="5"/>
    </row>
    <row r="1497" spans="12:16" ht="15.75" customHeight="1" x14ac:dyDescent="0.25">
      <c r="L1497" s="5"/>
      <c r="M1497" s="5"/>
      <c r="N1497" s="5"/>
      <c r="O1497" s="5"/>
      <c r="P1497" s="5"/>
    </row>
    <row r="1498" spans="12:16" ht="15.75" customHeight="1" x14ac:dyDescent="0.25">
      <c r="L1498" s="5"/>
      <c r="M1498" s="5"/>
      <c r="N1498" s="5"/>
      <c r="O1498" s="5"/>
      <c r="P1498" s="5"/>
    </row>
    <row r="1499" spans="12:16" ht="15.75" customHeight="1" x14ac:dyDescent="0.25">
      <c r="L1499" s="5"/>
      <c r="M1499" s="5"/>
      <c r="N1499" s="5"/>
      <c r="O1499" s="5"/>
      <c r="P1499" s="5"/>
    </row>
    <row r="1500" spans="12:16" ht="15.75" customHeight="1" x14ac:dyDescent="0.25">
      <c r="L1500" s="5"/>
      <c r="M1500" s="5"/>
      <c r="N1500" s="5"/>
      <c r="O1500" s="5"/>
      <c r="P1500" s="5"/>
    </row>
    <row r="1501" spans="12:16" ht="15.75" customHeight="1" x14ac:dyDescent="0.25">
      <c r="L1501" s="5"/>
      <c r="M1501" s="5"/>
      <c r="N1501" s="5"/>
      <c r="O1501" s="5"/>
      <c r="P1501" s="5"/>
    </row>
    <row r="1502" spans="12:16" ht="15.75" customHeight="1" x14ac:dyDescent="0.25">
      <c r="L1502" s="5"/>
      <c r="M1502" s="5"/>
      <c r="N1502" s="5"/>
      <c r="O1502" s="5"/>
      <c r="P1502" s="5"/>
    </row>
    <row r="1503" spans="12:16" ht="15.75" customHeight="1" x14ac:dyDescent="0.25">
      <c r="L1503" s="5"/>
      <c r="M1503" s="5"/>
      <c r="N1503" s="5"/>
      <c r="O1503" s="5"/>
      <c r="P1503" s="5"/>
    </row>
    <row r="1504" spans="12:16" ht="15.75" customHeight="1" x14ac:dyDescent="0.25">
      <c r="L1504" s="5"/>
      <c r="M1504" s="5"/>
      <c r="N1504" s="5"/>
      <c r="O1504" s="5"/>
      <c r="P1504" s="5"/>
    </row>
    <row r="1505" spans="12:16" ht="15.75" customHeight="1" x14ac:dyDescent="0.25">
      <c r="L1505" s="5"/>
      <c r="M1505" s="5"/>
      <c r="N1505" s="5"/>
      <c r="O1505" s="5"/>
      <c r="P1505" s="5"/>
    </row>
    <row r="1506" spans="12:16" ht="15.75" customHeight="1" x14ac:dyDescent="0.25">
      <c r="L1506" s="5"/>
      <c r="M1506" s="5"/>
      <c r="N1506" s="5"/>
      <c r="O1506" s="5"/>
      <c r="P1506" s="5"/>
    </row>
    <row r="1507" spans="12:16" ht="15.75" customHeight="1" x14ac:dyDescent="0.25">
      <c r="L1507" s="5"/>
      <c r="M1507" s="5"/>
      <c r="N1507" s="5"/>
      <c r="O1507" s="5"/>
      <c r="P1507" s="5"/>
    </row>
    <row r="1508" spans="12:16" ht="15.75" customHeight="1" x14ac:dyDescent="0.25">
      <c r="L1508" s="5"/>
      <c r="M1508" s="5"/>
      <c r="N1508" s="5"/>
      <c r="O1508" s="5"/>
      <c r="P1508" s="5"/>
    </row>
    <row r="1509" spans="12:16" ht="15.75" customHeight="1" x14ac:dyDescent="0.25">
      <c r="L1509" s="5"/>
      <c r="M1509" s="5"/>
      <c r="N1509" s="5"/>
      <c r="O1509" s="5"/>
      <c r="P1509" s="5"/>
    </row>
    <row r="1510" spans="12:16" ht="15.75" customHeight="1" x14ac:dyDescent="0.25">
      <c r="L1510" s="5"/>
      <c r="M1510" s="5"/>
      <c r="N1510" s="5"/>
      <c r="O1510" s="5"/>
      <c r="P1510" s="5"/>
    </row>
    <row r="1511" spans="12:16" ht="15.75" customHeight="1" x14ac:dyDescent="0.25">
      <c r="L1511" s="5"/>
      <c r="M1511" s="5"/>
      <c r="N1511" s="5"/>
      <c r="O1511" s="5"/>
      <c r="P1511" s="5"/>
    </row>
    <row r="1512" spans="12:16" ht="15.75" customHeight="1" x14ac:dyDescent="0.25">
      <c r="L1512" s="5"/>
      <c r="M1512" s="5"/>
      <c r="N1512" s="5"/>
      <c r="O1512" s="5"/>
      <c r="P1512" s="5"/>
    </row>
    <row r="1513" spans="12:16" ht="15.75" customHeight="1" x14ac:dyDescent="0.25">
      <c r="L1513" s="5"/>
      <c r="M1513" s="5"/>
      <c r="N1513" s="5"/>
      <c r="O1513" s="5"/>
      <c r="P1513" s="5"/>
    </row>
    <row r="1514" spans="12:16" ht="15.75" customHeight="1" x14ac:dyDescent="0.25">
      <c r="L1514" s="5"/>
      <c r="M1514" s="5"/>
      <c r="N1514" s="5"/>
      <c r="O1514" s="5"/>
      <c r="P1514" s="5"/>
    </row>
    <row r="1515" spans="12:16" ht="15.75" customHeight="1" x14ac:dyDescent="0.25">
      <c r="L1515" s="5"/>
      <c r="M1515" s="5"/>
      <c r="N1515" s="5"/>
      <c r="O1515" s="5"/>
      <c r="P1515" s="5"/>
    </row>
    <row r="1516" spans="12:16" ht="15.75" customHeight="1" x14ac:dyDescent="0.25">
      <c r="L1516" s="5"/>
      <c r="M1516" s="5"/>
      <c r="N1516" s="5"/>
      <c r="O1516" s="5"/>
      <c r="P1516" s="5"/>
    </row>
    <row r="1517" spans="12:16" ht="15.75" customHeight="1" x14ac:dyDescent="0.25">
      <c r="L1517" s="5"/>
      <c r="M1517" s="5"/>
      <c r="N1517" s="5"/>
      <c r="O1517" s="5"/>
      <c r="P1517" s="5"/>
    </row>
    <row r="1518" spans="12:16" ht="15.75" customHeight="1" x14ac:dyDescent="0.25">
      <c r="L1518" s="5"/>
      <c r="M1518" s="5"/>
      <c r="N1518" s="5"/>
      <c r="O1518" s="5"/>
      <c r="P1518" s="5"/>
    </row>
    <row r="1519" spans="12:16" ht="15.75" customHeight="1" x14ac:dyDescent="0.25">
      <c r="L1519" s="5"/>
      <c r="M1519" s="5"/>
      <c r="N1519" s="5"/>
      <c r="O1519" s="5"/>
      <c r="P1519" s="5"/>
    </row>
    <row r="1520" spans="12:16" ht="15.75" customHeight="1" x14ac:dyDescent="0.25">
      <c r="L1520" s="5"/>
      <c r="M1520" s="5"/>
      <c r="N1520" s="5"/>
      <c r="O1520" s="5"/>
      <c r="P1520" s="5"/>
    </row>
    <row r="1521" spans="12:16" ht="15.75" customHeight="1" x14ac:dyDescent="0.25">
      <c r="L1521" s="5"/>
      <c r="M1521" s="5"/>
      <c r="N1521" s="5"/>
      <c r="O1521" s="5"/>
      <c r="P1521" s="5"/>
    </row>
    <row r="1522" spans="12:16" ht="15.75" customHeight="1" x14ac:dyDescent="0.25">
      <c r="L1522" s="5"/>
      <c r="M1522" s="5"/>
      <c r="N1522" s="5"/>
      <c r="O1522" s="5"/>
      <c r="P1522" s="5"/>
    </row>
    <row r="1523" spans="12:16" ht="15.75" customHeight="1" x14ac:dyDescent="0.25">
      <c r="L1523" s="5"/>
      <c r="M1523" s="5"/>
      <c r="N1523" s="5"/>
      <c r="O1523" s="5"/>
      <c r="P1523" s="5"/>
    </row>
    <row r="1524" spans="12:16" ht="15.75" customHeight="1" x14ac:dyDescent="0.25">
      <c r="L1524" s="5"/>
      <c r="M1524" s="5"/>
      <c r="N1524" s="5"/>
      <c r="O1524" s="5"/>
      <c r="P1524" s="5"/>
    </row>
    <row r="1525" spans="12:16" ht="15.75" customHeight="1" x14ac:dyDescent="0.25">
      <c r="L1525" s="5"/>
      <c r="M1525" s="5"/>
      <c r="N1525" s="5"/>
      <c r="O1525" s="5"/>
      <c r="P1525" s="5"/>
    </row>
    <row r="1526" spans="12:16" ht="15.75" customHeight="1" x14ac:dyDescent="0.25">
      <c r="L1526" s="5"/>
      <c r="M1526" s="5"/>
      <c r="N1526" s="5"/>
      <c r="O1526" s="5"/>
      <c r="P1526" s="5"/>
    </row>
    <row r="1527" spans="12:16" ht="15.75" customHeight="1" x14ac:dyDescent="0.25">
      <c r="L1527" s="5"/>
      <c r="M1527" s="5"/>
      <c r="N1527" s="5"/>
      <c r="O1527" s="5"/>
      <c r="P1527" s="5"/>
    </row>
    <row r="1528" spans="12:16" ht="15.75" customHeight="1" x14ac:dyDescent="0.25">
      <c r="L1528" s="5"/>
      <c r="M1528" s="5"/>
      <c r="N1528" s="5"/>
      <c r="O1528" s="5"/>
      <c r="P1528" s="5"/>
    </row>
    <row r="1529" spans="12:16" ht="15.75" customHeight="1" x14ac:dyDescent="0.25">
      <c r="L1529" s="5"/>
      <c r="M1529" s="5"/>
      <c r="N1529" s="5"/>
      <c r="O1529" s="5"/>
      <c r="P1529" s="5"/>
    </row>
    <row r="1530" spans="12:16" ht="15.75" customHeight="1" x14ac:dyDescent="0.25">
      <c r="L1530" s="5"/>
      <c r="M1530" s="5"/>
      <c r="N1530" s="5"/>
      <c r="O1530" s="5"/>
      <c r="P1530" s="5"/>
    </row>
    <row r="1531" spans="12:16" ht="15.75" customHeight="1" x14ac:dyDescent="0.25">
      <c r="L1531" s="5"/>
      <c r="M1531" s="5"/>
      <c r="N1531" s="5"/>
      <c r="O1531" s="5"/>
      <c r="P1531" s="5"/>
    </row>
    <row r="1532" spans="12:16" ht="15.75" customHeight="1" x14ac:dyDescent="0.25">
      <c r="L1532" s="5"/>
      <c r="M1532" s="5"/>
      <c r="N1532" s="5"/>
      <c r="O1532" s="5"/>
      <c r="P1532" s="5"/>
    </row>
    <row r="1533" spans="12:16" ht="15.75" customHeight="1" x14ac:dyDescent="0.25">
      <c r="L1533" s="5"/>
      <c r="M1533" s="5"/>
      <c r="N1533" s="5"/>
      <c r="O1533" s="5"/>
      <c r="P1533" s="5"/>
    </row>
    <row r="1534" spans="12:16" ht="15.75" customHeight="1" x14ac:dyDescent="0.25">
      <c r="L1534" s="5"/>
      <c r="M1534" s="5"/>
      <c r="N1534" s="5"/>
      <c r="O1534" s="5"/>
      <c r="P1534" s="5"/>
    </row>
    <row r="1535" spans="12:16" ht="15.75" customHeight="1" x14ac:dyDescent="0.25">
      <c r="L1535" s="5"/>
      <c r="M1535" s="5"/>
      <c r="N1535" s="5"/>
      <c r="O1535" s="5"/>
      <c r="P1535" s="5"/>
    </row>
    <row r="1536" spans="12:16" ht="15.75" customHeight="1" x14ac:dyDescent="0.25">
      <c r="L1536" s="5"/>
      <c r="M1536" s="5"/>
      <c r="N1536" s="5"/>
      <c r="O1536" s="5"/>
      <c r="P1536" s="5"/>
    </row>
    <row r="1537" spans="12:16" ht="15.75" customHeight="1" x14ac:dyDescent="0.25">
      <c r="L1537" s="5"/>
      <c r="M1537" s="5"/>
      <c r="N1537" s="5"/>
      <c r="O1537" s="5"/>
      <c r="P1537" s="5"/>
    </row>
    <row r="1538" spans="12:16" ht="15.75" customHeight="1" x14ac:dyDescent="0.25">
      <c r="L1538" s="5"/>
      <c r="M1538" s="5"/>
      <c r="N1538" s="5"/>
      <c r="O1538" s="5"/>
      <c r="P1538" s="5"/>
    </row>
    <row r="1539" spans="12:16" ht="15.75" customHeight="1" x14ac:dyDescent="0.25">
      <c r="L1539" s="5"/>
      <c r="M1539" s="5"/>
      <c r="N1539" s="5"/>
      <c r="O1539" s="5"/>
      <c r="P1539" s="5"/>
    </row>
    <row r="1540" spans="12:16" ht="15.75" customHeight="1" x14ac:dyDescent="0.25">
      <c r="L1540" s="5"/>
      <c r="M1540" s="5"/>
      <c r="N1540" s="5"/>
      <c r="O1540" s="5"/>
      <c r="P1540" s="5"/>
    </row>
    <row r="1541" spans="12:16" ht="15.75" customHeight="1" x14ac:dyDescent="0.25">
      <c r="L1541" s="5"/>
      <c r="M1541" s="5"/>
      <c r="N1541" s="5"/>
      <c r="O1541" s="5"/>
      <c r="P1541" s="5"/>
    </row>
    <row r="1542" spans="12:16" ht="15.75" customHeight="1" x14ac:dyDescent="0.25">
      <c r="L1542" s="5"/>
      <c r="M1542" s="5"/>
      <c r="N1542" s="5"/>
      <c r="O1542" s="5"/>
      <c r="P1542" s="5"/>
    </row>
    <row r="1543" spans="12:16" ht="15.75" customHeight="1" x14ac:dyDescent="0.25">
      <c r="L1543" s="5"/>
      <c r="M1543" s="5"/>
      <c r="N1543" s="5"/>
      <c r="O1543" s="5"/>
      <c r="P1543" s="5"/>
    </row>
    <row r="1544" spans="12:16" ht="15.75" customHeight="1" x14ac:dyDescent="0.25">
      <c r="L1544" s="5"/>
      <c r="M1544" s="5"/>
      <c r="N1544" s="5"/>
      <c r="O1544" s="5"/>
      <c r="P1544" s="5"/>
    </row>
    <row r="1545" spans="12:16" ht="15.75" customHeight="1" x14ac:dyDescent="0.25">
      <c r="L1545" s="5"/>
      <c r="M1545" s="5"/>
      <c r="N1545" s="5"/>
      <c r="O1545" s="5"/>
      <c r="P1545" s="5"/>
    </row>
    <row r="1546" spans="12:16" ht="15.75" customHeight="1" x14ac:dyDescent="0.25">
      <c r="L1546" s="5"/>
      <c r="M1546" s="5"/>
      <c r="N1546" s="5"/>
      <c r="O1546" s="5"/>
      <c r="P1546" s="5"/>
    </row>
    <row r="1547" spans="12:16" ht="15.75" customHeight="1" x14ac:dyDescent="0.25">
      <c r="L1547" s="5"/>
      <c r="M1547" s="5"/>
      <c r="N1547" s="5"/>
      <c r="O1547" s="5"/>
      <c r="P1547" s="5"/>
    </row>
    <row r="1548" spans="12:16" ht="15.75" customHeight="1" x14ac:dyDescent="0.25">
      <c r="L1548" s="5"/>
      <c r="M1548" s="5"/>
      <c r="N1548" s="5"/>
      <c r="O1548" s="5"/>
      <c r="P1548" s="5"/>
    </row>
    <row r="1549" spans="12:16" ht="15.75" customHeight="1" x14ac:dyDescent="0.25">
      <c r="L1549" s="5"/>
      <c r="M1549" s="5"/>
      <c r="N1549" s="5"/>
      <c r="O1549" s="5"/>
      <c r="P1549" s="5"/>
    </row>
    <row r="1550" spans="12:16" ht="15.75" customHeight="1" x14ac:dyDescent="0.25">
      <c r="L1550" s="5"/>
      <c r="M1550" s="5"/>
      <c r="N1550" s="5"/>
      <c r="O1550" s="5"/>
      <c r="P1550" s="5"/>
    </row>
    <row r="1551" spans="12:16" ht="15.75" customHeight="1" x14ac:dyDescent="0.25">
      <c r="L1551" s="5"/>
      <c r="M1551" s="5"/>
      <c r="N1551" s="5"/>
      <c r="O1551" s="5"/>
      <c r="P1551" s="5"/>
    </row>
    <row r="1552" spans="12:16" ht="15.75" customHeight="1" x14ac:dyDescent="0.25">
      <c r="L1552" s="5"/>
      <c r="M1552" s="5"/>
      <c r="N1552" s="5"/>
      <c r="O1552" s="5"/>
      <c r="P1552" s="5"/>
    </row>
    <row r="1553" spans="12:16" ht="15.75" customHeight="1" x14ac:dyDescent="0.25">
      <c r="L1553" s="5"/>
      <c r="M1553" s="5"/>
      <c r="N1553" s="5"/>
      <c r="O1553" s="5"/>
      <c r="P1553" s="5"/>
    </row>
    <row r="1554" spans="12:16" ht="15.75" customHeight="1" x14ac:dyDescent="0.25">
      <c r="L1554" s="5"/>
      <c r="M1554" s="5"/>
      <c r="N1554" s="5"/>
      <c r="O1554" s="5"/>
      <c r="P1554" s="5"/>
    </row>
    <row r="1555" spans="12:16" ht="15.75" customHeight="1" x14ac:dyDescent="0.25">
      <c r="L1555" s="5"/>
      <c r="M1555" s="5"/>
      <c r="N1555" s="5"/>
      <c r="O1555" s="5"/>
      <c r="P1555" s="5"/>
    </row>
    <row r="1556" spans="12:16" ht="15.75" customHeight="1" x14ac:dyDescent="0.25">
      <c r="L1556" s="5"/>
      <c r="M1556" s="5"/>
      <c r="N1556" s="5"/>
      <c r="O1556" s="5"/>
      <c r="P1556" s="5"/>
    </row>
    <row r="1557" spans="12:16" ht="15.75" customHeight="1" x14ac:dyDescent="0.25">
      <c r="L1557" s="5"/>
      <c r="M1557" s="5"/>
      <c r="N1557" s="5"/>
      <c r="O1557" s="5"/>
      <c r="P1557" s="5"/>
    </row>
    <row r="1558" spans="12:16" ht="15.75" customHeight="1" x14ac:dyDescent="0.25">
      <c r="L1558" s="5"/>
      <c r="M1558" s="5"/>
      <c r="N1558" s="5"/>
      <c r="O1558" s="5"/>
      <c r="P1558" s="5"/>
    </row>
    <row r="1559" spans="12:16" ht="15.75" customHeight="1" x14ac:dyDescent="0.25">
      <c r="L1559" s="5"/>
      <c r="M1559" s="5"/>
      <c r="N1559" s="5"/>
      <c r="O1559" s="5"/>
      <c r="P1559" s="5"/>
    </row>
    <row r="1560" spans="12:16" ht="15.75" customHeight="1" x14ac:dyDescent="0.25">
      <c r="L1560" s="5"/>
      <c r="M1560" s="5"/>
      <c r="N1560" s="5"/>
      <c r="O1560" s="5"/>
      <c r="P1560" s="5"/>
    </row>
    <row r="1561" spans="12:16" ht="15.75" customHeight="1" x14ac:dyDescent="0.25">
      <c r="L1561" s="5"/>
      <c r="M1561" s="5"/>
      <c r="N1561" s="5"/>
      <c r="O1561" s="5"/>
      <c r="P1561" s="5"/>
    </row>
    <row r="1562" spans="12:16" ht="15.75" customHeight="1" x14ac:dyDescent="0.25">
      <c r="L1562" s="5"/>
      <c r="M1562" s="5"/>
      <c r="N1562" s="5"/>
      <c r="O1562" s="5"/>
      <c r="P1562" s="5"/>
    </row>
    <row r="1563" spans="12:16" ht="15.75" customHeight="1" x14ac:dyDescent="0.25">
      <c r="L1563" s="5"/>
      <c r="M1563" s="5"/>
      <c r="N1563" s="5"/>
      <c r="O1563" s="5"/>
      <c r="P1563" s="5"/>
    </row>
    <row r="1564" spans="12:16" ht="15.75" customHeight="1" x14ac:dyDescent="0.25">
      <c r="L1564" s="5"/>
      <c r="M1564" s="5"/>
      <c r="N1564" s="5"/>
      <c r="O1564" s="5"/>
      <c r="P1564" s="5"/>
    </row>
    <row r="1565" spans="12:16" ht="15.75" customHeight="1" x14ac:dyDescent="0.25">
      <c r="L1565" s="5"/>
      <c r="M1565" s="5"/>
      <c r="N1565" s="5"/>
      <c r="O1565" s="5"/>
      <c r="P1565" s="5"/>
    </row>
    <row r="1566" spans="12:16" ht="15.75" customHeight="1" x14ac:dyDescent="0.25">
      <c r="L1566" s="5"/>
      <c r="M1566" s="5"/>
      <c r="N1566" s="5"/>
      <c r="O1566" s="5"/>
      <c r="P1566" s="5"/>
    </row>
    <row r="1567" spans="12:16" ht="15.75" customHeight="1" x14ac:dyDescent="0.25">
      <c r="L1567" s="5"/>
      <c r="M1567" s="5"/>
      <c r="N1567" s="5"/>
      <c r="O1567" s="5"/>
      <c r="P1567" s="5"/>
    </row>
    <row r="1568" spans="12:16" ht="15.75" customHeight="1" x14ac:dyDescent="0.25">
      <c r="L1568" s="5"/>
      <c r="M1568" s="5"/>
      <c r="N1568" s="5"/>
      <c r="O1568" s="5"/>
      <c r="P1568" s="5"/>
    </row>
    <row r="1569" spans="12:16" ht="15.75" customHeight="1" x14ac:dyDescent="0.25">
      <c r="L1569" s="5"/>
      <c r="M1569" s="5"/>
      <c r="N1569" s="5"/>
      <c r="O1569" s="5"/>
      <c r="P1569" s="5"/>
    </row>
    <row r="1570" spans="12:16" ht="15.75" customHeight="1" x14ac:dyDescent="0.25">
      <c r="L1570" s="5"/>
      <c r="M1570" s="5"/>
      <c r="N1570" s="5"/>
      <c r="O1570" s="5"/>
      <c r="P1570" s="5"/>
    </row>
    <row r="1571" spans="12:16" ht="15.75" customHeight="1" x14ac:dyDescent="0.25">
      <c r="L1571" s="5"/>
      <c r="M1571" s="5"/>
      <c r="N1571" s="5"/>
      <c r="O1571" s="5"/>
      <c r="P1571" s="5"/>
    </row>
    <row r="1572" spans="12:16" ht="15.75" customHeight="1" x14ac:dyDescent="0.25">
      <c r="L1572" s="5"/>
      <c r="M1572" s="5"/>
      <c r="N1572" s="5"/>
      <c r="O1572" s="5"/>
      <c r="P1572" s="5"/>
    </row>
    <row r="1573" spans="12:16" ht="15.75" customHeight="1" x14ac:dyDescent="0.25">
      <c r="L1573" s="5"/>
      <c r="M1573" s="5"/>
      <c r="N1573" s="5"/>
      <c r="O1573" s="5"/>
      <c r="P1573" s="5"/>
    </row>
    <row r="1574" spans="12:16" ht="15.75" customHeight="1" x14ac:dyDescent="0.25">
      <c r="L1574" s="5"/>
      <c r="M1574" s="5"/>
      <c r="N1574" s="5"/>
      <c r="O1574" s="5"/>
      <c r="P1574" s="5"/>
    </row>
    <row r="1575" spans="12:16" ht="15.75" customHeight="1" x14ac:dyDescent="0.25">
      <c r="L1575" s="5"/>
      <c r="M1575" s="5"/>
      <c r="N1575" s="5"/>
      <c r="O1575" s="5"/>
      <c r="P1575" s="5"/>
    </row>
    <row r="1576" spans="12:16" ht="15.75" customHeight="1" x14ac:dyDescent="0.25">
      <c r="L1576" s="5"/>
      <c r="M1576" s="5"/>
      <c r="N1576" s="5"/>
      <c r="O1576" s="5"/>
      <c r="P1576" s="5"/>
    </row>
    <row r="1577" spans="12:16" ht="15.75" customHeight="1" x14ac:dyDescent="0.25">
      <c r="L1577" s="5"/>
      <c r="M1577" s="5"/>
      <c r="N1577" s="5"/>
      <c r="O1577" s="5"/>
      <c r="P1577" s="5"/>
    </row>
    <row r="1578" spans="12:16" ht="15.75" customHeight="1" x14ac:dyDescent="0.25">
      <c r="L1578" s="5"/>
      <c r="M1578" s="5"/>
      <c r="N1578" s="5"/>
      <c r="O1578" s="5"/>
      <c r="P1578" s="5"/>
    </row>
    <row r="1579" spans="12:16" ht="15.75" customHeight="1" x14ac:dyDescent="0.25">
      <c r="L1579" s="5"/>
      <c r="M1579" s="5"/>
      <c r="N1579" s="5"/>
      <c r="O1579" s="5"/>
      <c r="P1579" s="5"/>
    </row>
    <row r="1580" spans="12:16" ht="15.75" customHeight="1" x14ac:dyDescent="0.25">
      <c r="L1580" s="5"/>
      <c r="M1580" s="5"/>
      <c r="N1580" s="5"/>
      <c r="O1580" s="5"/>
      <c r="P1580" s="5"/>
    </row>
    <row r="1581" spans="12:16" ht="15.75" customHeight="1" x14ac:dyDescent="0.25">
      <c r="L1581" s="5"/>
      <c r="M1581" s="5"/>
      <c r="N1581" s="5"/>
      <c r="O1581" s="5"/>
      <c r="P1581" s="5"/>
    </row>
    <row r="1582" spans="12:16" ht="15.75" customHeight="1" x14ac:dyDescent="0.25">
      <c r="L1582" s="5"/>
      <c r="M1582" s="5"/>
      <c r="N1582" s="5"/>
      <c r="O1582" s="5"/>
      <c r="P1582" s="5"/>
    </row>
    <row r="1583" spans="12:16" ht="15.75" customHeight="1" x14ac:dyDescent="0.25">
      <c r="L1583" s="5"/>
      <c r="M1583" s="5"/>
      <c r="N1583" s="5"/>
      <c r="O1583" s="5"/>
      <c r="P1583" s="5"/>
    </row>
    <row r="1584" spans="12:16" ht="15.75" customHeight="1" x14ac:dyDescent="0.25">
      <c r="L1584" s="5"/>
      <c r="M1584" s="5"/>
      <c r="N1584" s="5"/>
      <c r="O1584" s="5"/>
      <c r="P1584" s="5"/>
    </row>
    <row r="1585" spans="12:16" ht="15.75" customHeight="1" x14ac:dyDescent="0.25">
      <c r="L1585" s="5"/>
      <c r="M1585" s="5"/>
      <c r="N1585" s="5"/>
      <c r="O1585" s="5"/>
      <c r="P1585" s="5"/>
    </row>
    <row r="1586" spans="12:16" ht="15.75" customHeight="1" x14ac:dyDescent="0.25">
      <c r="L1586" s="5"/>
      <c r="M1586" s="5"/>
      <c r="N1586" s="5"/>
      <c r="O1586" s="5"/>
      <c r="P1586" s="5"/>
    </row>
    <row r="1587" spans="12:16" ht="15.75" customHeight="1" x14ac:dyDescent="0.25">
      <c r="L1587" s="5"/>
      <c r="M1587" s="5"/>
      <c r="N1587" s="5"/>
      <c r="O1587" s="5"/>
      <c r="P1587" s="5"/>
    </row>
    <row r="1588" spans="12:16" ht="15.75" customHeight="1" x14ac:dyDescent="0.25">
      <c r="L1588" s="5"/>
      <c r="M1588" s="5"/>
      <c r="N1588" s="5"/>
      <c r="O1588" s="5"/>
      <c r="P1588" s="5"/>
    </row>
    <row r="1589" spans="12:16" ht="15.75" customHeight="1" x14ac:dyDescent="0.25">
      <c r="L1589" s="5"/>
      <c r="M1589" s="5"/>
      <c r="N1589" s="5"/>
      <c r="O1589" s="5"/>
      <c r="P1589" s="5"/>
    </row>
    <row r="1590" spans="12:16" ht="15.75" customHeight="1" x14ac:dyDescent="0.25">
      <c r="L1590" s="5"/>
      <c r="M1590" s="5"/>
      <c r="N1590" s="5"/>
      <c r="O1590" s="5"/>
      <c r="P1590" s="5"/>
    </row>
    <row r="1591" spans="12:16" ht="15.75" customHeight="1" x14ac:dyDescent="0.25">
      <c r="L1591" s="5"/>
      <c r="M1591" s="5"/>
      <c r="N1591" s="5"/>
      <c r="O1591" s="5"/>
      <c r="P1591" s="5"/>
    </row>
    <row r="1592" spans="12:16" ht="15.75" customHeight="1" x14ac:dyDescent="0.25">
      <c r="L1592" s="5"/>
      <c r="M1592" s="5"/>
      <c r="N1592" s="5"/>
      <c r="O1592" s="5"/>
      <c r="P1592" s="5"/>
    </row>
    <row r="1593" spans="12:16" ht="15.75" customHeight="1" x14ac:dyDescent="0.25">
      <c r="L1593" s="5"/>
      <c r="M1593" s="5"/>
      <c r="N1593" s="5"/>
      <c r="O1593" s="5"/>
      <c r="P1593" s="5"/>
    </row>
    <row r="1594" spans="12:16" ht="15.75" customHeight="1" x14ac:dyDescent="0.25">
      <c r="L1594" s="5"/>
      <c r="M1594" s="5"/>
      <c r="N1594" s="5"/>
      <c r="O1594" s="5"/>
      <c r="P1594" s="5"/>
    </row>
    <row r="1595" spans="12:16" ht="15.75" customHeight="1" x14ac:dyDescent="0.25">
      <c r="L1595" s="5"/>
      <c r="M1595" s="5"/>
      <c r="N1595" s="5"/>
      <c r="O1595" s="5"/>
      <c r="P1595" s="5"/>
    </row>
    <row r="1596" spans="12:16" ht="15.75" customHeight="1" x14ac:dyDescent="0.25">
      <c r="L1596" s="5"/>
      <c r="M1596" s="5"/>
      <c r="N1596" s="5"/>
      <c r="O1596" s="5"/>
      <c r="P1596" s="5"/>
    </row>
    <row r="1597" spans="12:16" ht="15.75" customHeight="1" x14ac:dyDescent="0.25">
      <c r="L1597" s="5"/>
      <c r="M1597" s="5"/>
      <c r="N1597" s="5"/>
      <c r="O1597" s="5"/>
      <c r="P1597" s="5"/>
    </row>
    <row r="1598" spans="12:16" ht="15.75" customHeight="1" x14ac:dyDescent="0.25">
      <c r="L1598" s="5"/>
      <c r="M1598" s="5"/>
      <c r="N1598" s="5"/>
      <c r="O1598" s="5"/>
      <c r="P1598" s="5"/>
    </row>
    <row r="1599" spans="12:16" ht="15.75" customHeight="1" x14ac:dyDescent="0.25">
      <c r="L1599" s="5"/>
      <c r="M1599" s="5"/>
      <c r="N1599" s="5"/>
      <c r="O1599" s="5"/>
      <c r="P1599" s="5"/>
    </row>
    <row r="1600" spans="12:16" ht="15.75" customHeight="1" x14ac:dyDescent="0.25">
      <c r="L1600" s="5"/>
      <c r="M1600" s="5"/>
      <c r="N1600" s="5"/>
      <c r="O1600" s="5"/>
      <c r="P1600" s="5"/>
    </row>
    <row r="1601" spans="12:16" ht="15.75" customHeight="1" x14ac:dyDescent="0.25">
      <c r="L1601" s="5"/>
      <c r="M1601" s="5"/>
      <c r="N1601" s="5"/>
      <c r="O1601" s="5"/>
      <c r="P1601" s="5"/>
    </row>
    <row r="1602" spans="12:16" ht="15.75" customHeight="1" x14ac:dyDescent="0.25">
      <c r="L1602" s="5"/>
      <c r="M1602" s="5"/>
      <c r="N1602" s="5"/>
      <c r="O1602" s="5"/>
      <c r="P1602" s="5"/>
    </row>
    <row r="1603" spans="12:16" ht="15.75" customHeight="1" x14ac:dyDescent="0.25">
      <c r="L1603" s="5"/>
      <c r="M1603" s="5"/>
      <c r="N1603" s="5"/>
      <c r="O1603" s="5"/>
      <c r="P1603" s="5"/>
    </row>
    <row r="1604" spans="12:16" ht="15.75" customHeight="1" x14ac:dyDescent="0.25">
      <c r="L1604" s="5"/>
      <c r="M1604" s="5"/>
      <c r="N1604" s="5"/>
      <c r="O1604" s="5"/>
      <c r="P1604" s="5"/>
    </row>
    <row r="1605" spans="12:16" ht="15.75" customHeight="1" x14ac:dyDescent="0.25">
      <c r="L1605" s="5"/>
      <c r="M1605" s="5"/>
      <c r="N1605" s="5"/>
      <c r="O1605" s="5"/>
      <c r="P1605" s="5"/>
    </row>
    <row r="1606" spans="12:16" ht="15.75" customHeight="1" x14ac:dyDescent="0.25">
      <c r="L1606" s="5"/>
      <c r="M1606" s="5"/>
      <c r="N1606" s="5"/>
      <c r="O1606" s="5"/>
      <c r="P1606" s="5"/>
    </row>
    <row r="1607" spans="12:16" ht="15.75" customHeight="1" x14ac:dyDescent="0.25">
      <c r="L1607" s="5"/>
      <c r="M1607" s="5"/>
      <c r="N1607" s="5"/>
      <c r="O1607" s="5"/>
      <c r="P1607" s="5"/>
    </row>
    <row r="1608" spans="12:16" ht="15.75" customHeight="1" x14ac:dyDescent="0.25">
      <c r="L1608" s="5"/>
      <c r="M1608" s="5"/>
      <c r="N1608" s="5"/>
      <c r="O1608" s="5"/>
      <c r="P1608" s="5"/>
    </row>
    <row r="1609" spans="12:16" ht="15.75" customHeight="1" x14ac:dyDescent="0.25">
      <c r="L1609" s="5"/>
      <c r="M1609" s="5"/>
      <c r="N1609" s="5"/>
      <c r="O1609" s="5"/>
      <c r="P1609" s="5"/>
    </row>
    <row r="1610" spans="12:16" ht="15.75" customHeight="1" x14ac:dyDescent="0.25">
      <c r="L1610" s="5"/>
      <c r="M1610" s="5"/>
      <c r="N1610" s="5"/>
      <c r="O1610" s="5"/>
      <c r="P1610" s="5"/>
    </row>
    <row r="1611" spans="12:16" ht="15.75" customHeight="1" x14ac:dyDescent="0.25">
      <c r="L1611" s="5"/>
      <c r="M1611" s="5"/>
      <c r="N1611" s="5"/>
      <c r="O1611" s="5"/>
      <c r="P1611" s="5"/>
    </row>
    <row r="1612" spans="12:16" ht="15.75" customHeight="1" x14ac:dyDescent="0.25">
      <c r="L1612" s="5"/>
      <c r="M1612" s="5"/>
      <c r="N1612" s="5"/>
      <c r="O1612" s="5"/>
      <c r="P1612" s="5"/>
    </row>
    <row r="1613" spans="12:16" ht="15.75" customHeight="1" x14ac:dyDescent="0.25">
      <c r="L1613" s="5"/>
      <c r="M1613" s="5"/>
      <c r="N1613" s="5"/>
      <c r="O1613" s="5"/>
      <c r="P1613" s="5"/>
    </row>
    <row r="1614" spans="12:16" ht="15.75" customHeight="1" x14ac:dyDescent="0.25">
      <c r="L1614" s="5"/>
      <c r="M1614" s="5"/>
      <c r="N1614" s="5"/>
      <c r="O1614" s="5"/>
      <c r="P1614" s="5"/>
    </row>
    <row r="1615" spans="12:16" ht="15.75" customHeight="1" x14ac:dyDescent="0.25">
      <c r="L1615" s="5"/>
      <c r="M1615" s="5"/>
      <c r="N1615" s="5"/>
      <c r="O1615" s="5"/>
      <c r="P1615" s="5"/>
    </row>
    <row r="1616" spans="12:16" ht="15.75" customHeight="1" x14ac:dyDescent="0.25">
      <c r="L1616" s="5"/>
      <c r="M1616" s="5"/>
      <c r="N1616" s="5"/>
      <c r="O1616" s="5"/>
      <c r="P1616" s="5"/>
    </row>
    <row r="1617" spans="12:16" ht="15.75" customHeight="1" x14ac:dyDescent="0.25">
      <c r="L1617" s="5"/>
      <c r="M1617" s="5"/>
      <c r="N1617" s="5"/>
      <c r="O1617" s="5"/>
      <c r="P1617" s="5"/>
    </row>
    <row r="1618" spans="12:16" ht="15.75" customHeight="1" x14ac:dyDescent="0.25">
      <c r="L1618" s="5"/>
      <c r="M1618" s="5"/>
      <c r="N1618" s="5"/>
      <c r="O1618" s="5"/>
      <c r="P1618" s="5"/>
    </row>
    <row r="1619" spans="12:16" ht="15.75" customHeight="1" x14ac:dyDescent="0.25">
      <c r="L1619" s="5"/>
      <c r="M1619" s="5"/>
      <c r="N1619" s="5"/>
      <c r="O1619" s="5"/>
      <c r="P1619" s="5"/>
    </row>
    <row r="1620" spans="12:16" ht="15.75" customHeight="1" x14ac:dyDescent="0.25">
      <c r="L1620" s="5"/>
      <c r="M1620" s="5"/>
      <c r="N1620" s="5"/>
      <c r="O1620" s="5"/>
      <c r="P1620" s="5"/>
    </row>
    <row r="1621" spans="12:16" ht="15.75" customHeight="1" x14ac:dyDescent="0.25">
      <c r="L1621" s="5"/>
      <c r="M1621" s="5"/>
      <c r="N1621" s="5"/>
      <c r="O1621" s="5"/>
      <c r="P1621" s="5"/>
    </row>
    <row r="1622" spans="12:16" ht="15.75" customHeight="1" x14ac:dyDescent="0.25">
      <c r="L1622" s="5"/>
      <c r="M1622" s="5"/>
      <c r="N1622" s="5"/>
      <c r="O1622" s="5"/>
      <c r="P1622" s="5"/>
    </row>
    <row r="1623" spans="12:16" ht="15.75" customHeight="1" x14ac:dyDescent="0.25">
      <c r="L1623" s="5"/>
      <c r="M1623" s="5"/>
      <c r="N1623" s="5"/>
      <c r="O1623" s="5"/>
      <c r="P1623" s="5"/>
    </row>
    <row r="1624" spans="12:16" ht="15.75" customHeight="1" x14ac:dyDescent="0.25">
      <c r="L1624" s="5"/>
      <c r="M1624" s="5"/>
      <c r="N1624" s="5"/>
      <c r="O1624" s="5"/>
      <c r="P1624" s="5"/>
    </row>
    <row r="1625" spans="12:16" ht="15.75" customHeight="1" x14ac:dyDescent="0.25">
      <c r="L1625" s="5"/>
      <c r="M1625" s="5"/>
      <c r="N1625" s="5"/>
      <c r="O1625" s="5"/>
      <c r="P1625" s="5"/>
    </row>
    <row r="1626" spans="12:16" ht="15.75" customHeight="1" x14ac:dyDescent="0.25">
      <c r="L1626" s="5"/>
      <c r="M1626" s="5"/>
      <c r="N1626" s="5"/>
      <c r="O1626" s="5"/>
      <c r="P1626" s="5"/>
    </row>
    <row r="1627" spans="12:16" ht="15.75" customHeight="1" x14ac:dyDescent="0.25">
      <c r="L1627" s="5"/>
      <c r="M1627" s="5"/>
      <c r="N1627" s="5"/>
      <c r="O1627" s="5"/>
      <c r="P1627" s="5"/>
    </row>
    <row r="1628" spans="12:16" ht="15.75" customHeight="1" x14ac:dyDescent="0.25">
      <c r="L1628" s="5"/>
      <c r="M1628" s="5"/>
      <c r="N1628" s="5"/>
      <c r="O1628" s="5"/>
      <c r="P1628" s="5"/>
    </row>
    <row r="1629" spans="12:16" ht="15.75" customHeight="1" x14ac:dyDescent="0.25">
      <c r="L1629" s="5"/>
      <c r="M1629" s="5"/>
      <c r="N1629" s="5"/>
      <c r="O1629" s="5"/>
      <c r="P1629" s="5"/>
    </row>
    <row r="1630" spans="12:16" ht="15.75" customHeight="1" x14ac:dyDescent="0.25">
      <c r="L1630" s="5"/>
      <c r="M1630" s="5"/>
      <c r="N1630" s="5"/>
      <c r="O1630" s="5"/>
      <c r="P1630" s="5"/>
    </row>
    <row r="1631" spans="12:16" ht="15.75" customHeight="1" x14ac:dyDescent="0.25">
      <c r="L1631" s="5"/>
      <c r="M1631" s="5"/>
      <c r="N1631" s="5"/>
      <c r="O1631" s="5"/>
      <c r="P1631" s="5"/>
    </row>
    <row r="1632" spans="12:16" ht="15.75" customHeight="1" x14ac:dyDescent="0.25">
      <c r="L1632" s="5"/>
      <c r="M1632" s="5"/>
      <c r="N1632" s="5"/>
      <c r="O1632" s="5"/>
      <c r="P1632" s="5"/>
    </row>
    <row r="1633" spans="12:16" ht="15.75" customHeight="1" x14ac:dyDescent="0.25">
      <c r="L1633" s="5"/>
      <c r="M1633" s="5"/>
      <c r="N1633" s="5"/>
      <c r="O1633" s="5"/>
      <c r="P1633" s="5"/>
    </row>
    <row r="1634" spans="12:16" ht="15.75" customHeight="1" x14ac:dyDescent="0.25">
      <c r="L1634" s="5"/>
      <c r="M1634" s="5"/>
      <c r="N1634" s="5"/>
      <c r="O1634" s="5"/>
      <c r="P1634" s="5"/>
    </row>
    <row r="1635" spans="12:16" ht="15.75" customHeight="1" x14ac:dyDescent="0.25">
      <c r="L1635" s="5"/>
      <c r="M1635" s="5"/>
      <c r="N1635" s="5"/>
      <c r="O1635" s="5"/>
      <c r="P1635" s="5"/>
    </row>
    <row r="1636" spans="12:16" ht="15.75" customHeight="1" x14ac:dyDescent="0.25">
      <c r="L1636" s="5"/>
      <c r="M1636" s="5"/>
      <c r="N1636" s="5"/>
      <c r="O1636" s="5"/>
      <c r="P1636" s="5"/>
    </row>
    <row r="1637" spans="12:16" ht="15.75" customHeight="1" x14ac:dyDescent="0.25">
      <c r="L1637" s="5"/>
      <c r="M1637" s="5"/>
      <c r="N1637" s="5"/>
      <c r="O1637" s="5"/>
      <c r="P1637" s="5"/>
    </row>
    <row r="1638" spans="12:16" ht="15.75" customHeight="1" x14ac:dyDescent="0.25">
      <c r="L1638" s="5"/>
      <c r="M1638" s="5"/>
      <c r="N1638" s="5"/>
      <c r="O1638" s="5"/>
      <c r="P1638" s="5"/>
    </row>
    <row r="1639" spans="12:16" ht="15.75" customHeight="1" x14ac:dyDescent="0.25">
      <c r="L1639" s="5"/>
      <c r="M1639" s="5"/>
      <c r="N1639" s="5"/>
      <c r="O1639" s="5"/>
      <c r="P1639" s="5"/>
    </row>
    <row r="1640" spans="12:16" ht="15.75" customHeight="1" x14ac:dyDescent="0.25">
      <c r="L1640" s="5"/>
      <c r="M1640" s="5"/>
      <c r="N1640" s="5"/>
      <c r="O1640" s="5"/>
      <c r="P1640" s="5"/>
    </row>
    <row r="1641" spans="12:16" ht="15.75" customHeight="1" x14ac:dyDescent="0.25">
      <c r="L1641" s="5"/>
      <c r="M1641" s="5"/>
      <c r="N1641" s="5"/>
      <c r="O1641" s="5"/>
      <c r="P1641" s="5"/>
    </row>
    <row r="1642" spans="12:16" ht="15.75" customHeight="1" x14ac:dyDescent="0.25">
      <c r="L1642" s="5"/>
      <c r="M1642" s="5"/>
      <c r="N1642" s="5"/>
      <c r="O1642" s="5"/>
      <c r="P1642" s="5"/>
    </row>
    <row r="1643" spans="12:16" ht="15.75" customHeight="1" x14ac:dyDescent="0.25">
      <c r="L1643" s="5"/>
      <c r="M1643" s="5"/>
      <c r="N1643" s="5"/>
      <c r="O1643" s="5"/>
      <c r="P1643" s="5"/>
    </row>
    <row r="1644" spans="12:16" ht="15.75" customHeight="1" x14ac:dyDescent="0.25">
      <c r="L1644" s="5"/>
      <c r="M1644" s="5"/>
      <c r="N1644" s="5"/>
      <c r="O1644" s="5"/>
      <c r="P1644" s="5"/>
    </row>
    <row r="1645" spans="12:16" ht="15.75" customHeight="1" x14ac:dyDescent="0.25">
      <c r="L1645" s="5"/>
      <c r="M1645" s="5"/>
      <c r="N1645" s="5"/>
      <c r="O1645" s="5"/>
      <c r="P1645" s="5"/>
    </row>
    <row r="1646" spans="12:16" ht="15.75" customHeight="1" x14ac:dyDescent="0.25">
      <c r="L1646" s="5"/>
      <c r="M1646" s="5"/>
      <c r="N1646" s="5"/>
      <c r="O1646" s="5"/>
      <c r="P1646" s="5"/>
    </row>
    <row r="1647" spans="12:16" ht="15.75" customHeight="1" x14ac:dyDescent="0.25">
      <c r="L1647" s="5"/>
      <c r="M1647" s="5"/>
      <c r="N1647" s="5"/>
      <c r="O1647" s="5"/>
      <c r="P1647" s="5"/>
    </row>
    <row r="1648" spans="12:16" ht="15.75" customHeight="1" x14ac:dyDescent="0.25">
      <c r="L1648" s="5"/>
      <c r="M1648" s="5"/>
      <c r="N1648" s="5"/>
      <c r="O1648" s="5"/>
      <c r="P1648" s="5"/>
    </row>
    <row r="1649" spans="12:16" ht="15.75" customHeight="1" x14ac:dyDescent="0.25">
      <c r="L1649" s="5"/>
      <c r="M1649" s="5"/>
      <c r="N1649" s="5"/>
      <c r="O1649" s="5"/>
      <c r="P1649" s="5"/>
    </row>
    <row r="1650" spans="12:16" ht="15.75" customHeight="1" x14ac:dyDescent="0.25">
      <c r="L1650" s="5"/>
      <c r="M1650" s="5"/>
      <c r="N1650" s="5"/>
      <c r="O1650" s="5"/>
      <c r="P1650" s="5"/>
    </row>
    <row r="1651" spans="12:16" ht="15.75" customHeight="1" x14ac:dyDescent="0.25">
      <c r="L1651" s="5"/>
      <c r="M1651" s="5"/>
      <c r="N1651" s="5"/>
      <c r="O1651" s="5"/>
      <c r="P1651" s="5"/>
    </row>
    <row r="1652" spans="12:16" ht="15.75" customHeight="1" x14ac:dyDescent="0.25">
      <c r="L1652" s="5"/>
      <c r="M1652" s="5"/>
      <c r="N1652" s="5"/>
      <c r="O1652" s="5"/>
      <c r="P1652" s="5"/>
    </row>
    <row r="1653" spans="12:16" ht="15.75" customHeight="1" x14ac:dyDescent="0.25">
      <c r="L1653" s="5"/>
      <c r="M1653" s="5"/>
      <c r="N1653" s="5"/>
      <c r="O1653" s="5"/>
      <c r="P1653" s="5"/>
    </row>
    <row r="1654" spans="12:16" ht="15.75" customHeight="1" x14ac:dyDescent="0.25">
      <c r="L1654" s="5"/>
      <c r="M1654" s="5"/>
      <c r="N1654" s="5"/>
      <c r="O1654" s="5"/>
      <c r="P1654" s="5"/>
    </row>
    <row r="1655" spans="12:16" ht="15.75" customHeight="1" x14ac:dyDescent="0.25">
      <c r="L1655" s="5"/>
      <c r="M1655" s="5"/>
      <c r="N1655" s="5"/>
      <c r="O1655" s="5"/>
      <c r="P1655" s="5"/>
    </row>
    <row r="1656" spans="12:16" ht="15.75" customHeight="1" x14ac:dyDescent="0.25">
      <c r="L1656" s="5"/>
      <c r="M1656" s="5"/>
      <c r="N1656" s="5"/>
      <c r="O1656" s="5"/>
      <c r="P1656" s="5"/>
    </row>
    <row r="1657" spans="12:16" ht="15.75" customHeight="1" x14ac:dyDescent="0.25">
      <c r="L1657" s="5"/>
      <c r="M1657" s="5"/>
      <c r="N1657" s="5"/>
      <c r="O1657" s="5"/>
      <c r="P1657" s="5"/>
    </row>
    <row r="1658" spans="12:16" ht="15.75" customHeight="1" x14ac:dyDescent="0.25">
      <c r="L1658" s="5"/>
      <c r="M1658" s="5"/>
      <c r="N1658" s="5"/>
      <c r="O1658" s="5"/>
      <c r="P1658" s="5"/>
    </row>
    <row r="1659" spans="12:16" ht="15.75" customHeight="1" x14ac:dyDescent="0.25">
      <c r="L1659" s="5"/>
      <c r="M1659" s="5"/>
      <c r="N1659" s="5"/>
      <c r="O1659" s="5"/>
      <c r="P1659" s="5"/>
    </row>
    <row r="1660" spans="12:16" ht="15.75" customHeight="1" x14ac:dyDescent="0.25">
      <c r="L1660" s="5"/>
      <c r="M1660" s="5"/>
      <c r="N1660" s="5"/>
      <c r="O1660" s="5"/>
      <c r="P1660" s="5"/>
    </row>
    <row r="1661" spans="12:16" ht="15.75" customHeight="1" x14ac:dyDescent="0.25">
      <c r="L1661" s="5"/>
      <c r="M1661" s="5"/>
      <c r="N1661" s="5"/>
      <c r="O1661" s="5"/>
      <c r="P1661" s="5"/>
    </row>
    <row r="1662" spans="12:16" ht="15.75" customHeight="1" x14ac:dyDescent="0.25">
      <c r="L1662" s="5"/>
      <c r="M1662" s="5"/>
      <c r="N1662" s="5"/>
      <c r="O1662" s="5"/>
      <c r="P1662" s="5"/>
    </row>
    <row r="1663" spans="12:16" ht="15.75" customHeight="1" x14ac:dyDescent="0.25">
      <c r="L1663" s="5"/>
      <c r="M1663" s="5"/>
      <c r="N1663" s="5"/>
      <c r="O1663" s="5"/>
      <c r="P1663" s="5"/>
    </row>
    <row r="1664" spans="12:16" ht="15.75" customHeight="1" x14ac:dyDescent="0.25">
      <c r="L1664" s="5"/>
      <c r="M1664" s="5"/>
      <c r="N1664" s="5"/>
      <c r="O1664" s="5"/>
      <c r="P1664" s="5"/>
    </row>
    <row r="1665" spans="12:16" ht="15.75" customHeight="1" x14ac:dyDescent="0.25">
      <c r="L1665" s="5"/>
      <c r="M1665" s="5"/>
      <c r="N1665" s="5"/>
      <c r="O1665" s="5"/>
      <c r="P1665" s="5"/>
    </row>
    <row r="1666" spans="12:16" ht="15.75" customHeight="1" x14ac:dyDescent="0.25">
      <c r="L1666" s="5"/>
      <c r="M1666" s="5"/>
      <c r="N1666" s="5"/>
      <c r="O1666" s="5"/>
      <c r="P1666" s="5"/>
    </row>
    <row r="1667" spans="12:16" ht="15.75" customHeight="1" x14ac:dyDescent="0.25">
      <c r="L1667" s="5"/>
      <c r="M1667" s="5"/>
      <c r="N1667" s="5"/>
      <c r="O1667" s="5"/>
      <c r="P1667" s="5"/>
    </row>
    <row r="1668" spans="12:16" ht="15.75" customHeight="1" x14ac:dyDescent="0.25">
      <c r="L1668" s="5"/>
      <c r="M1668" s="5"/>
      <c r="N1668" s="5"/>
      <c r="O1668" s="5"/>
      <c r="P1668" s="5"/>
    </row>
    <row r="1669" spans="12:16" ht="15.75" customHeight="1" x14ac:dyDescent="0.25">
      <c r="L1669" s="5"/>
      <c r="M1669" s="5"/>
      <c r="N1669" s="5"/>
      <c r="O1669" s="5"/>
      <c r="P1669" s="5"/>
    </row>
    <row r="1670" spans="12:16" ht="15.75" customHeight="1" x14ac:dyDescent="0.25">
      <c r="L1670" s="5"/>
      <c r="M1670" s="5"/>
      <c r="N1670" s="5"/>
      <c r="O1670" s="5"/>
      <c r="P1670" s="5"/>
    </row>
    <row r="1671" spans="12:16" ht="15.75" customHeight="1" x14ac:dyDescent="0.25">
      <c r="L1671" s="5"/>
      <c r="M1671" s="5"/>
      <c r="N1671" s="5"/>
      <c r="O1671" s="5"/>
      <c r="P1671" s="5"/>
    </row>
    <row r="1672" spans="12:16" ht="15.75" customHeight="1" x14ac:dyDescent="0.25">
      <c r="L1672" s="5"/>
      <c r="M1672" s="5"/>
      <c r="N1672" s="5"/>
      <c r="O1672" s="5"/>
      <c r="P1672" s="5"/>
    </row>
    <row r="1673" spans="12:16" ht="15.75" customHeight="1" x14ac:dyDescent="0.25">
      <c r="L1673" s="5"/>
      <c r="M1673" s="5"/>
      <c r="N1673" s="5"/>
      <c r="O1673" s="5"/>
      <c r="P1673" s="5"/>
    </row>
    <row r="1674" spans="12:16" ht="15.75" customHeight="1" x14ac:dyDescent="0.25">
      <c r="L1674" s="5"/>
      <c r="M1674" s="5"/>
      <c r="N1674" s="5"/>
      <c r="O1674" s="5"/>
      <c r="P1674" s="5"/>
    </row>
    <row r="1675" spans="12:16" ht="15.75" customHeight="1" x14ac:dyDescent="0.25">
      <c r="L1675" s="5"/>
      <c r="M1675" s="5"/>
      <c r="N1675" s="5"/>
      <c r="O1675" s="5"/>
      <c r="P1675" s="5"/>
    </row>
    <row r="1676" spans="12:16" ht="15.75" customHeight="1" x14ac:dyDescent="0.25">
      <c r="L1676" s="5"/>
      <c r="M1676" s="5"/>
      <c r="N1676" s="5"/>
      <c r="O1676" s="5"/>
      <c r="P1676" s="5"/>
    </row>
    <row r="1677" spans="12:16" ht="15.75" customHeight="1" x14ac:dyDescent="0.25">
      <c r="L1677" s="5"/>
      <c r="M1677" s="5"/>
      <c r="N1677" s="5"/>
      <c r="O1677" s="5"/>
      <c r="P1677" s="5"/>
    </row>
    <row r="1678" spans="12:16" ht="15.75" customHeight="1" x14ac:dyDescent="0.25">
      <c r="L1678" s="5"/>
      <c r="M1678" s="5"/>
      <c r="N1678" s="5"/>
      <c r="O1678" s="5"/>
      <c r="P1678" s="5"/>
    </row>
    <row r="1679" spans="12:16" ht="15.75" customHeight="1" x14ac:dyDescent="0.25">
      <c r="L1679" s="5"/>
      <c r="M1679" s="5"/>
      <c r="N1679" s="5"/>
      <c r="O1679" s="5"/>
      <c r="P1679" s="5"/>
    </row>
    <row r="1680" spans="12:16" ht="15.75" customHeight="1" x14ac:dyDescent="0.25">
      <c r="L1680" s="5"/>
      <c r="M1680" s="5"/>
      <c r="N1680" s="5"/>
      <c r="O1680" s="5"/>
      <c r="P1680" s="5"/>
    </row>
    <row r="1681" spans="12:16" ht="15.75" customHeight="1" x14ac:dyDescent="0.25">
      <c r="L1681" s="5"/>
      <c r="M1681" s="5"/>
      <c r="N1681" s="5"/>
      <c r="O1681" s="5"/>
      <c r="P1681" s="5"/>
    </row>
    <row r="1682" spans="12:16" ht="15.75" customHeight="1" x14ac:dyDescent="0.25">
      <c r="L1682" s="5"/>
      <c r="M1682" s="5"/>
      <c r="N1682" s="5"/>
      <c r="O1682" s="5"/>
      <c r="P1682" s="5"/>
    </row>
    <row r="1683" spans="12:16" ht="15.75" customHeight="1" x14ac:dyDescent="0.25">
      <c r="L1683" s="5"/>
      <c r="M1683" s="5"/>
      <c r="N1683" s="5"/>
      <c r="O1683" s="5"/>
      <c r="P1683" s="5"/>
    </row>
    <row r="1684" spans="12:16" ht="15.75" customHeight="1" x14ac:dyDescent="0.25">
      <c r="L1684" s="5"/>
      <c r="M1684" s="5"/>
      <c r="N1684" s="5"/>
      <c r="O1684" s="5"/>
      <c r="P1684" s="5"/>
    </row>
    <row r="1685" spans="12:16" ht="15.75" customHeight="1" x14ac:dyDescent="0.25">
      <c r="L1685" s="5"/>
      <c r="M1685" s="5"/>
      <c r="N1685" s="5"/>
      <c r="O1685" s="5"/>
      <c r="P1685" s="5"/>
    </row>
    <row r="1686" spans="12:16" ht="15.75" customHeight="1" x14ac:dyDescent="0.25">
      <c r="L1686" s="5"/>
      <c r="M1686" s="5"/>
      <c r="N1686" s="5"/>
      <c r="O1686" s="5"/>
      <c r="P1686" s="5"/>
    </row>
    <row r="1687" spans="12:16" ht="15.75" customHeight="1" x14ac:dyDescent="0.25">
      <c r="L1687" s="5"/>
      <c r="M1687" s="5"/>
      <c r="N1687" s="5"/>
      <c r="O1687" s="5"/>
      <c r="P1687" s="5"/>
    </row>
    <row r="1688" spans="12:16" ht="15.75" customHeight="1" x14ac:dyDescent="0.25">
      <c r="L1688" s="5"/>
      <c r="M1688" s="5"/>
      <c r="N1688" s="5"/>
      <c r="O1688" s="5"/>
      <c r="P1688" s="5"/>
    </row>
    <row r="1689" spans="12:16" ht="15.75" customHeight="1" x14ac:dyDescent="0.25">
      <c r="L1689" s="5"/>
      <c r="M1689" s="5"/>
      <c r="N1689" s="5"/>
      <c r="O1689" s="5"/>
      <c r="P1689" s="5"/>
    </row>
    <row r="1690" spans="12:16" ht="15.75" customHeight="1" x14ac:dyDescent="0.25">
      <c r="L1690" s="5"/>
      <c r="M1690" s="5"/>
      <c r="N1690" s="5"/>
      <c r="O1690" s="5"/>
      <c r="P1690" s="5"/>
    </row>
    <row r="1691" spans="12:16" ht="15.75" customHeight="1" x14ac:dyDescent="0.25">
      <c r="L1691" s="5"/>
      <c r="M1691" s="5"/>
      <c r="N1691" s="5"/>
      <c r="O1691" s="5"/>
      <c r="P1691" s="5"/>
    </row>
    <row r="1692" spans="12:16" ht="15.75" customHeight="1" x14ac:dyDescent="0.25">
      <c r="L1692" s="5"/>
      <c r="M1692" s="5"/>
      <c r="N1692" s="5"/>
      <c r="O1692" s="5"/>
      <c r="P1692" s="5"/>
    </row>
    <row r="1693" spans="12:16" ht="15.75" customHeight="1" x14ac:dyDescent="0.25">
      <c r="L1693" s="5"/>
      <c r="M1693" s="5"/>
      <c r="N1693" s="5"/>
      <c r="O1693" s="5"/>
      <c r="P1693" s="5"/>
    </row>
    <row r="1694" spans="12:16" ht="15.75" customHeight="1" x14ac:dyDescent="0.25">
      <c r="L1694" s="5"/>
      <c r="M1694" s="5"/>
      <c r="N1694" s="5"/>
      <c r="O1694" s="5"/>
      <c r="P1694" s="5"/>
    </row>
    <row r="1695" spans="12:16" ht="15.75" customHeight="1" x14ac:dyDescent="0.25">
      <c r="L1695" s="5"/>
      <c r="M1695" s="5"/>
      <c r="N1695" s="5"/>
      <c r="O1695" s="5"/>
      <c r="P1695" s="5"/>
    </row>
    <row r="1696" spans="12:16" ht="15.75" customHeight="1" x14ac:dyDescent="0.25">
      <c r="L1696" s="5"/>
      <c r="M1696" s="5"/>
      <c r="N1696" s="5"/>
      <c r="O1696" s="5"/>
      <c r="P1696" s="5"/>
    </row>
    <row r="1697" spans="12:16" ht="15.75" customHeight="1" x14ac:dyDescent="0.25">
      <c r="L1697" s="5"/>
      <c r="M1697" s="5"/>
      <c r="N1697" s="5"/>
      <c r="O1697" s="5"/>
      <c r="P1697" s="5"/>
    </row>
    <row r="1698" spans="12:16" ht="15.75" customHeight="1" x14ac:dyDescent="0.25">
      <c r="L1698" s="5"/>
      <c r="M1698" s="5"/>
      <c r="N1698" s="5"/>
      <c r="O1698" s="5"/>
      <c r="P1698" s="5"/>
    </row>
    <row r="1699" spans="12:16" ht="15.75" customHeight="1" x14ac:dyDescent="0.25">
      <c r="L1699" s="5"/>
      <c r="M1699" s="5"/>
      <c r="N1699" s="5"/>
      <c r="O1699" s="5"/>
      <c r="P1699" s="5"/>
    </row>
    <row r="1700" spans="12:16" ht="15.75" customHeight="1" x14ac:dyDescent="0.25">
      <c r="L1700" s="5"/>
      <c r="M1700" s="5"/>
      <c r="N1700" s="5"/>
      <c r="O1700" s="5"/>
      <c r="P1700" s="5"/>
    </row>
    <row r="1701" spans="12:16" ht="15.75" customHeight="1" x14ac:dyDescent="0.25">
      <c r="L1701" s="5"/>
      <c r="M1701" s="5"/>
      <c r="N1701" s="5"/>
      <c r="O1701" s="5"/>
      <c r="P1701" s="5"/>
    </row>
    <row r="1702" spans="12:16" ht="15.75" customHeight="1" x14ac:dyDescent="0.25">
      <c r="L1702" s="5"/>
      <c r="M1702" s="5"/>
      <c r="N1702" s="5"/>
      <c r="O1702" s="5"/>
      <c r="P1702" s="5"/>
    </row>
    <row r="1703" spans="12:16" ht="15.75" customHeight="1" x14ac:dyDescent="0.25">
      <c r="L1703" s="5"/>
      <c r="M1703" s="5"/>
      <c r="N1703" s="5"/>
      <c r="O1703" s="5"/>
      <c r="P1703" s="5"/>
    </row>
    <row r="1704" spans="12:16" ht="15.75" customHeight="1" x14ac:dyDescent="0.25">
      <c r="L1704" s="5"/>
      <c r="M1704" s="5"/>
      <c r="N1704" s="5"/>
      <c r="O1704" s="5"/>
      <c r="P1704" s="5"/>
    </row>
    <row r="1705" spans="12:16" ht="15.75" customHeight="1" x14ac:dyDescent="0.25">
      <c r="L1705" s="5"/>
      <c r="M1705" s="5"/>
      <c r="N1705" s="5"/>
      <c r="O1705" s="5"/>
      <c r="P1705" s="5"/>
    </row>
    <row r="1706" spans="12:16" ht="15.75" customHeight="1" x14ac:dyDescent="0.25">
      <c r="L1706" s="5"/>
      <c r="M1706" s="5"/>
      <c r="N1706" s="5"/>
      <c r="O1706" s="5"/>
      <c r="P1706" s="5"/>
    </row>
    <row r="1707" spans="12:16" ht="15.75" customHeight="1" x14ac:dyDescent="0.25">
      <c r="L1707" s="5"/>
      <c r="M1707" s="5"/>
      <c r="N1707" s="5"/>
      <c r="O1707" s="5"/>
      <c r="P1707" s="5"/>
    </row>
    <row r="1708" spans="12:16" ht="15.75" customHeight="1" x14ac:dyDescent="0.25">
      <c r="L1708" s="5"/>
      <c r="M1708" s="5"/>
      <c r="N1708" s="5"/>
      <c r="O1708" s="5"/>
      <c r="P1708" s="5"/>
    </row>
    <row r="1709" spans="12:16" ht="15.75" customHeight="1" x14ac:dyDescent="0.25">
      <c r="L1709" s="5"/>
      <c r="M1709" s="5"/>
      <c r="N1709" s="5"/>
      <c r="O1709" s="5"/>
      <c r="P1709" s="5"/>
    </row>
    <row r="1710" spans="12:16" ht="15.75" customHeight="1" x14ac:dyDescent="0.25">
      <c r="L1710" s="5"/>
      <c r="M1710" s="5"/>
      <c r="N1710" s="5"/>
      <c r="O1710" s="5"/>
      <c r="P1710" s="5"/>
    </row>
    <row r="1711" spans="12:16" ht="15.75" customHeight="1" x14ac:dyDescent="0.25">
      <c r="L1711" s="5"/>
      <c r="M1711" s="5"/>
      <c r="N1711" s="5"/>
      <c r="O1711" s="5"/>
      <c r="P1711" s="5"/>
    </row>
    <row r="1712" spans="12:16" ht="15.75" customHeight="1" x14ac:dyDescent="0.25">
      <c r="L1712" s="5"/>
      <c r="M1712" s="5"/>
      <c r="N1712" s="5"/>
      <c r="O1712" s="5"/>
      <c r="P1712" s="5"/>
    </row>
    <row r="1713" spans="12:16" ht="15.75" customHeight="1" x14ac:dyDescent="0.25">
      <c r="L1713" s="5"/>
      <c r="M1713" s="5"/>
      <c r="N1713" s="5"/>
      <c r="O1713" s="5"/>
      <c r="P1713" s="5"/>
    </row>
    <row r="1714" spans="12:16" ht="15.75" customHeight="1" x14ac:dyDescent="0.25">
      <c r="L1714" s="5"/>
      <c r="M1714" s="5"/>
      <c r="N1714" s="5"/>
      <c r="O1714" s="5"/>
      <c r="P1714" s="5"/>
    </row>
    <row r="1715" spans="12:16" ht="15.75" customHeight="1" x14ac:dyDescent="0.25">
      <c r="L1715" s="5"/>
      <c r="M1715" s="5"/>
      <c r="N1715" s="5"/>
      <c r="O1715" s="5"/>
      <c r="P1715" s="5"/>
    </row>
    <row r="1716" spans="12:16" ht="15.75" customHeight="1" x14ac:dyDescent="0.25">
      <c r="L1716" s="5"/>
      <c r="M1716" s="5"/>
      <c r="N1716" s="5"/>
      <c r="O1716" s="5"/>
      <c r="P1716" s="5"/>
    </row>
    <row r="1717" spans="12:16" ht="15.75" customHeight="1" x14ac:dyDescent="0.25">
      <c r="L1717" s="5"/>
      <c r="M1717" s="5"/>
      <c r="N1717" s="5"/>
      <c r="O1717" s="5"/>
      <c r="P1717" s="5"/>
    </row>
    <row r="1718" spans="12:16" ht="15.75" customHeight="1" x14ac:dyDescent="0.25">
      <c r="L1718" s="5"/>
      <c r="M1718" s="5"/>
      <c r="N1718" s="5"/>
      <c r="O1718" s="5"/>
      <c r="P1718" s="5"/>
    </row>
    <row r="1719" spans="12:16" ht="15.75" customHeight="1" x14ac:dyDescent="0.25">
      <c r="L1719" s="5"/>
      <c r="M1719" s="5"/>
      <c r="N1719" s="5"/>
      <c r="O1719" s="5"/>
      <c r="P1719" s="5"/>
    </row>
    <row r="1720" spans="12:16" ht="15.75" customHeight="1" x14ac:dyDescent="0.25">
      <c r="L1720" s="5"/>
      <c r="M1720" s="5"/>
      <c r="N1720" s="5"/>
      <c r="O1720" s="5"/>
      <c r="P1720" s="5"/>
    </row>
    <row r="1721" spans="12:16" ht="15.75" customHeight="1" x14ac:dyDescent="0.25">
      <c r="L1721" s="5"/>
      <c r="M1721" s="5"/>
      <c r="N1721" s="5"/>
      <c r="O1721" s="5"/>
      <c r="P1721" s="5"/>
    </row>
    <row r="1722" spans="12:16" ht="15.75" customHeight="1" x14ac:dyDescent="0.25">
      <c r="L1722" s="5"/>
      <c r="M1722" s="5"/>
      <c r="N1722" s="5"/>
      <c r="O1722" s="5"/>
      <c r="P1722" s="5"/>
    </row>
    <row r="1723" spans="12:16" ht="15.75" customHeight="1" x14ac:dyDescent="0.25">
      <c r="L1723" s="5"/>
      <c r="M1723" s="5"/>
      <c r="N1723" s="5"/>
      <c r="O1723" s="5"/>
      <c r="P1723" s="5"/>
    </row>
    <row r="1724" spans="12:16" ht="15.75" customHeight="1" x14ac:dyDescent="0.25">
      <c r="L1724" s="5"/>
      <c r="M1724" s="5"/>
      <c r="N1724" s="5"/>
      <c r="O1724" s="5"/>
      <c r="P1724" s="5"/>
    </row>
    <row r="1725" spans="12:16" ht="15.75" customHeight="1" x14ac:dyDescent="0.25">
      <c r="L1725" s="5"/>
      <c r="M1725" s="5"/>
      <c r="N1725" s="5"/>
      <c r="O1725" s="5"/>
      <c r="P1725" s="5"/>
    </row>
    <row r="1726" spans="12:16" ht="15.75" customHeight="1" x14ac:dyDescent="0.25">
      <c r="L1726" s="5"/>
      <c r="M1726" s="5"/>
      <c r="N1726" s="5"/>
      <c r="O1726" s="5"/>
      <c r="P1726" s="5"/>
    </row>
    <row r="1727" spans="12:16" ht="15.75" customHeight="1" x14ac:dyDescent="0.25">
      <c r="L1727" s="5"/>
      <c r="M1727" s="5"/>
      <c r="N1727" s="5"/>
      <c r="O1727" s="5"/>
      <c r="P1727" s="5"/>
    </row>
    <row r="1728" spans="12:16" ht="15.75" customHeight="1" x14ac:dyDescent="0.25">
      <c r="L1728" s="5"/>
      <c r="M1728" s="5"/>
      <c r="N1728" s="5"/>
      <c r="O1728" s="5"/>
      <c r="P1728" s="5"/>
    </row>
    <row r="1729" spans="12:16" ht="15.75" customHeight="1" x14ac:dyDescent="0.25">
      <c r="L1729" s="5"/>
      <c r="M1729" s="5"/>
      <c r="N1729" s="5"/>
      <c r="O1729" s="5"/>
      <c r="P1729" s="5"/>
    </row>
    <row r="1730" spans="12:16" ht="15.75" customHeight="1" x14ac:dyDescent="0.25">
      <c r="L1730" s="5"/>
      <c r="M1730" s="5"/>
      <c r="N1730" s="5"/>
      <c r="O1730" s="5"/>
      <c r="P1730" s="5"/>
    </row>
    <row r="1731" spans="12:16" ht="15.75" customHeight="1" x14ac:dyDescent="0.25">
      <c r="L1731" s="5"/>
      <c r="M1731" s="5"/>
      <c r="N1731" s="5"/>
      <c r="O1731" s="5"/>
      <c r="P1731" s="5"/>
    </row>
    <row r="1732" spans="12:16" ht="15.75" customHeight="1" x14ac:dyDescent="0.25">
      <c r="L1732" s="5"/>
      <c r="M1732" s="5"/>
      <c r="N1732" s="5"/>
      <c r="O1732" s="5"/>
      <c r="P1732" s="5"/>
    </row>
    <row r="1733" spans="12:16" ht="15.75" customHeight="1" x14ac:dyDescent="0.25">
      <c r="L1733" s="5"/>
      <c r="M1733" s="5"/>
      <c r="N1733" s="5"/>
      <c r="O1733" s="5"/>
      <c r="P1733" s="5"/>
    </row>
    <row r="1734" spans="12:16" ht="15.75" customHeight="1" x14ac:dyDescent="0.25">
      <c r="L1734" s="5"/>
      <c r="M1734" s="5"/>
      <c r="N1734" s="5"/>
      <c r="O1734" s="5"/>
      <c r="P1734" s="5"/>
    </row>
    <row r="1735" spans="12:16" ht="15.75" customHeight="1" x14ac:dyDescent="0.25">
      <c r="L1735" s="5"/>
      <c r="M1735" s="5"/>
      <c r="N1735" s="5"/>
      <c r="O1735" s="5"/>
      <c r="P1735" s="5"/>
    </row>
    <row r="1736" spans="12:16" ht="15.75" customHeight="1" x14ac:dyDescent="0.25">
      <c r="L1736" s="5"/>
      <c r="M1736" s="5"/>
      <c r="N1736" s="5"/>
      <c r="O1736" s="5"/>
      <c r="P1736" s="5"/>
    </row>
    <row r="1737" spans="12:16" ht="15.75" customHeight="1" x14ac:dyDescent="0.25">
      <c r="L1737" s="5"/>
      <c r="M1737" s="5"/>
      <c r="N1737" s="5"/>
      <c r="O1737" s="5"/>
      <c r="P1737" s="5"/>
    </row>
    <row r="1738" spans="12:16" ht="15.75" customHeight="1" x14ac:dyDescent="0.25">
      <c r="L1738" s="5"/>
      <c r="M1738" s="5"/>
      <c r="N1738" s="5"/>
      <c r="O1738" s="5"/>
      <c r="P1738" s="5"/>
    </row>
    <row r="1739" spans="12:16" ht="15.75" customHeight="1" x14ac:dyDescent="0.25">
      <c r="L1739" s="5"/>
      <c r="M1739" s="5"/>
      <c r="N1739" s="5"/>
      <c r="O1739" s="5"/>
      <c r="P1739" s="5"/>
    </row>
    <row r="1740" spans="12:16" ht="15.75" customHeight="1" x14ac:dyDescent="0.25">
      <c r="L1740" s="5"/>
      <c r="M1740" s="5"/>
      <c r="N1740" s="5"/>
      <c r="O1740" s="5"/>
      <c r="P1740" s="5"/>
    </row>
    <row r="1741" spans="12:16" ht="15.75" customHeight="1" x14ac:dyDescent="0.25">
      <c r="L1741" s="5"/>
      <c r="M1741" s="5"/>
      <c r="N1741" s="5"/>
      <c r="O1741" s="5"/>
      <c r="P1741" s="5"/>
    </row>
    <row r="1742" spans="12:16" ht="15.75" customHeight="1" x14ac:dyDescent="0.25">
      <c r="L1742" s="5"/>
      <c r="M1742" s="5"/>
      <c r="N1742" s="5"/>
      <c r="O1742" s="5"/>
      <c r="P1742" s="5"/>
    </row>
    <row r="1743" spans="12:16" ht="15.75" customHeight="1" x14ac:dyDescent="0.25">
      <c r="L1743" s="5"/>
      <c r="M1743" s="5"/>
      <c r="N1743" s="5"/>
      <c r="O1743" s="5"/>
      <c r="P1743" s="5"/>
    </row>
    <row r="1744" spans="12:16" ht="15.75" customHeight="1" x14ac:dyDescent="0.25">
      <c r="L1744" s="5"/>
      <c r="M1744" s="5"/>
      <c r="N1744" s="5"/>
      <c r="O1744" s="5"/>
      <c r="P1744" s="5"/>
    </row>
    <row r="1745" spans="12:16" ht="15.75" customHeight="1" x14ac:dyDescent="0.25">
      <c r="L1745" s="5"/>
      <c r="M1745" s="5"/>
      <c r="N1745" s="5"/>
      <c r="O1745" s="5"/>
      <c r="P1745" s="5"/>
    </row>
    <row r="1746" spans="12:16" ht="15.75" customHeight="1" x14ac:dyDescent="0.25">
      <c r="L1746" s="5"/>
      <c r="M1746" s="5"/>
      <c r="N1746" s="5"/>
      <c r="O1746" s="5"/>
      <c r="P1746" s="5"/>
    </row>
    <row r="1747" spans="12:16" ht="15.75" customHeight="1" x14ac:dyDescent="0.25">
      <c r="L1747" s="5"/>
      <c r="M1747" s="5"/>
      <c r="N1747" s="5"/>
      <c r="O1747" s="5"/>
      <c r="P1747" s="5"/>
    </row>
    <row r="1748" spans="12:16" ht="15.75" customHeight="1" x14ac:dyDescent="0.25">
      <c r="L1748" s="5"/>
      <c r="M1748" s="5"/>
      <c r="N1748" s="5"/>
      <c r="O1748" s="5"/>
      <c r="P1748" s="5"/>
    </row>
    <row r="1749" spans="12:16" ht="15.75" customHeight="1" x14ac:dyDescent="0.25">
      <c r="L1749" s="5"/>
      <c r="M1749" s="5"/>
      <c r="N1749" s="5"/>
      <c r="O1749" s="5"/>
      <c r="P1749" s="5"/>
    </row>
    <row r="1750" spans="12:16" ht="15.75" customHeight="1" x14ac:dyDescent="0.25">
      <c r="L1750" s="5"/>
      <c r="M1750" s="5"/>
      <c r="N1750" s="5"/>
      <c r="O1750" s="5"/>
      <c r="P1750" s="5"/>
    </row>
    <row r="1751" spans="12:16" ht="15.75" customHeight="1" x14ac:dyDescent="0.25">
      <c r="L1751" s="5"/>
      <c r="M1751" s="5"/>
      <c r="N1751" s="5"/>
      <c r="O1751" s="5"/>
      <c r="P1751" s="5"/>
    </row>
    <row r="1752" spans="12:16" ht="15.75" customHeight="1" x14ac:dyDescent="0.25">
      <c r="L1752" s="5"/>
      <c r="M1752" s="5"/>
      <c r="N1752" s="5"/>
      <c r="O1752" s="5"/>
      <c r="P1752" s="5"/>
    </row>
    <row r="1753" spans="12:16" ht="15.75" customHeight="1" x14ac:dyDescent="0.25">
      <c r="L1753" s="5"/>
      <c r="M1753" s="5"/>
      <c r="N1753" s="5"/>
      <c r="O1753" s="5"/>
      <c r="P1753" s="5"/>
    </row>
    <row r="1754" spans="12:16" ht="15.75" customHeight="1" x14ac:dyDescent="0.25">
      <c r="L1754" s="5"/>
      <c r="M1754" s="5"/>
      <c r="N1754" s="5"/>
      <c r="O1754" s="5"/>
      <c r="P1754" s="5"/>
    </row>
    <row r="1755" spans="12:16" ht="15.75" customHeight="1" x14ac:dyDescent="0.25">
      <c r="L1755" s="5"/>
      <c r="M1755" s="5"/>
      <c r="N1755" s="5"/>
      <c r="O1755" s="5"/>
      <c r="P1755" s="5"/>
    </row>
    <row r="1756" spans="12:16" ht="15.75" customHeight="1" x14ac:dyDescent="0.25">
      <c r="L1756" s="5"/>
      <c r="M1756" s="5"/>
      <c r="N1756" s="5"/>
      <c r="O1756" s="5"/>
      <c r="P1756" s="5"/>
    </row>
    <row r="1757" spans="12:16" ht="15.75" customHeight="1" x14ac:dyDescent="0.25">
      <c r="L1757" s="5"/>
      <c r="M1757" s="5"/>
      <c r="N1757" s="5"/>
      <c r="O1757" s="5"/>
      <c r="P1757" s="5"/>
    </row>
    <row r="1758" spans="12:16" ht="15.75" customHeight="1" x14ac:dyDescent="0.25">
      <c r="L1758" s="5"/>
      <c r="M1758" s="5"/>
      <c r="N1758" s="5"/>
      <c r="O1758" s="5"/>
      <c r="P1758" s="5"/>
    </row>
    <row r="1759" spans="12:16" ht="15.75" customHeight="1" x14ac:dyDescent="0.25">
      <c r="L1759" s="5"/>
      <c r="M1759" s="5"/>
      <c r="N1759" s="5"/>
      <c r="O1759" s="5"/>
      <c r="P1759" s="5"/>
    </row>
    <row r="1760" spans="12:16" ht="15.75" customHeight="1" x14ac:dyDescent="0.25">
      <c r="L1760" s="5"/>
      <c r="M1760" s="5"/>
      <c r="N1760" s="5"/>
      <c r="O1760" s="5"/>
      <c r="P1760" s="5"/>
    </row>
    <row r="1761" spans="12:16" ht="15.75" customHeight="1" x14ac:dyDescent="0.25">
      <c r="L1761" s="5"/>
      <c r="M1761" s="5"/>
      <c r="N1761" s="5"/>
      <c r="O1761" s="5"/>
      <c r="P1761" s="5"/>
    </row>
    <row r="1762" spans="12:16" ht="15.75" customHeight="1" x14ac:dyDescent="0.25">
      <c r="L1762" s="5"/>
      <c r="M1762" s="5"/>
      <c r="N1762" s="5"/>
      <c r="O1762" s="5"/>
      <c r="P1762" s="5"/>
    </row>
    <row r="1763" spans="12:16" ht="15.75" customHeight="1" x14ac:dyDescent="0.25">
      <c r="L1763" s="5"/>
      <c r="M1763" s="5"/>
      <c r="N1763" s="5"/>
      <c r="O1763" s="5"/>
      <c r="P1763" s="5"/>
    </row>
    <row r="1764" spans="12:16" ht="15.75" customHeight="1" x14ac:dyDescent="0.25">
      <c r="L1764" s="5"/>
      <c r="M1764" s="5"/>
      <c r="N1764" s="5"/>
      <c r="O1764" s="5"/>
      <c r="P1764" s="5"/>
    </row>
    <row r="1765" spans="12:16" ht="15.75" customHeight="1" x14ac:dyDescent="0.25">
      <c r="L1765" s="5"/>
      <c r="M1765" s="5"/>
      <c r="N1765" s="5"/>
      <c r="O1765" s="5"/>
      <c r="P1765" s="5"/>
    </row>
    <row r="1766" spans="12:16" ht="15.75" customHeight="1" x14ac:dyDescent="0.25">
      <c r="L1766" s="5"/>
      <c r="M1766" s="5"/>
      <c r="N1766" s="5"/>
      <c r="O1766" s="5"/>
      <c r="P1766" s="5"/>
    </row>
    <row r="1767" spans="12:16" ht="15.75" customHeight="1" x14ac:dyDescent="0.25">
      <c r="L1767" s="5"/>
      <c r="M1767" s="5"/>
      <c r="N1767" s="5"/>
      <c r="O1767" s="5"/>
      <c r="P1767" s="5"/>
    </row>
    <row r="1768" spans="12:16" ht="15.75" customHeight="1" x14ac:dyDescent="0.25">
      <c r="L1768" s="5"/>
      <c r="M1768" s="5"/>
      <c r="N1768" s="5"/>
      <c r="O1768" s="5"/>
      <c r="P1768" s="5"/>
    </row>
    <row r="1769" spans="12:16" ht="15.75" customHeight="1" x14ac:dyDescent="0.25">
      <c r="L1769" s="5"/>
      <c r="M1769" s="5"/>
      <c r="N1769" s="5"/>
      <c r="O1769" s="5"/>
      <c r="P1769" s="5"/>
    </row>
    <row r="1770" spans="12:16" ht="15.75" customHeight="1" x14ac:dyDescent="0.25">
      <c r="L1770" s="5"/>
      <c r="M1770" s="5"/>
      <c r="N1770" s="5"/>
      <c r="O1770" s="5"/>
      <c r="P1770" s="5"/>
    </row>
    <row r="1771" spans="12:16" ht="15.75" customHeight="1" x14ac:dyDescent="0.25">
      <c r="L1771" s="5"/>
      <c r="M1771" s="5"/>
      <c r="N1771" s="5"/>
      <c r="O1771" s="5"/>
      <c r="P1771" s="5"/>
    </row>
    <row r="1772" spans="12:16" ht="15.75" customHeight="1" x14ac:dyDescent="0.25">
      <c r="L1772" s="5"/>
      <c r="M1772" s="5"/>
      <c r="N1772" s="5"/>
      <c r="O1772" s="5"/>
      <c r="P1772" s="5"/>
    </row>
    <row r="1773" spans="12:16" ht="15.75" customHeight="1" x14ac:dyDescent="0.25">
      <c r="L1773" s="5"/>
      <c r="M1773" s="5"/>
      <c r="N1773" s="5"/>
      <c r="O1773" s="5"/>
      <c r="P1773" s="5"/>
    </row>
    <row r="1774" spans="12:16" ht="15.75" customHeight="1" x14ac:dyDescent="0.25">
      <c r="L1774" s="5"/>
      <c r="M1774" s="5"/>
      <c r="N1774" s="5"/>
      <c r="O1774" s="5"/>
      <c r="P1774" s="5"/>
    </row>
    <row r="1775" spans="12:16" ht="15.75" customHeight="1" x14ac:dyDescent="0.25">
      <c r="L1775" s="5"/>
      <c r="M1775" s="5"/>
      <c r="N1775" s="5"/>
      <c r="O1775" s="5"/>
      <c r="P1775" s="5"/>
    </row>
    <row r="1776" spans="12:16" ht="15.75" customHeight="1" x14ac:dyDescent="0.25">
      <c r="L1776" s="5"/>
      <c r="M1776" s="5"/>
      <c r="N1776" s="5"/>
      <c r="O1776" s="5"/>
      <c r="P1776" s="5"/>
    </row>
    <row r="1777" spans="12:16" ht="15.75" customHeight="1" x14ac:dyDescent="0.25">
      <c r="L1777" s="5"/>
      <c r="M1777" s="5"/>
      <c r="N1777" s="5"/>
      <c r="O1777" s="5"/>
      <c r="P1777" s="5"/>
    </row>
    <row r="1778" spans="12:16" ht="15.75" customHeight="1" x14ac:dyDescent="0.25">
      <c r="L1778" s="5"/>
      <c r="M1778" s="5"/>
      <c r="N1778" s="5"/>
      <c r="O1778" s="5"/>
      <c r="P1778" s="5"/>
    </row>
    <row r="1779" spans="12:16" ht="15.75" customHeight="1" x14ac:dyDescent="0.25">
      <c r="L1779" s="5"/>
      <c r="M1779" s="5"/>
      <c r="N1779" s="5"/>
      <c r="O1779" s="5"/>
      <c r="P1779" s="5"/>
    </row>
    <row r="1780" spans="12:16" ht="15.75" customHeight="1" x14ac:dyDescent="0.25">
      <c r="L1780" s="5"/>
      <c r="M1780" s="5"/>
      <c r="N1780" s="5"/>
      <c r="O1780" s="5"/>
      <c r="P1780" s="5"/>
    </row>
    <row r="1781" spans="12:16" ht="15.75" customHeight="1" x14ac:dyDescent="0.25">
      <c r="L1781" s="5"/>
      <c r="M1781" s="5"/>
      <c r="N1781" s="5"/>
      <c r="O1781" s="5"/>
      <c r="P1781" s="5"/>
    </row>
    <row r="1782" spans="12:16" ht="15.75" customHeight="1" x14ac:dyDescent="0.25">
      <c r="L1782" s="5"/>
      <c r="M1782" s="5"/>
      <c r="N1782" s="5"/>
      <c r="O1782" s="5"/>
      <c r="P1782" s="5"/>
    </row>
    <row r="1783" spans="12:16" ht="15.75" customHeight="1" x14ac:dyDescent="0.25">
      <c r="L1783" s="5"/>
      <c r="M1783" s="5"/>
      <c r="N1783" s="5"/>
      <c r="O1783" s="5"/>
      <c r="P1783" s="5"/>
    </row>
    <row r="1784" spans="12:16" ht="15.75" customHeight="1" x14ac:dyDescent="0.25">
      <c r="L1784" s="5"/>
      <c r="M1784" s="5"/>
      <c r="N1784" s="5"/>
      <c r="O1784" s="5"/>
      <c r="P1784" s="5"/>
    </row>
    <row r="1785" spans="12:16" ht="15.75" customHeight="1" x14ac:dyDescent="0.25">
      <c r="L1785" s="5"/>
      <c r="M1785" s="5"/>
      <c r="N1785" s="5"/>
      <c r="O1785" s="5"/>
      <c r="P1785" s="5"/>
    </row>
    <row r="1786" spans="12:16" ht="15.75" customHeight="1" x14ac:dyDescent="0.25">
      <c r="L1786" s="5"/>
      <c r="M1786" s="5"/>
      <c r="N1786" s="5"/>
      <c r="O1786" s="5"/>
      <c r="P1786" s="5"/>
    </row>
    <row r="1787" spans="12:16" ht="15.75" customHeight="1" x14ac:dyDescent="0.25">
      <c r="L1787" s="5"/>
      <c r="M1787" s="5"/>
      <c r="N1787" s="5"/>
      <c r="O1787" s="5"/>
      <c r="P1787" s="5"/>
    </row>
    <row r="1788" spans="12:16" ht="15.75" customHeight="1" x14ac:dyDescent="0.25">
      <c r="L1788" s="5"/>
      <c r="M1788" s="5"/>
      <c r="N1788" s="5"/>
      <c r="O1788" s="5"/>
      <c r="P1788" s="5"/>
    </row>
    <row r="1789" spans="12:16" ht="15.75" customHeight="1" x14ac:dyDescent="0.25">
      <c r="L1789" s="5"/>
      <c r="M1789" s="5"/>
      <c r="N1789" s="5"/>
      <c r="O1789" s="5"/>
      <c r="P1789" s="5"/>
    </row>
    <row r="1790" spans="12:16" ht="15.75" customHeight="1" x14ac:dyDescent="0.25">
      <c r="L1790" s="5"/>
      <c r="M1790" s="5"/>
      <c r="N1790" s="5"/>
      <c r="O1790" s="5"/>
      <c r="P1790" s="5"/>
    </row>
    <row r="1791" spans="12:16" ht="15.75" customHeight="1" x14ac:dyDescent="0.25">
      <c r="L1791" s="5"/>
      <c r="M1791" s="5"/>
      <c r="N1791" s="5"/>
      <c r="O1791" s="5"/>
      <c r="P1791" s="5"/>
    </row>
    <row r="1792" spans="12:16" ht="15.75" customHeight="1" x14ac:dyDescent="0.25">
      <c r="L1792" s="5"/>
      <c r="M1792" s="5"/>
      <c r="N1792" s="5"/>
      <c r="O1792" s="5"/>
      <c r="P1792" s="5"/>
    </row>
    <row r="1793" spans="12:16" ht="15.75" customHeight="1" x14ac:dyDescent="0.25">
      <c r="L1793" s="5"/>
      <c r="M1793" s="5"/>
      <c r="N1793" s="5"/>
      <c r="O1793" s="5"/>
      <c r="P1793" s="5"/>
    </row>
    <row r="1794" spans="12:16" ht="15.75" customHeight="1" x14ac:dyDescent="0.25">
      <c r="L1794" s="5"/>
      <c r="M1794" s="5"/>
      <c r="N1794" s="5"/>
      <c r="O1794" s="5"/>
      <c r="P1794" s="5"/>
    </row>
    <row r="1795" spans="12:16" ht="15.75" customHeight="1" x14ac:dyDescent="0.25">
      <c r="L1795" s="5"/>
      <c r="M1795" s="5"/>
      <c r="N1795" s="5"/>
      <c r="O1795" s="5"/>
      <c r="P1795" s="5"/>
    </row>
    <row r="1796" spans="12:16" ht="15.75" customHeight="1" x14ac:dyDescent="0.25">
      <c r="L1796" s="5"/>
      <c r="M1796" s="5"/>
      <c r="N1796" s="5"/>
      <c r="O1796" s="5"/>
      <c r="P1796" s="5"/>
    </row>
    <row r="1797" spans="12:16" ht="15.75" customHeight="1" x14ac:dyDescent="0.25">
      <c r="L1797" s="5"/>
      <c r="M1797" s="5"/>
      <c r="N1797" s="5"/>
      <c r="O1797" s="5"/>
      <c r="P1797" s="5"/>
    </row>
    <row r="1798" spans="12:16" ht="15.75" customHeight="1" x14ac:dyDescent="0.25">
      <c r="L1798" s="5"/>
      <c r="M1798" s="5"/>
      <c r="N1798" s="5"/>
      <c r="O1798" s="5"/>
      <c r="P1798" s="5"/>
    </row>
    <row r="1799" spans="12:16" ht="15.75" customHeight="1" x14ac:dyDescent="0.25">
      <c r="L1799" s="5"/>
      <c r="M1799" s="5"/>
      <c r="N1799" s="5"/>
      <c r="O1799" s="5"/>
      <c r="P1799" s="5"/>
    </row>
    <row r="1800" spans="12:16" ht="15.75" customHeight="1" x14ac:dyDescent="0.25">
      <c r="L1800" s="5"/>
      <c r="M1800" s="5"/>
      <c r="N1800" s="5"/>
      <c r="O1800" s="5"/>
      <c r="P1800" s="5"/>
    </row>
    <row r="1801" spans="12:16" ht="15.75" customHeight="1" x14ac:dyDescent="0.25">
      <c r="L1801" s="5"/>
      <c r="M1801" s="5"/>
      <c r="N1801" s="5"/>
      <c r="O1801" s="5"/>
      <c r="P1801" s="5"/>
    </row>
    <row r="1802" spans="12:16" ht="15.75" customHeight="1" x14ac:dyDescent="0.25">
      <c r="L1802" s="5"/>
      <c r="M1802" s="5"/>
      <c r="N1802" s="5"/>
      <c r="O1802" s="5"/>
      <c r="P1802" s="5"/>
    </row>
    <row r="1803" spans="12:16" ht="15.75" customHeight="1" x14ac:dyDescent="0.25">
      <c r="L1803" s="5"/>
      <c r="M1803" s="5"/>
      <c r="N1803" s="5"/>
      <c r="O1803" s="5"/>
      <c r="P1803" s="5"/>
    </row>
    <row r="1804" spans="12:16" ht="15.75" customHeight="1" x14ac:dyDescent="0.25">
      <c r="L1804" s="5"/>
      <c r="M1804" s="5"/>
      <c r="N1804" s="5"/>
      <c r="O1804" s="5"/>
      <c r="P1804" s="5"/>
    </row>
    <row r="1805" spans="12:16" ht="15.75" customHeight="1" x14ac:dyDescent="0.25">
      <c r="L1805" s="5"/>
      <c r="M1805" s="5"/>
      <c r="N1805" s="5"/>
      <c r="O1805" s="5"/>
      <c r="P1805" s="5"/>
    </row>
    <row r="1806" spans="12:16" ht="15.75" customHeight="1" x14ac:dyDescent="0.25">
      <c r="L1806" s="5"/>
      <c r="M1806" s="5"/>
      <c r="N1806" s="5"/>
      <c r="O1806" s="5"/>
      <c r="P1806" s="5"/>
    </row>
    <row r="1807" spans="12:16" ht="15.75" customHeight="1" x14ac:dyDescent="0.25">
      <c r="L1807" s="5"/>
      <c r="M1807" s="5"/>
      <c r="N1807" s="5"/>
      <c r="O1807" s="5"/>
      <c r="P1807" s="5"/>
    </row>
    <row r="1808" spans="12:16" ht="15.75" customHeight="1" x14ac:dyDescent="0.25">
      <c r="L1808" s="5"/>
      <c r="M1808" s="5"/>
      <c r="N1808" s="5"/>
      <c r="O1808" s="5"/>
      <c r="P1808" s="5"/>
    </row>
    <row r="1809" spans="12:16" ht="15.75" customHeight="1" x14ac:dyDescent="0.25">
      <c r="L1809" s="5"/>
      <c r="M1809" s="5"/>
      <c r="N1809" s="5"/>
      <c r="O1809" s="5"/>
      <c r="P1809" s="5"/>
    </row>
    <row r="1810" spans="12:16" ht="15.75" customHeight="1" x14ac:dyDescent="0.25">
      <c r="L1810" s="5"/>
      <c r="M1810" s="5"/>
      <c r="N1810" s="5"/>
      <c r="O1810" s="5"/>
      <c r="P1810" s="5"/>
    </row>
    <row r="1811" spans="12:16" ht="15.75" customHeight="1" x14ac:dyDescent="0.25">
      <c r="L1811" s="5"/>
      <c r="M1811" s="5"/>
      <c r="N1811" s="5"/>
      <c r="O1811" s="5"/>
      <c r="P1811" s="5"/>
    </row>
    <row r="1812" spans="12:16" ht="15.75" customHeight="1" x14ac:dyDescent="0.25">
      <c r="L1812" s="5"/>
      <c r="M1812" s="5"/>
      <c r="N1812" s="5"/>
      <c r="O1812" s="5"/>
      <c r="P1812" s="5"/>
    </row>
    <row r="1813" spans="12:16" ht="15.75" customHeight="1" x14ac:dyDescent="0.25">
      <c r="L1813" s="5"/>
      <c r="M1813" s="5"/>
      <c r="N1813" s="5"/>
      <c r="O1813" s="5"/>
      <c r="P1813" s="5"/>
    </row>
    <row r="1814" spans="12:16" ht="15.75" customHeight="1" x14ac:dyDescent="0.25">
      <c r="L1814" s="5"/>
      <c r="M1814" s="5"/>
      <c r="N1814" s="5"/>
      <c r="O1814" s="5"/>
      <c r="P1814" s="5"/>
    </row>
    <row r="1815" spans="12:16" ht="15.75" customHeight="1" x14ac:dyDescent="0.25">
      <c r="L1815" s="5"/>
      <c r="M1815" s="5"/>
      <c r="N1815" s="5"/>
      <c r="O1815" s="5"/>
      <c r="P1815" s="5"/>
    </row>
    <row r="1816" spans="12:16" ht="15.75" customHeight="1" x14ac:dyDescent="0.25">
      <c r="L1816" s="5"/>
      <c r="M1816" s="5"/>
      <c r="N1816" s="5"/>
      <c r="O1816" s="5"/>
      <c r="P1816" s="5"/>
    </row>
    <row r="1817" spans="12:16" ht="15.75" customHeight="1" x14ac:dyDescent="0.25">
      <c r="L1817" s="5"/>
      <c r="M1817" s="5"/>
      <c r="N1817" s="5"/>
      <c r="O1817" s="5"/>
      <c r="P1817" s="5"/>
    </row>
    <row r="1818" spans="12:16" ht="15.75" customHeight="1" x14ac:dyDescent="0.25">
      <c r="L1818" s="5"/>
      <c r="M1818" s="5"/>
      <c r="N1818" s="5"/>
      <c r="O1818" s="5"/>
      <c r="P1818" s="5"/>
    </row>
    <row r="1819" spans="12:16" ht="15.75" customHeight="1" x14ac:dyDescent="0.25">
      <c r="L1819" s="5"/>
      <c r="M1819" s="5"/>
      <c r="N1819" s="5"/>
      <c r="O1819" s="5"/>
      <c r="P1819" s="5"/>
    </row>
    <row r="1820" spans="12:16" ht="15.75" customHeight="1" x14ac:dyDescent="0.25">
      <c r="L1820" s="5"/>
      <c r="M1820" s="5"/>
      <c r="N1820" s="5"/>
      <c r="O1820" s="5"/>
      <c r="P1820" s="5"/>
    </row>
    <row r="1821" spans="12:16" ht="15.75" customHeight="1" x14ac:dyDescent="0.25">
      <c r="L1821" s="5"/>
      <c r="M1821" s="5"/>
      <c r="N1821" s="5"/>
      <c r="O1821" s="5"/>
      <c r="P1821" s="5"/>
    </row>
    <row r="1822" spans="12:16" ht="15.75" customHeight="1" x14ac:dyDescent="0.25">
      <c r="L1822" s="5"/>
      <c r="M1822" s="5"/>
      <c r="N1822" s="5"/>
      <c r="O1822" s="5"/>
      <c r="P1822" s="5"/>
    </row>
    <row r="1823" spans="12:16" ht="15.75" customHeight="1" x14ac:dyDescent="0.25">
      <c r="L1823" s="5"/>
      <c r="M1823" s="5"/>
      <c r="N1823" s="5"/>
      <c r="O1823" s="5"/>
      <c r="P1823" s="5"/>
    </row>
    <row r="1824" spans="12:16" ht="15.75" customHeight="1" x14ac:dyDescent="0.25">
      <c r="L1824" s="5"/>
      <c r="M1824" s="5"/>
      <c r="N1824" s="5"/>
      <c r="O1824" s="5"/>
      <c r="P1824" s="5"/>
    </row>
    <row r="1825" spans="12:16" ht="15.75" customHeight="1" x14ac:dyDescent="0.25">
      <c r="L1825" s="5"/>
      <c r="M1825" s="5"/>
      <c r="N1825" s="5"/>
      <c r="O1825" s="5"/>
      <c r="P1825" s="5"/>
    </row>
    <row r="1826" spans="12:16" ht="15.75" customHeight="1" x14ac:dyDescent="0.25">
      <c r="L1826" s="5"/>
      <c r="M1826" s="5"/>
      <c r="N1826" s="5"/>
      <c r="O1826" s="5"/>
      <c r="P1826" s="5"/>
    </row>
    <row r="1827" spans="12:16" ht="15.75" customHeight="1" x14ac:dyDescent="0.25">
      <c r="L1827" s="5"/>
      <c r="M1827" s="5"/>
      <c r="N1827" s="5"/>
      <c r="O1827" s="5"/>
      <c r="P1827" s="5"/>
    </row>
    <row r="1828" spans="12:16" ht="15.75" customHeight="1" x14ac:dyDescent="0.25">
      <c r="L1828" s="5"/>
      <c r="M1828" s="5"/>
      <c r="N1828" s="5"/>
      <c r="O1828" s="5"/>
      <c r="P1828" s="5"/>
    </row>
    <row r="1829" spans="12:16" ht="15.75" customHeight="1" x14ac:dyDescent="0.25">
      <c r="L1829" s="5"/>
      <c r="M1829" s="5"/>
      <c r="N1829" s="5"/>
      <c r="O1829" s="5"/>
      <c r="P1829" s="5"/>
    </row>
    <row r="1830" spans="12:16" ht="15.75" customHeight="1" x14ac:dyDescent="0.25">
      <c r="L1830" s="5"/>
      <c r="M1830" s="5"/>
      <c r="N1830" s="5"/>
      <c r="O1830" s="5"/>
      <c r="P1830" s="5"/>
    </row>
    <row r="1831" spans="12:16" ht="15.75" customHeight="1" x14ac:dyDescent="0.25">
      <c r="L1831" s="5"/>
      <c r="M1831" s="5"/>
      <c r="N1831" s="5"/>
      <c r="O1831" s="5"/>
      <c r="P1831" s="5"/>
    </row>
    <row r="1832" spans="12:16" ht="15.75" customHeight="1" x14ac:dyDescent="0.25">
      <c r="L1832" s="5"/>
      <c r="M1832" s="5"/>
      <c r="N1832" s="5"/>
      <c r="O1832" s="5"/>
      <c r="P1832" s="5"/>
    </row>
    <row r="1833" spans="12:16" ht="15.75" customHeight="1" x14ac:dyDescent="0.25">
      <c r="L1833" s="5"/>
      <c r="M1833" s="5"/>
      <c r="N1833" s="5"/>
      <c r="O1833" s="5"/>
      <c r="P1833" s="5"/>
    </row>
    <row r="1834" spans="12:16" ht="15.75" customHeight="1" x14ac:dyDescent="0.25">
      <c r="L1834" s="5"/>
      <c r="M1834" s="5"/>
      <c r="N1834" s="5"/>
      <c r="O1834" s="5"/>
      <c r="P1834" s="5"/>
    </row>
    <row r="1835" spans="12:16" ht="15.75" customHeight="1" x14ac:dyDescent="0.25">
      <c r="L1835" s="5"/>
      <c r="M1835" s="5"/>
      <c r="N1835" s="5"/>
      <c r="O1835" s="5"/>
      <c r="P1835" s="5"/>
    </row>
    <row r="1836" spans="12:16" ht="15.75" customHeight="1" x14ac:dyDescent="0.25">
      <c r="L1836" s="5"/>
      <c r="M1836" s="5"/>
      <c r="N1836" s="5"/>
      <c r="O1836" s="5"/>
      <c r="P1836" s="5"/>
    </row>
    <row r="1837" spans="12:16" ht="15.75" customHeight="1" x14ac:dyDescent="0.25">
      <c r="L1837" s="5"/>
      <c r="M1837" s="5"/>
      <c r="N1837" s="5"/>
      <c r="O1837" s="5"/>
      <c r="P1837" s="5"/>
    </row>
    <row r="1838" spans="12:16" ht="15.75" customHeight="1" x14ac:dyDescent="0.25">
      <c r="L1838" s="5"/>
      <c r="M1838" s="5"/>
      <c r="N1838" s="5"/>
      <c r="O1838" s="5"/>
      <c r="P1838" s="5"/>
    </row>
    <row r="1839" spans="12:16" ht="15.75" customHeight="1" x14ac:dyDescent="0.25">
      <c r="L1839" s="5"/>
      <c r="M1839" s="5"/>
      <c r="N1839" s="5"/>
      <c r="O1839" s="5"/>
      <c r="P1839" s="5"/>
    </row>
    <row r="1840" spans="12:16" ht="15.75" customHeight="1" x14ac:dyDescent="0.25">
      <c r="L1840" s="5"/>
      <c r="M1840" s="5"/>
      <c r="N1840" s="5"/>
      <c r="O1840" s="5"/>
      <c r="P1840" s="5"/>
    </row>
    <row r="1841" spans="12:16" ht="15.75" customHeight="1" x14ac:dyDescent="0.25">
      <c r="L1841" s="5"/>
      <c r="M1841" s="5"/>
      <c r="N1841" s="5"/>
      <c r="O1841" s="5"/>
      <c r="P1841" s="5"/>
    </row>
    <row r="1842" spans="12:16" ht="15.75" customHeight="1" x14ac:dyDescent="0.25">
      <c r="L1842" s="5"/>
      <c r="M1842" s="5"/>
      <c r="N1842" s="5"/>
      <c r="O1842" s="5"/>
      <c r="P1842" s="5"/>
    </row>
    <row r="1843" spans="12:16" ht="15.75" customHeight="1" x14ac:dyDescent="0.25">
      <c r="L1843" s="5"/>
      <c r="M1843" s="5"/>
      <c r="N1843" s="5"/>
      <c r="O1843" s="5"/>
      <c r="P1843" s="5"/>
    </row>
    <row r="1844" spans="12:16" ht="15.75" customHeight="1" x14ac:dyDescent="0.25">
      <c r="L1844" s="5"/>
      <c r="M1844" s="5"/>
      <c r="N1844" s="5"/>
      <c r="O1844" s="5"/>
      <c r="P1844" s="5"/>
    </row>
    <row r="1845" spans="12:16" ht="15.75" customHeight="1" x14ac:dyDescent="0.25">
      <c r="L1845" s="5"/>
      <c r="M1845" s="5"/>
      <c r="N1845" s="5"/>
      <c r="O1845" s="5"/>
      <c r="P1845" s="5"/>
    </row>
    <row r="1846" spans="12:16" ht="15.75" customHeight="1" x14ac:dyDescent="0.25">
      <c r="L1846" s="5"/>
      <c r="M1846" s="5"/>
      <c r="N1846" s="5"/>
      <c r="O1846" s="5"/>
      <c r="P1846" s="5"/>
    </row>
    <row r="1847" spans="12:16" ht="15.75" customHeight="1" x14ac:dyDescent="0.25">
      <c r="L1847" s="5"/>
      <c r="M1847" s="5"/>
      <c r="N1847" s="5"/>
      <c r="O1847" s="5"/>
      <c r="P1847" s="5"/>
    </row>
    <row r="1848" spans="12:16" ht="15.75" customHeight="1" x14ac:dyDescent="0.25">
      <c r="L1848" s="5"/>
      <c r="M1848" s="5"/>
      <c r="N1848" s="5"/>
      <c r="O1848" s="5"/>
      <c r="P1848" s="5"/>
    </row>
    <row r="1849" spans="12:16" ht="15.75" customHeight="1" x14ac:dyDescent="0.25">
      <c r="L1849" s="5"/>
      <c r="M1849" s="5"/>
      <c r="N1849" s="5"/>
      <c r="O1849" s="5"/>
      <c r="P1849" s="5"/>
    </row>
    <row r="1850" spans="12:16" ht="15.75" customHeight="1" x14ac:dyDescent="0.25">
      <c r="L1850" s="5"/>
      <c r="M1850" s="5"/>
      <c r="N1850" s="5"/>
      <c r="O1850" s="5"/>
      <c r="P1850" s="5"/>
    </row>
    <row r="1851" spans="12:16" ht="15.75" customHeight="1" x14ac:dyDescent="0.25">
      <c r="L1851" s="5"/>
      <c r="M1851" s="5"/>
      <c r="N1851" s="5"/>
      <c r="O1851" s="5"/>
      <c r="P1851" s="5"/>
    </row>
    <row r="1852" spans="12:16" ht="15.75" customHeight="1" x14ac:dyDescent="0.25">
      <c r="L1852" s="5"/>
      <c r="M1852" s="5"/>
      <c r="N1852" s="5"/>
      <c r="O1852" s="5"/>
      <c r="P1852" s="5"/>
    </row>
    <row r="1853" spans="12:16" ht="15.75" customHeight="1" x14ac:dyDescent="0.25">
      <c r="L1853" s="5"/>
      <c r="M1853" s="5"/>
      <c r="N1853" s="5"/>
      <c r="O1853" s="5"/>
      <c r="P1853" s="5"/>
    </row>
    <row r="1854" spans="12:16" ht="15.75" customHeight="1" x14ac:dyDescent="0.25">
      <c r="L1854" s="5"/>
      <c r="M1854" s="5"/>
      <c r="N1854" s="5"/>
      <c r="O1854" s="5"/>
      <c r="P1854" s="5"/>
    </row>
    <row r="1855" spans="12:16" ht="15.75" customHeight="1" x14ac:dyDescent="0.25">
      <c r="L1855" s="5"/>
      <c r="M1855" s="5"/>
      <c r="N1855" s="5"/>
      <c r="O1855" s="5"/>
      <c r="P1855" s="5"/>
    </row>
    <row r="1856" spans="12:16" ht="15.75" customHeight="1" x14ac:dyDescent="0.25">
      <c r="L1856" s="5"/>
      <c r="M1856" s="5"/>
      <c r="N1856" s="5"/>
      <c r="O1856" s="5"/>
      <c r="P1856" s="5"/>
    </row>
    <row r="1857" spans="12:16" ht="15.75" customHeight="1" x14ac:dyDescent="0.25">
      <c r="L1857" s="5"/>
      <c r="M1857" s="5"/>
      <c r="N1857" s="5"/>
      <c r="O1857" s="5"/>
      <c r="P1857" s="5"/>
    </row>
    <row r="1858" spans="12:16" ht="15.75" customHeight="1" x14ac:dyDescent="0.25">
      <c r="L1858" s="5"/>
      <c r="M1858" s="5"/>
      <c r="N1858" s="5"/>
      <c r="O1858" s="5"/>
      <c r="P1858" s="5"/>
    </row>
    <row r="1859" spans="12:16" ht="15.75" customHeight="1" x14ac:dyDescent="0.25">
      <c r="L1859" s="5"/>
      <c r="M1859" s="5"/>
      <c r="N1859" s="5"/>
      <c r="O1859" s="5"/>
      <c r="P1859" s="5"/>
    </row>
    <row r="1860" spans="12:16" ht="15.75" customHeight="1" x14ac:dyDescent="0.25">
      <c r="L1860" s="5"/>
      <c r="M1860" s="5"/>
      <c r="N1860" s="5"/>
      <c r="O1860" s="5"/>
      <c r="P1860" s="5"/>
    </row>
    <row r="1861" spans="12:16" ht="15.75" customHeight="1" x14ac:dyDescent="0.25">
      <c r="L1861" s="5"/>
      <c r="M1861" s="5"/>
      <c r="N1861" s="5"/>
      <c r="O1861" s="5"/>
      <c r="P1861" s="5"/>
    </row>
    <row r="1862" spans="12:16" ht="15.75" customHeight="1" x14ac:dyDescent="0.25">
      <c r="L1862" s="5"/>
      <c r="M1862" s="5"/>
      <c r="N1862" s="5"/>
      <c r="O1862" s="5"/>
      <c r="P1862" s="5"/>
    </row>
    <row r="1863" spans="12:16" ht="15.75" customHeight="1" x14ac:dyDescent="0.25">
      <c r="L1863" s="5"/>
      <c r="M1863" s="5"/>
      <c r="N1863" s="5"/>
      <c r="O1863" s="5"/>
      <c r="P1863" s="5"/>
    </row>
    <row r="1864" spans="12:16" ht="15.75" customHeight="1" x14ac:dyDescent="0.25">
      <c r="L1864" s="5"/>
      <c r="M1864" s="5"/>
      <c r="N1864" s="5"/>
      <c r="O1864" s="5"/>
      <c r="P1864" s="5"/>
    </row>
    <row r="1865" spans="12:16" ht="15.75" customHeight="1" x14ac:dyDescent="0.25">
      <c r="L1865" s="5"/>
      <c r="M1865" s="5"/>
      <c r="N1865" s="5"/>
      <c r="O1865" s="5"/>
      <c r="P1865" s="5"/>
    </row>
    <row r="1866" spans="12:16" ht="15.75" customHeight="1" x14ac:dyDescent="0.25">
      <c r="L1866" s="5"/>
      <c r="M1866" s="5"/>
      <c r="N1866" s="5"/>
      <c r="O1866" s="5"/>
      <c r="P1866" s="5"/>
    </row>
    <row r="1867" spans="12:16" ht="15.75" customHeight="1" x14ac:dyDescent="0.25">
      <c r="L1867" s="5"/>
      <c r="M1867" s="5"/>
      <c r="N1867" s="5"/>
      <c r="O1867" s="5"/>
      <c r="P1867" s="5"/>
    </row>
    <row r="1868" spans="12:16" ht="15.75" customHeight="1" x14ac:dyDescent="0.25">
      <c r="L1868" s="5"/>
      <c r="M1868" s="5"/>
      <c r="N1868" s="5"/>
      <c r="O1868" s="5"/>
      <c r="P1868" s="5"/>
    </row>
    <row r="1869" spans="12:16" ht="15.75" customHeight="1" x14ac:dyDescent="0.25">
      <c r="L1869" s="5"/>
      <c r="M1869" s="5"/>
      <c r="N1869" s="5"/>
      <c r="O1869" s="5"/>
      <c r="P1869" s="5"/>
    </row>
    <row r="1870" spans="12:16" ht="15.75" customHeight="1" x14ac:dyDescent="0.25">
      <c r="L1870" s="5"/>
      <c r="M1870" s="5"/>
      <c r="N1870" s="5"/>
      <c r="O1870" s="5"/>
      <c r="P1870" s="5"/>
    </row>
    <row r="1871" spans="12:16" ht="15.75" customHeight="1" x14ac:dyDescent="0.25">
      <c r="L1871" s="5"/>
      <c r="M1871" s="5"/>
      <c r="N1871" s="5"/>
      <c r="O1871" s="5"/>
      <c r="P1871" s="5"/>
    </row>
    <row r="1872" spans="12:16" ht="15.75" customHeight="1" x14ac:dyDescent="0.25">
      <c r="L1872" s="5"/>
      <c r="M1872" s="5"/>
      <c r="N1872" s="5"/>
      <c r="O1872" s="5"/>
      <c r="P1872" s="5"/>
    </row>
    <row r="1873" spans="12:16" ht="15.75" customHeight="1" x14ac:dyDescent="0.25">
      <c r="L1873" s="5"/>
      <c r="M1873" s="5"/>
      <c r="N1873" s="5"/>
      <c r="O1873" s="5"/>
      <c r="P1873" s="5"/>
    </row>
    <row r="1874" spans="12:16" ht="15.75" customHeight="1" x14ac:dyDescent="0.25">
      <c r="L1874" s="5"/>
      <c r="M1874" s="5"/>
      <c r="N1874" s="5"/>
      <c r="O1874" s="5"/>
      <c r="P1874" s="5"/>
    </row>
    <row r="1875" spans="12:16" ht="15.75" customHeight="1" x14ac:dyDescent="0.25">
      <c r="L1875" s="5"/>
      <c r="M1875" s="5"/>
      <c r="N1875" s="5"/>
      <c r="O1875" s="5"/>
      <c r="P1875" s="5"/>
    </row>
    <row r="1876" spans="12:16" ht="15.75" customHeight="1" x14ac:dyDescent="0.25">
      <c r="L1876" s="5"/>
      <c r="M1876" s="5"/>
      <c r="N1876" s="5"/>
      <c r="O1876" s="5"/>
      <c r="P1876" s="5"/>
    </row>
    <row r="1877" spans="12:16" ht="15.75" customHeight="1" x14ac:dyDescent="0.25">
      <c r="L1877" s="5"/>
      <c r="M1877" s="5"/>
      <c r="N1877" s="5"/>
      <c r="O1877" s="5"/>
      <c r="P1877" s="5"/>
    </row>
    <row r="1878" spans="12:16" ht="15.75" customHeight="1" x14ac:dyDescent="0.25">
      <c r="L1878" s="5"/>
      <c r="M1878" s="5"/>
      <c r="N1878" s="5"/>
      <c r="O1878" s="5"/>
      <c r="P1878" s="5"/>
    </row>
    <row r="1879" spans="12:16" ht="15.75" customHeight="1" x14ac:dyDescent="0.25">
      <c r="L1879" s="5"/>
      <c r="M1879" s="5"/>
      <c r="N1879" s="5"/>
      <c r="O1879" s="5"/>
      <c r="P1879" s="5"/>
    </row>
    <row r="1880" spans="12:16" ht="15.75" customHeight="1" x14ac:dyDescent="0.25">
      <c r="L1880" s="5"/>
      <c r="M1880" s="5"/>
      <c r="N1880" s="5"/>
      <c r="O1880" s="5"/>
      <c r="P1880" s="5"/>
    </row>
    <row r="1881" spans="12:16" ht="15.75" customHeight="1" x14ac:dyDescent="0.25">
      <c r="L1881" s="5"/>
      <c r="M1881" s="5"/>
      <c r="N1881" s="5"/>
      <c r="O1881" s="5"/>
      <c r="P1881" s="5"/>
    </row>
    <row r="1882" spans="12:16" ht="15.75" customHeight="1" x14ac:dyDescent="0.25">
      <c r="L1882" s="5"/>
      <c r="M1882" s="5"/>
      <c r="N1882" s="5"/>
      <c r="O1882" s="5"/>
      <c r="P1882" s="5"/>
    </row>
    <row r="1883" spans="12:16" ht="15.75" customHeight="1" x14ac:dyDescent="0.25">
      <c r="L1883" s="5"/>
      <c r="M1883" s="5"/>
      <c r="N1883" s="5"/>
      <c r="O1883" s="5"/>
      <c r="P1883" s="5"/>
    </row>
    <row r="1884" spans="12:16" ht="15.75" customHeight="1" x14ac:dyDescent="0.25">
      <c r="L1884" s="5"/>
      <c r="M1884" s="5"/>
      <c r="N1884" s="5"/>
      <c r="O1884" s="5"/>
      <c r="P1884" s="5"/>
    </row>
    <row r="1885" spans="12:16" ht="15.75" customHeight="1" x14ac:dyDescent="0.25">
      <c r="L1885" s="5"/>
      <c r="M1885" s="5"/>
      <c r="N1885" s="5"/>
      <c r="O1885" s="5"/>
      <c r="P1885" s="5"/>
    </row>
    <row r="1886" spans="12:16" ht="15.75" customHeight="1" x14ac:dyDescent="0.25">
      <c r="L1886" s="5"/>
      <c r="M1886" s="5"/>
      <c r="N1886" s="5"/>
      <c r="O1886" s="5"/>
      <c r="P1886" s="5"/>
    </row>
    <row r="1887" spans="12:16" ht="15.75" customHeight="1" x14ac:dyDescent="0.25">
      <c r="L1887" s="5"/>
      <c r="M1887" s="5"/>
      <c r="N1887" s="5"/>
      <c r="O1887" s="5"/>
      <c r="P1887" s="5"/>
    </row>
    <row r="1888" spans="12:16" ht="15.75" customHeight="1" x14ac:dyDescent="0.25">
      <c r="L1888" s="5"/>
      <c r="M1888" s="5"/>
      <c r="N1888" s="5"/>
      <c r="O1888" s="5"/>
      <c r="P1888" s="5"/>
    </row>
    <row r="1889" spans="12:16" ht="15.75" customHeight="1" x14ac:dyDescent="0.25">
      <c r="L1889" s="5"/>
      <c r="M1889" s="5"/>
      <c r="N1889" s="5"/>
      <c r="O1889" s="5"/>
      <c r="P1889" s="5"/>
    </row>
    <row r="1890" spans="12:16" ht="15.75" customHeight="1" x14ac:dyDescent="0.25">
      <c r="L1890" s="5"/>
      <c r="M1890" s="5"/>
      <c r="N1890" s="5"/>
      <c r="O1890" s="5"/>
      <c r="P1890" s="5"/>
    </row>
    <row r="1891" spans="12:16" ht="15.75" customHeight="1" x14ac:dyDescent="0.25">
      <c r="L1891" s="5"/>
      <c r="M1891" s="5"/>
      <c r="N1891" s="5"/>
      <c r="O1891" s="5"/>
      <c r="P1891" s="5"/>
    </row>
    <row r="1892" spans="12:16" ht="15.75" customHeight="1" x14ac:dyDescent="0.25">
      <c r="L1892" s="5"/>
      <c r="M1892" s="5"/>
      <c r="N1892" s="5"/>
      <c r="O1892" s="5"/>
      <c r="P1892" s="5"/>
    </row>
    <row r="1893" spans="12:16" ht="15.75" customHeight="1" x14ac:dyDescent="0.25">
      <c r="L1893" s="5"/>
      <c r="M1893" s="5"/>
      <c r="N1893" s="5"/>
      <c r="O1893" s="5"/>
      <c r="P1893" s="5"/>
    </row>
    <row r="1894" spans="12:16" ht="15.75" customHeight="1" x14ac:dyDescent="0.25">
      <c r="L1894" s="5"/>
      <c r="M1894" s="5"/>
      <c r="N1894" s="5"/>
      <c r="O1894" s="5"/>
      <c r="P1894" s="5"/>
    </row>
    <row r="1895" spans="12:16" ht="15.75" customHeight="1" x14ac:dyDescent="0.25">
      <c r="L1895" s="5"/>
      <c r="M1895" s="5"/>
      <c r="N1895" s="5"/>
      <c r="O1895" s="5"/>
      <c r="P1895" s="5"/>
    </row>
    <row r="1896" spans="12:16" ht="15.75" customHeight="1" x14ac:dyDescent="0.25">
      <c r="L1896" s="5"/>
      <c r="M1896" s="5"/>
      <c r="N1896" s="5"/>
      <c r="O1896" s="5"/>
      <c r="P1896" s="5"/>
    </row>
    <row r="1897" spans="12:16" ht="15.75" customHeight="1" x14ac:dyDescent="0.25">
      <c r="L1897" s="5"/>
      <c r="M1897" s="5"/>
      <c r="N1897" s="5"/>
      <c r="O1897" s="5"/>
      <c r="P1897" s="5"/>
    </row>
    <row r="1898" spans="12:16" ht="15.75" customHeight="1" x14ac:dyDescent="0.25">
      <c r="L1898" s="5"/>
      <c r="M1898" s="5"/>
      <c r="N1898" s="5"/>
      <c r="O1898" s="5"/>
      <c r="P1898" s="5"/>
    </row>
    <row r="1899" spans="12:16" ht="15.75" customHeight="1" x14ac:dyDescent="0.25">
      <c r="L1899" s="5"/>
      <c r="M1899" s="5"/>
      <c r="N1899" s="5"/>
      <c r="O1899" s="5"/>
      <c r="P1899" s="5"/>
    </row>
    <row r="1900" spans="12:16" ht="15.75" customHeight="1" x14ac:dyDescent="0.25">
      <c r="L1900" s="5"/>
      <c r="M1900" s="5"/>
      <c r="N1900" s="5"/>
      <c r="O1900" s="5"/>
      <c r="P1900" s="5"/>
    </row>
    <row r="1901" spans="12:16" ht="15.75" customHeight="1" x14ac:dyDescent="0.25">
      <c r="L1901" s="5"/>
      <c r="M1901" s="5"/>
      <c r="N1901" s="5"/>
      <c r="O1901" s="5"/>
      <c r="P1901" s="5"/>
    </row>
    <row r="1902" spans="12:16" ht="15.75" customHeight="1" x14ac:dyDescent="0.25">
      <c r="L1902" s="5"/>
      <c r="M1902" s="5"/>
      <c r="N1902" s="5"/>
      <c r="O1902" s="5"/>
      <c r="P1902" s="5"/>
    </row>
    <row r="1903" spans="12:16" ht="15.75" customHeight="1" x14ac:dyDescent="0.25">
      <c r="L1903" s="5"/>
      <c r="M1903" s="5"/>
      <c r="N1903" s="5"/>
      <c r="O1903" s="5"/>
      <c r="P1903" s="5"/>
    </row>
    <row r="1904" spans="12:16" ht="15.75" customHeight="1" x14ac:dyDescent="0.25">
      <c r="L1904" s="5"/>
      <c r="M1904" s="5"/>
      <c r="N1904" s="5"/>
      <c r="O1904" s="5"/>
      <c r="P1904" s="5"/>
    </row>
    <row r="1905" spans="12:16" ht="15.75" customHeight="1" x14ac:dyDescent="0.25">
      <c r="L1905" s="5"/>
      <c r="M1905" s="5"/>
      <c r="N1905" s="5"/>
      <c r="O1905" s="5"/>
      <c r="P1905" s="5"/>
    </row>
    <row r="1906" spans="12:16" ht="15.75" customHeight="1" x14ac:dyDescent="0.25">
      <c r="L1906" s="5"/>
      <c r="M1906" s="5"/>
      <c r="N1906" s="5"/>
      <c r="O1906" s="5"/>
      <c r="P1906" s="5"/>
    </row>
    <row r="1907" spans="12:16" ht="15.75" customHeight="1" x14ac:dyDescent="0.25">
      <c r="L1907" s="5"/>
      <c r="M1907" s="5"/>
      <c r="N1907" s="5"/>
      <c r="O1907" s="5"/>
      <c r="P1907" s="5"/>
    </row>
    <row r="1908" spans="12:16" ht="15.75" customHeight="1" x14ac:dyDescent="0.25">
      <c r="L1908" s="5"/>
      <c r="M1908" s="5"/>
      <c r="N1908" s="5"/>
      <c r="O1908" s="5"/>
      <c r="P1908" s="5"/>
    </row>
    <row r="1909" spans="12:16" ht="15.75" customHeight="1" x14ac:dyDescent="0.25">
      <c r="L1909" s="5"/>
      <c r="M1909" s="5"/>
      <c r="N1909" s="5"/>
      <c r="O1909" s="5"/>
      <c r="P1909" s="5"/>
    </row>
    <row r="1910" spans="12:16" ht="15.75" customHeight="1" x14ac:dyDescent="0.25">
      <c r="L1910" s="5"/>
      <c r="M1910" s="5"/>
      <c r="N1910" s="5"/>
      <c r="O1910" s="5"/>
      <c r="P1910" s="5"/>
    </row>
    <row r="1911" spans="12:16" ht="15.75" customHeight="1" x14ac:dyDescent="0.25">
      <c r="L1911" s="5"/>
      <c r="M1911" s="5"/>
      <c r="N1911" s="5"/>
      <c r="O1911" s="5"/>
      <c r="P1911" s="5"/>
    </row>
    <row r="1912" spans="12:16" ht="15.75" customHeight="1" x14ac:dyDescent="0.25">
      <c r="L1912" s="5"/>
      <c r="M1912" s="5"/>
      <c r="N1912" s="5"/>
      <c r="O1912" s="5"/>
      <c r="P1912" s="5"/>
    </row>
    <row r="1913" spans="12:16" ht="15.75" customHeight="1" x14ac:dyDescent="0.25">
      <c r="L1913" s="5"/>
      <c r="M1913" s="5"/>
      <c r="N1913" s="5"/>
      <c r="O1913" s="5"/>
      <c r="P1913" s="5"/>
    </row>
    <row r="1914" spans="12:16" ht="15.75" customHeight="1" x14ac:dyDescent="0.25">
      <c r="L1914" s="5"/>
      <c r="M1914" s="5"/>
      <c r="N1914" s="5"/>
      <c r="O1914" s="5"/>
      <c r="P1914" s="5"/>
    </row>
    <row r="1915" spans="12:16" ht="15.75" customHeight="1" x14ac:dyDescent="0.25">
      <c r="L1915" s="5"/>
      <c r="M1915" s="5"/>
      <c r="N1915" s="5"/>
      <c r="O1915" s="5"/>
      <c r="P1915" s="5"/>
    </row>
    <row r="1916" spans="12:16" ht="15.75" customHeight="1" x14ac:dyDescent="0.25">
      <c r="L1916" s="5"/>
      <c r="M1916" s="5"/>
      <c r="N1916" s="5"/>
      <c r="O1916" s="5"/>
      <c r="P1916" s="5"/>
    </row>
    <row r="1917" spans="12:16" ht="15.75" customHeight="1" x14ac:dyDescent="0.25">
      <c r="L1917" s="5"/>
      <c r="M1917" s="5"/>
      <c r="N1917" s="5"/>
      <c r="O1917" s="5"/>
      <c r="P1917" s="5"/>
    </row>
    <row r="1918" spans="12:16" ht="15.75" customHeight="1" x14ac:dyDescent="0.25">
      <c r="L1918" s="5"/>
      <c r="M1918" s="5"/>
      <c r="N1918" s="5"/>
      <c r="O1918" s="5"/>
      <c r="P1918" s="5"/>
    </row>
    <row r="1919" spans="12:16" ht="15.75" customHeight="1" x14ac:dyDescent="0.25">
      <c r="L1919" s="5"/>
      <c r="M1919" s="5"/>
      <c r="N1919" s="5"/>
      <c r="O1919" s="5"/>
      <c r="P1919" s="5"/>
    </row>
    <row r="1920" spans="12:16" ht="15.75" customHeight="1" x14ac:dyDescent="0.25">
      <c r="L1920" s="5"/>
      <c r="M1920" s="5"/>
      <c r="N1920" s="5"/>
      <c r="O1920" s="5"/>
      <c r="P1920" s="5"/>
    </row>
    <row r="1921" spans="12:16" ht="15.75" customHeight="1" x14ac:dyDescent="0.25">
      <c r="L1921" s="5"/>
      <c r="M1921" s="5"/>
      <c r="N1921" s="5"/>
      <c r="O1921" s="5"/>
      <c r="P1921" s="5"/>
    </row>
    <row r="1922" spans="12:16" ht="15.75" customHeight="1" x14ac:dyDescent="0.25">
      <c r="L1922" s="5"/>
      <c r="M1922" s="5"/>
      <c r="N1922" s="5"/>
      <c r="O1922" s="5"/>
      <c r="P1922" s="5"/>
    </row>
    <row r="1923" spans="12:16" ht="15.75" customHeight="1" x14ac:dyDescent="0.25">
      <c r="L1923" s="5"/>
      <c r="M1923" s="5"/>
      <c r="N1923" s="5"/>
      <c r="O1923" s="5"/>
      <c r="P1923" s="5"/>
    </row>
    <row r="1924" spans="12:16" ht="15.75" customHeight="1" x14ac:dyDescent="0.25">
      <c r="L1924" s="5"/>
      <c r="M1924" s="5"/>
      <c r="N1924" s="5"/>
      <c r="O1924" s="5"/>
      <c r="P1924" s="5"/>
    </row>
    <row r="1925" spans="12:16" ht="15.75" customHeight="1" x14ac:dyDescent="0.25">
      <c r="L1925" s="5"/>
      <c r="M1925" s="5"/>
      <c r="N1925" s="5"/>
      <c r="O1925" s="5"/>
      <c r="P1925" s="5"/>
    </row>
    <row r="1926" spans="12:16" ht="15.75" customHeight="1" x14ac:dyDescent="0.25">
      <c r="L1926" s="5"/>
      <c r="M1926" s="5"/>
      <c r="N1926" s="5"/>
      <c r="O1926" s="5"/>
      <c r="P1926" s="5"/>
    </row>
    <row r="1927" spans="12:16" ht="15.75" customHeight="1" x14ac:dyDescent="0.25">
      <c r="L1927" s="5"/>
      <c r="M1927" s="5"/>
      <c r="N1927" s="5"/>
      <c r="O1927" s="5"/>
      <c r="P1927" s="5"/>
    </row>
    <row r="1928" spans="12:16" ht="15.75" customHeight="1" x14ac:dyDescent="0.25">
      <c r="L1928" s="5"/>
      <c r="M1928" s="5"/>
      <c r="N1928" s="5"/>
      <c r="O1928" s="5"/>
      <c r="P1928" s="5"/>
    </row>
    <row r="1929" spans="12:16" ht="15.75" customHeight="1" x14ac:dyDescent="0.25">
      <c r="L1929" s="5"/>
      <c r="M1929" s="5"/>
      <c r="N1929" s="5"/>
      <c r="O1929" s="5"/>
      <c r="P1929" s="5"/>
    </row>
    <row r="1930" spans="12:16" ht="15.75" customHeight="1" x14ac:dyDescent="0.25">
      <c r="L1930" s="5"/>
      <c r="M1930" s="5"/>
      <c r="N1930" s="5"/>
      <c r="O1930" s="5"/>
      <c r="P1930" s="5"/>
    </row>
    <row r="1931" spans="12:16" ht="15.75" customHeight="1" x14ac:dyDescent="0.25">
      <c r="L1931" s="5"/>
      <c r="M1931" s="5"/>
      <c r="N1931" s="5"/>
      <c r="O1931" s="5"/>
      <c r="P1931" s="5"/>
    </row>
    <row r="1932" spans="12:16" ht="15.75" customHeight="1" x14ac:dyDescent="0.25">
      <c r="L1932" s="5"/>
      <c r="M1932" s="5"/>
      <c r="N1932" s="5"/>
      <c r="O1932" s="5"/>
      <c r="P1932" s="5"/>
    </row>
    <row r="1933" spans="12:16" ht="15.75" customHeight="1" x14ac:dyDescent="0.25">
      <c r="L1933" s="5"/>
      <c r="M1933" s="5"/>
      <c r="N1933" s="5"/>
      <c r="O1933" s="5"/>
      <c r="P1933" s="5"/>
    </row>
    <row r="1934" spans="12:16" ht="15.75" customHeight="1" x14ac:dyDescent="0.25">
      <c r="L1934" s="5"/>
      <c r="M1934" s="5"/>
      <c r="N1934" s="5"/>
      <c r="O1934" s="5"/>
      <c r="P1934" s="5"/>
    </row>
    <row r="1935" spans="12:16" ht="15.75" customHeight="1" x14ac:dyDescent="0.25">
      <c r="L1935" s="5"/>
      <c r="M1935" s="5"/>
      <c r="N1935" s="5"/>
      <c r="O1935" s="5"/>
      <c r="P1935" s="5"/>
    </row>
    <row r="1936" spans="12:16" ht="15.75" customHeight="1" x14ac:dyDescent="0.25">
      <c r="L1936" s="5"/>
      <c r="M1936" s="5"/>
      <c r="N1936" s="5"/>
      <c r="O1936" s="5"/>
      <c r="P1936" s="5"/>
    </row>
    <row r="1937" spans="12:16" ht="15.75" customHeight="1" x14ac:dyDescent="0.25">
      <c r="L1937" s="5"/>
      <c r="M1937" s="5"/>
      <c r="N1937" s="5"/>
      <c r="O1937" s="5"/>
      <c r="P1937" s="5"/>
    </row>
    <row r="1938" spans="12:16" ht="15.75" customHeight="1" x14ac:dyDescent="0.25">
      <c r="L1938" s="5"/>
      <c r="M1938" s="5"/>
      <c r="N1938" s="5"/>
      <c r="O1938" s="5"/>
      <c r="P1938" s="5"/>
    </row>
    <row r="1939" spans="12:16" ht="15.75" customHeight="1" x14ac:dyDescent="0.25">
      <c r="L1939" s="5"/>
      <c r="M1939" s="5"/>
      <c r="N1939" s="5"/>
      <c r="O1939" s="5"/>
      <c r="P1939" s="5"/>
    </row>
    <row r="1940" spans="12:16" ht="15.75" customHeight="1" x14ac:dyDescent="0.25">
      <c r="L1940" s="5"/>
      <c r="M1940" s="5"/>
      <c r="N1940" s="5"/>
      <c r="O1940" s="5"/>
      <c r="P1940" s="5"/>
    </row>
    <row r="1941" spans="12:16" ht="15.75" customHeight="1" x14ac:dyDescent="0.25">
      <c r="L1941" s="5"/>
      <c r="M1941" s="5"/>
      <c r="N1941" s="5"/>
      <c r="O1941" s="5"/>
      <c r="P1941" s="5"/>
    </row>
    <row r="1942" spans="12:16" ht="15.75" customHeight="1" x14ac:dyDescent="0.25">
      <c r="L1942" s="5"/>
      <c r="M1942" s="5"/>
      <c r="N1942" s="5"/>
      <c r="O1942" s="5"/>
      <c r="P1942" s="5"/>
    </row>
    <row r="1943" spans="12:16" ht="15.75" customHeight="1" x14ac:dyDescent="0.25">
      <c r="L1943" s="5"/>
      <c r="M1943" s="5"/>
      <c r="N1943" s="5"/>
      <c r="O1943" s="5"/>
      <c r="P1943" s="5"/>
    </row>
    <row r="1944" spans="12:16" ht="15.75" customHeight="1" x14ac:dyDescent="0.25">
      <c r="L1944" s="5"/>
      <c r="M1944" s="5"/>
      <c r="N1944" s="5"/>
      <c r="O1944" s="5"/>
      <c r="P1944" s="5"/>
    </row>
    <row r="1945" spans="12:16" ht="15.75" customHeight="1" x14ac:dyDescent="0.25">
      <c r="L1945" s="5"/>
      <c r="M1945" s="5"/>
      <c r="N1945" s="5"/>
      <c r="O1945" s="5"/>
      <c r="P1945" s="5"/>
    </row>
    <row r="1946" spans="12:16" ht="15.75" customHeight="1" x14ac:dyDescent="0.25">
      <c r="L1946" s="5"/>
      <c r="M1946" s="5"/>
      <c r="N1946" s="5"/>
      <c r="O1946" s="5"/>
      <c r="P1946" s="5"/>
    </row>
    <row r="1947" spans="12:16" ht="15.75" customHeight="1" x14ac:dyDescent="0.25">
      <c r="L1947" s="5"/>
      <c r="M1947" s="5"/>
      <c r="N1947" s="5"/>
      <c r="O1947" s="5"/>
      <c r="P1947" s="5"/>
    </row>
    <row r="1948" spans="12:16" ht="15.75" customHeight="1" x14ac:dyDescent="0.25">
      <c r="L1948" s="5"/>
      <c r="M1948" s="5"/>
      <c r="N1948" s="5"/>
      <c r="O1948" s="5"/>
      <c r="P1948" s="5"/>
    </row>
    <row r="1949" spans="12:16" ht="15.75" customHeight="1" x14ac:dyDescent="0.25">
      <c r="L1949" s="5"/>
      <c r="M1949" s="5"/>
      <c r="N1949" s="5"/>
      <c r="O1949" s="5"/>
      <c r="P1949" s="5"/>
    </row>
    <row r="1950" spans="12:16" ht="15.75" customHeight="1" x14ac:dyDescent="0.25">
      <c r="L1950" s="5"/>
      <c r="M1950" s="5"/>
      <c r="N1950" s="5"/>
      <c r="O1950" s="5"/>
      <c r="P1950" s="5"/>
    </row>
    <row r="1951" spans="12:16" ht="15.75" customHeight="1" x14ac:dyDescent="0.25">
      <c r="L1951" s="5"/>
      <c r="M1951" s="5"/>
      <c r="N1951" s="5"/>
      <c r="O1951" s="5"/>
      <c r="P1951" s="5"/>
    </row>
    <row r="1952" spans="12:16" ht="15.75" customHeight="1" x14ac:dyDescent="0.25">
      <c r="L1952" s="5"/>
      <c r="M1952" s="5"/>
      <c r="N1952" s="5"/>
      <c r="O1952" s="5"/>
      <c r="P1952" s="5"/>
    </row>
    <row r="1953" spans="12:16" ht="15.75" customHeight="1" x14ac:dyDescent="0.25">
      <c r="L1953" s="5"/>
      <c r="M1953" s="5"/>
      <c r="N1953" s="5"/>
      <c r="O1953" s="5"/>
      <c r="P1953" s="5"/>
    </row>
    <row r="1954" spans="12:16" ht="15.75" customHeight="1" x14ac:dyDescent="0.25">
      <c r="L1954" s="5"/>
      <c r="M1954" s="5"/>
      <c r="N1954" s="5"/>
      <c r="O1954" s="5"/>
      <c r="P1954" s="5"/>
    </row>
    <row r="1955" spans="12:16" ht="15.75" customHeight="1" x14ac:dyDescent="0.25">
      <c r="L1955" s="5"/>
      <c r="M1955" s="5"/>
      <c r="N1955" s="5"/>
      <c r="O1955" s="5"/>
      <c r="P1955" s="5"/>
    </row>
    <row r="1956" spans="12:16" ht="15.75" customHeight="1" x14ac:dyDescent="0.25">
      <c r="L1956" s="5"/>
      <c r="M1956" s="5"/>
      <c r="N1956" s="5"/>
      <c r="O1956" s="5"/>
      <c r="P1956" s="5"/>
    </row>
    <row r="1957" spans="12:16" ht="15.75" customHeight="1" x14ac:dyDescent="0.25">
      <c r="L1957" s="5"/>
      <c r="M1957" s="5"/>
      <c r="N1957" s="5"/>
      <c r="O1957" s="5"/>
      <c r="P1957" s="5"/>
    </row>
    <row r="1958" spans="12:16" ht="15.75" customHeight="1" x14ac:dyDescent="0.25">
      <c r="L1958" s="5"/>
      <c r="M1958" s="5"/>
      <c r="N1958" s="5"/>
      <c r="O1958" s="5"/>
      <c r="P1958" s="5"/>
    </row>
    <row r="1959" spans="12:16" ht="15.75" customHeight="1" x14ac:dyDescent="0.25">
      <c r="L1959" s="5"/>
      <c r="M1959" s="5"/>
      <c r="N1959" s="5"/>
      <c r="O1959" s="5"/>
      <c r="P1959" s="5"/>
    </row>
    <row r="1960" spans="12:16" ht="15.75" customHeight="1" x14ac:dyDescent="0.25">
      <c r="L1960" s="5"/>
      <c r="M1960" s="5"/>
      <c r="N1960" s="5"/>
      <c r="O1960" s="5"/>
      <c r="P1960" s="5"/>
    </row>
    <row r="1961" spans="12:16" ht="15.75" customHeight="1" x14ac:dyDescent="0.25">
      <c r="L1961" s="5"/>
      <c r="M1961" s="5"/>
      <c r="N1961" s="5"/>
      <c r="O1961" s="5"/>
      <c r="P1961" s="5"/>
    </row>
    <row r="1962" spans="12:16" ht="15.75" customHeight="1" x14ac:dyDescent="0.25">
      <c r="L1962" s="5"/>
      <c r="M1962" s="5"/>
      <c r="N1962" s="5"/>
      <c r="O1962" s="5"/>
      <c r="P1962" s="5"/>
    </row>
    <row r="1963" spans="12:16" ht="15.75" customHeight="1" x14ac:dyDescent="0.25">
      <c r="L1963" s="5"/>
      <c r="M1963" s="5"/>
      <c r="N1963" s="5"/>
      <c r="O1963" s="5"/>
      <c r="P1963" s="5"/>
    </row>
    <row r="1964" spans="12:16" ht="15.75" customHeight="1" x14ac:dyDescent="0.25">
      <c r="L1964" s="5"/>
      <c r="M1964" s="5"/>
      <c r="N1964" s="5"/>
      <c r="O1964" s="5"/>
      <c r="P1964" s="5"/>
    </row>
    <row r="1965" spans="12:16" ht="15.75" customHeight="1" x14ac:dyDescent="0.25">
      <c r="L1965" s="5"/>
      <c r="M1965" s="5"/>
      <c r="N1965" s="5"/>
      <c r="O1965" s="5"/>
      <c r="P1965" s="5"/>
    </row>
    <row r="1966" spans="12:16" ht="15.75" customHeight="1" x14ac:dyDescent="0.25">
      <c r="L1966" s="5"/>
      <c r="M1966" s="5"/>
      <c r="N1966" s="5"/>
      <c r="O1966" s="5"/>
      <c r="P1966" s="5"/>
    </row>
    <row r="1967" spans="12:16" ht="15.75" customHeight="1" x14ac:dyDescent="0.25">
      <c r="L1967" s="5"/>
      <c r="M1967" s="5"/>
      <c r="N1967" s="5"/>
      <c r="O1967" s="5"/>
      <c r="P1967" s="5"/>
    </row>
    <row r="1968" spans="12:16" ht="15.75" customHeight="1" x14ac:dyDescent="0.25">
      <c r="L1968" s="5"/>
      <c r="M1968" s="5"/>
      <c r="N1968" s="5"/>
      <c r="O1968" s="5"/>
      <c r="P1968" s="5"/>
    </row>
    <row r="1969" spans="12:16" ht="15.75" customHeight="1" x14ac:dyDescent="0.25">
      <c r="L1969" s="5"/>
      <c r="M1969" s="5"/>
      <c r="N1969" s="5"/>
      <c r="O1969" s="5"/>
      <c r="P1969" s="5"/>
    </row>
    <row r="1970" spans="12:16" ht="15.75" customHeight="1" x14ac:dyDescent="0.25">
      <c r="L1970" s="5"/>
      <c r="M1970" s="5"/>
      <c r="N1970" s="5"/>
      <c r="O1970" s="5"/>
      <c r="P1970" s="5"/>
    </row>
    <row r="1971" spans="12:16" ht="15.75" customHeight="1" x14ac:dyDescent="0.25">
      <c r="L1971" s="5"/>
      <c r="M1971" s="5"/>
      <c r="N1971" s="5"/>
      <c r="O1971" s="5"/>
      <c r="P1971" s="5"/>
    </row>
    <row r="1972" spans="12:16" ht="15.75" customHeight="1" x14ac:dyDescent="0.25">
      <c r="L1972" s="5"/>
      <c r="M1972" s="5"/>
      <c r="N1972" s="5"/>
      <c r="O1972" s="5"/>
      <c r="P1972" s="5"/>
    </row>
    <row r="1973" spans="12:16" ht="15.75" customHeight="1" x14ac:dyDescent="0.25">
      <c r="L1973" s="5"/>
      <c r="M1973" s="5"/>
      <c r="N1973" s="5"/>
      <c r="O1973" s="5"/>
      <c r="P1973" s="5"/>
    </row>
    <row r="1974" spans="12:16" ht="15.75" customHeight="1" x14ac:dyDescent="0.25">
      <c r="L1974" s="5"/>
      <c r="M1974" s="5"/>
      <c r="N1974" s="5"/>
      <c r="O1974" s="5"/>
      <c r="P1974" s="5"/>
    </row>
    <row r="1975" spans="12:16" ht="15.75" customHeight="1" x14ac:dyDescent="0.25">
      <c r="L1975" s="5"/>
      <c r="M1975" s="5"/>
      <c r="N1975" s="5"/>
      <c r="O1975" s="5"/>
      <c r="P1975" s="5"/>
    </row>
    <row r="1976" spans="12:16" ht="15.75" customHeight="1" x14ac:dyDescent="0.25">
      <c r="L1976" s="5"/>
      <c r="M1976" s="5"/>
      <c r="N1976" s="5"/>
      <c r="O1976" s="5"/>
      <c r="P1976" s="5"/>
    </row>
    <row r="1977" spans="12:16" ht="15.75" customHeight="1" x14ac:dyDescent="0.25">
      <c r="L1977" s="5"/>
      <c r="M1977" s="5"/>
      <c r="N1977" s="5"/>
      <c r="O1977" s="5"/>
      <c r="P1977" s="5"/>
    </row>
    <row r="1978" spans="12:16" ht="15.75" customHeight="1" x14ac:dyDescent="0.25">
      <c r="L1978" s="5"/>
      <c r="M1978" s="5"/>
      <c r="N1978" s="5"/>
      <c r="O1978" s="5"/>
      <c r="P1978" s="5"/>
    </row>
    <row r="1979" spans="12:16" ht="15.75" customHeight="1" x14ac:dyDescent="0.25">
      <c r="L1979" s="5"/>
      <c r="M1979" s="5"/>
      <c r="N1979" s="5"/>
      <c r="O1979" s="5"/>
      <c r="P1979" s="5"/>
    </row>
    <row r="1980" spans="12:16" ht="15.75" customHeight="1" x14ac:dyDescent="0.25">
      <c r="L1980" s="5"/>
      <c r="M1980" s="5"/>
      <c r="N1980" s="5"/>
      <c r="O1980" s="5"/>
      <c r="P1980" s="5"/>
    </row>
    <row r="1981" spans="12:16" ht="15.75" customHeight="1" x14ac:dyDescent="0.25">
      <c r="L1981" s="5"/>
      <c r="M1981" s="5"/>
      <c r="N1981" s="5"/>
      <c r="O1981" s="5"/>
      <c r="P1981" s="5"/>
    </row>
    <row r="1982" spans="12:16" ht="15.75" customHeight="1" x14ac:dyDescent="0.25">
      <c r="L1982" s="5"/>
      <c r="M1982" s="5"/>
      <c r="N1982" s="5"/>
      <c r="O1982" s="5"/>
      <c r="P1982" s="5"/>
    </row>
    <row r="1983" spans="12:16" ht="15.75" customHeight="1" x14ac:dyDescent="0.25">
      <c r="L1983" s="5"/>
      <c r="M1983" s="5"/>
      <c r="N1983" s="5"/>
      <c r="O1983" s="5"/>
      <c r="P1983" s="5"/>
    </row>
    <row r="1984" spans="12:16" ht="15.75" customHeight="1" x14ac:dyDescent="0.25">
      <c r="L1984" s="5"/>
      <c r="M1984" s="5"/>
      <c r="N1984" s="5"/>
      <c r="O1984" s="5"/>
      <c r="P1984" s="5"/>
    </row>
    <row r="1985" spans="12:16" ht="15.75" customHeight="1" x14ac:dyDescent="0.25">
      <c r="L1985" s="5"/>
      <c r="M1985" s="5"/>
      <c r="N1985" s="5"/>
      <c r="O1985" s="5"/>
      <c r="P1985" s="5"/>
    </row>
    <row r="1986" spans="12:16" ht="15.75" customHeight="1" x14ac:dyDescent="0.25">
      <c r="L1986" s="5"/>
      <c r="M1986" s="5"/>
      <c r="N1986" s="5"/>
      <c r="O1986" s="5"/>
      <c r="P1986" s="5"/>
    </row>
    <row r="1987" spans="12:16" ht="15.75" customHeight="1" x14ac:dyDescent="0.25">
      <c r="L1987" s="5"/>
      <c r="M1987" s="5"/>
      <c r="N1987" s="5"/>
      <c r="O1987" s="5"/>
      <c r="P1987" s="5"/>
    </row>
    <row r="1988" spans="12:16" ht="15.75" customHeight="1" x14ac:dyDescent="0.25">
      <c r="L1988" s="5"/>
      <c r="M1988" s="5"/>
      <c r="N1988" s="5"/>
      <c r="O1988" s="5"/>
      <c r="P1988" s="5"/>
    </row>
    <row r="1989" spans="12:16" ht="15.75" customHeight="1" x14ac:dyDescent="0.25">
      <c r="L1989" s="5"/>
      <c r="M1989" s="5"/>
      <c r="N1989" s="5"/>
      <c r="O1989" s="5"/>
      <c r="P1989" s="5"/>
    </row>
    <row r="1990" spans="12:16" ht="15.75" customHeight="1" x14ac:dyDescent="0.25">
      <c r="L1990" s="5"/>
      <c r="M1990" s="5"/>
      <c r="N1990" s="5"/>
      <c r="O1990" s="5"/>
      <c r="P1990" s="5"/>
    </row>
    <row r="1991" spans="12:16" ht="15.75" customHeight="1" x14ac:dyDescent="0.25">
      <c r="L1991" s="5"/>
      <c r="M1991" s="5"/>
      <c r="N1991" s="5"/>
      <c r="O1991" s="5"/>
      <c r="P1991" s="5"/>
    </row>
    <row r="1992" spans="12:16" ht="15.75" customHeight="1" x14ac:dyDescent="0.25">
      <c r="L1992" s="5"/>
      <c r="M1992" s="5"/>
      <c r="N1992" s="5"/>
      <c r="O1992" s="5"/>
      <c r="P1992" s="5"/>
    </row>
    <row r="1993" spans="12:16" ht="15.75" customHeight="1" x14ac:dyDescent="0.25">
      <c r="L1993" s="5"/>
      <c r="M1993" s="5"/>
      <c r="N1993" s="5"/>
      <c r="O1993" s="5"/>
      <c r="P1993" s="5"/>
    </row>
    <row r="1994" spans="12:16" ht="15.75" customHeight="1" x14ac:dyDescent="0.25">
      <c r="L1994" s="5"/>
      <c r="M1994" s="5"/>
      <c r="N1994" s="5"/>
      <c r="O1994" s="5"/>
      <c r="P1994" s="5"/>
    </row>
    <row r="1995" spans="12:16" ht="15.75" customHeight="1" x14ac:dyDescent="0.25">
      <c r="L1995" s="5"/>
      <c r="M1995" s="5"/>
      <c r="N1995" s="5"/>
      <c r="O1995" s="5"/>
      <c r="P1995" s="5"/>
    </row>
    <row r="1996" spans="12:16" ht="15.75" customHeight="1" x14ac:dyDescent="0.25">
      <c r="L1996" s="5"/>
      <c r="M1996" s="5"/>
      <c r="N1996" s="5"/>
      <c r="O1996" s="5"/>
      <c r="P1996" s="5"/>
    </row>
    <row r="1997" spans="12:16" ht="15.75" customHeight="1" x14ac:dyDescent="0.25">
      <c r="L1997" s="5"/>
      <c r="M1997" s="5"/>
      <c r="N1997" s="5"/>
      <c r="O1997" s="5"/>
      <c r="P1997" s="5"/>
    </row>
    <row r="1998" spans="12:16" ht="15.75" customHeight="1" x14ac:dyDescent="0.25">
      <c r="L1998" s="5"/>
      <c r="M1998" s="5"/>
      <c r="N1998" s="5"/>
      <c r="O1998" s="5"/>
      <c r="P1998" s="5"/>
    </row>
    <row r="1999" spans="12:16" ht="15.75" customHeight="1" x14ac:dyDescent="0.25">
      <c r="L1999" s="5"/>
      <c r="M1999" s="5"/>
      <c r="N1999" s="5"/>
      <c r="O1999" s="5"/>
      <c r="P1999" s="5"/>
    </row>
    <row r="2000" spans="12:16" ht="15.75" customHeight="1" x14ac:dyDescent="0.25">
      <c r="L2000" s="5"/>
      <c r="M2000" s="5"/>
      <c r="N2000" s="5"/>
      <c r="O2000" s="5"/>
      <c r="P2000" s="5"/>
    </row>
    <row r="2001" spans="12:16" ht="15.75" customHeight="1" x14ac:dyDescent="0.25">
      <c r="L2001" s="5"/>
      <c r="M2001" s="5"/>
      <c r="N2001" s="5"/>
      <c r="O2001" s="5"/>
      <c r="P2001" s="5"/>
    </row>
    <row r="2002" spans="12:16" ht="15.75" customHeight="1" x14ac:dyDescent="0.25">
      <c r="L2002" s="5"/>
      <c r="M2002" s="5"/>
      <c r="N2002" s="5"/>
      <c r="O2002" s="5"/>
      <c r="P2002" s="5"/>
    </row>
    <row r="2003" spans="12:16" ht="15.75" customHeight="1" x14ac:dyDescent="0.25">
      <c r="L2003" s="5"/>
      <c r="M2003" s="5"/>
      <c r="N2003" s="5"/>
      <c r="O2003" s="5"/>
      <c r="P2003" s="5"/>
    </row>
    <row r="2004" spans="12:16" ht="15.75" customHeight="1" x14ac:dyDescent="0.25">
      <c r="L2004" s="5"/>
      <c r="M2004" s="5"/>
      <c r="N2004" s="5"/>
      <c r="O2004" s="5"/>
      <c r="P2004" s="5"/>
    </row>
    <row r="2005" spans="12:16" ht="15.75" customHeight="1" x14ac:dyDescent="0.25">
      <c r="L2005" s="5"/>
      <c r="M2005" s="5"/>
      <c r="N2005" s="5"/>
      <c r="O2005" s="5"/>
      <c r="P2005" s="5"/>
    </row>
    <row r="2006" spans="12:16" ht="15.75" customHeight="1" x14ac:dyDescent="0.25">
      <c r="L2006" s="5"/>
      <c r="M2006" s="5"/>
      <c r="N2006" s="5"/>
      <c r="O2006" s="5"/>
      <c r="P2006" s="5"/>
    </row>
    <row r="2007" spans="12:16" ht="15.75" customHeight="1" x14ac:dyDescent="0.25">
      <c r="L2007" s="5"/>
      <c r="M2007" s="5"/>
      <c r="N2007" s="5"/>
      <c r="O2007" s="5"/>
      <c r="P2007" s="5"/>
    </row>
    <row r="2008" spans="12:16" ht="15.75" customHeight="1" x14ac:dyDescent="0.25">
      <c r="L2008" s="5"/>
      <c r="M2008" s="5"/>
      <c r="N2008" s="5"/>
      <c r="O2008" s="5"/>
      <c r="P2008" s="5"/>
    </row>
    <row r="2009" spans="12:16" ht="15.75" customHeight="1" x14ac:dyDescent="0.25">
      <c r="L2009" s="5"/>
      <c r="M2009" s="5"/>
      <c r="N2009" s="5"/>
      <c r="O2009" s="5"/>
      <c r="P2009" s="5"/>
    </row>
    <row r="2010" spans="12:16" ht="15.75" customHeight="1" x14ac:dyDescent="0.25">
      <c r="L2010" s="5"/>
      <c r="M2010" s="5"/>
      <c r="N2010" s="5"/>
      <c r="O2010" s="5"/>
      <c r="P2010" s="5"/>
    </row>
    <row r="2011" spans="12:16" ht="15.75" customHeight="1" x14ac:dyDescent="0.25">
      <c r="L2011" s="5"/>
      <c r="M2011" s="5"/>
      <c r="N2011" s="5"/>
      <c r="O2011" s="5"/>
      <c r="P2011" s="5"/>
    </row>
    <row r="2012" spans="12:16" ht="15.75" customHeight="1" x14ac:dyDescent="0.25">
      <c r="L2012" s="5"/>
      <c r="M2012" s="5"/>
      <c r="N2012" s="5"/>
      <c r="O2012" s="5"/>
      <c r="P2012" s="5"/>
    </row>
    <row r="2013" spans="12:16" ht="15.75" customHeight="1" x14ac:dyDescent="0.25">
      <c r="L2013" s="5"/>
      <c r="M2013" s="5"/>
      <c r="N2013" s="5"/>
      <c r="O2013" s="5"/>
      <c r="P2013" s="5"/>
    </row>
    <row r="2014" spans="12:16" ht="15.75" customHeight="1" x14ac:dyDescent="0.25">
      <c r="L2014" s="5"/>
      <c r="M2014" s="5"/>
      <c r="N2014" s="5"/>
      <c r="O2014" s="5"/>
      <c r="P2014" s="5"/>
    </row>
    <row r="2015" spans="12:16" ht="15.75" customHeight="1" x14ac:dyDescent="0.25">
      <c r="L2015" s="5"/>
      <c r="M2015" s="5"/>
      <c r="N2015" s="5"/>
      <c r="O2015" s="5"/>
      <c r="P2015" s="5"/>
    </row>
    <row r="2016" spans="12:16" ht="15.75" customHeight="1" x14ac:dyDescent="0.25">
      <c r="L2016" s="5"/>
      <c r="M2016" s="5"/>
      <c r="N2016" s="5"/>
      <c r="O2016" s="5"/>
      <c r="P2016" s="5"/>
    </row>
    <row r="2017" spans="12:16" ht="15.75" customHeight="1" x14ac:dyDescent="0.25">
      <c r="L2017" s="5"/>
      <c r="M2017" s="5"/>
      <c r="N2017" s="5"/>
      <c r="O2017" s="5"/>
      <c r="P2017" s="5"/>
    </row>
    <row r="2018" spans="12:16" ht="15.75" customHeight="1" x14ac:dyDescent="0.25">
      <c r="L2018" s="5"/>
      <c r="M2018" s="5"/>
      <c r="N2018" s="5"/>
      <c r="O2018" s="5"/>
      <c r="P2018" s="5"/>
    </row>
    <row r="2019" spans="12:16" ht="15.75" customHeight="1" x14ac:dyDescent="0.25">
      <c r="L2019" s="5"/>
      <c r="M2019" s="5"/>
      <c r="N2019" s="5"/>
      <c r="O2019" s="5"/>
      <c r="P2019" s="5"/>
    </row>
    <row r="2020" spans="12:16" ht="15.75" customHeight="1" x14ac:dyDescent="0.25">
      <c r="L2020" s="5"/>
      <c r="M2020" s="5"/>
      <c r="N2020" s="5"/>
      <c r="O2020" s="5"/>
      <c r="P2020" s="5"/>
    </row>
    <row r="2021" spans="12:16" ht="15.75" customHeight="1" x14ac:dyDescent="0.25">
      <c r="L2021" s="5"/>
      <c r="M2021" s="5"/>
      <c r="N2021" s="5"/>
      <c r="O2021" s="5"/>
      <c r="P2021" s="5"/>
    </row>
    <row r="2022" spans="12:16" ht="15.75" customHeight="1" x14ac:dyDescent="0.25">
      <c r="L2022" s="5"/>
      <c r="M2022" s="5"/>
      <c r="N2022" s="5"/>
      <c r="O2022" s="5"/>
      <c r="P2022" s="5"/>
    </row>
    <row r="2023" spans="12:16" ht="15.75" customHeight="1" x14ac:dyDescent="0.25">
      <c r="L2023" s="5"/>
      <c r="M2023" s="5"/>
      <c r="N2023" s="5"/>
      <c r="O2023" s="5"/>
      <c r="P2023" s="5"/>
    </row>
    <row r="2024" spans="12:16" ht="15.75" customHeight="1" x14ac:dyDescent="0.25">
      <c r="L2024" s="5"/>
      <c r="M2024" s="5"/>
      <c r="N2024" s="5"/>
      <c r="O2024" s="5"/>
      <c r="P2024" s="5"/>
    </row>
    <row r="2025" spans="12:16" ht="15.75" customHeight="1" x14ac:dyDescent="0.25">
      <c r="L2025" s="5"/>
      <c r="M2025" s="5"/>
      <c r="N2025" s="5"/>
      <c r="O2025" s="5"/>
      <c r="P2025" s="5"/>
    </row>
    <row r="2026" spans="12:16" ht="15.75" customHeight="1" x14ac:dyDescent="0.25">
      <c r="L2026" s="5"/>
      <c r="M2026" s="5"/>
      <c r="N2026" s="5"/>
      <c r="O2026" s="5"/>
      <c r="P2026" s="5"/>
    </row>
    <row r="2027" spans="12:16" ht="15.75" customHeight="1" x14ac:dyDescent="0.25">
      <c r="L2027" s="5"/>
      <c r="M2027" s="5"/>
      <c r="N2027" s="5"/>
      <c r="O2027" s="5"/>
      <c r="P2027" s="5"/>
    </row>
    <row r="2028" spans="12:16" ht="15.75" customHeight="1" x14ac:dyDescent="0.25">
      <c r="L2028" s="5"/>
      <c r="M2028" s="5"/>
      <c r="N2028" s="5"/>
      <c r="O2028" s="5"/>
      <c r="P2028" s="5"/>
    </row>
    <row r="2029" spans="12:16" ht="15.75" customHeight="1" x14ac:dyDescent="0.25">
      <c r="L2029" s="5"/>
      <c r="M2029" s="5"/>
      <c r="N2029" s="5"/>
      <c r="O2029" s="5"/>
      <c r="P2029" s="5"/>
    </row>
    <row r="2030" spans="12:16" ht="15.75" customHeight="1" x14ac:dyDescent="0.25">
      <c r="L2030" s="5"/>
      <c r="M2030" s="5"/>
      <c r="N2030" s="5"/>
      <c r="O2030" s="5"/>
      <c r="P2030" s="5"/>
    </row>
    <row r="2031" spans="12:16" ht="15.75" customHeight="1" x14ac:dyDescent="0.25">
      <c r="L2031" s="5"/>
      <c r="M2031" s="5"/>
      <c r="N2031" s="5"/>
      <c r="O2031" s="5"/>
      <c r="P2031" s="5"/>
    </row>
    <row r="2032" spans="12:16" ht="15.75" customHeight="1" x14ac:dyDescent="0.25">
      <c r="L2032" s="5"/>
      <c r="M2032" s="5"/>
      <c r="N2032" s="5"/>
      <c r="O2032" s="5"/>
      <c r="P2032" s="5"/>
    </row>
    <row r="2033" spans="12:16" ht="15.75" customHeight="1" x14ac:dyDescent="0.25">
      <c r="L2033" s="5"/>
      <c r="M2033" s="5"/>
      <c r="N2033" s="5"/>
      <c r="O2033" s="5"/>
      <c r="P2033" s="5"/>
    </row>
    <row r="2034" spans="12:16" ht="15.75" customHeight="1" x14ac:dyDescent="0.25">
      <c r="L2034" s="5"/>
      <c r="M2034" s="5"/>
      <c r="N2034" s="5"/>
      <c r="O2034" s="5"/>
      <c r="P2034" s="5"/>
    </row>
    <row r="2035" spans="12:16" ht="15.75" customHeight="1" x14ac:dyDescent="0.25">
      <c r="L2035" s="5"/>
      <c r="M2035" s="5"/>
      <c r="N2035" s="5"/>
      <c r="O2035" s="5"/>
      <c r="P2035" s="5"/>
    </row>
    <row r="2036" spans="12:16" ht="15.75" customHeight="1" x14ac:dyDescent="0.25">
      <c r="L2036" s="5"/>
      <c r="M2036" s="5"/>
      <c r="N2036" s="5"/>
      <c r="O2036" s="5"/>
      <c r="P2036" s="5"/>
    </row>
    <row r="2037" spans="12:16" ht="15.75" customHeight="1" x14ac:dyDescent="0.25">
      <c r="L2037" s="5"/>
      <c r="M2037" s="5"/>
      <c r="N2037" s="5"/>
      <c r="O2037" s="5"/>
      <c r="P2037" s="5"/>
    </row>
    <row r="2038" spans="12:16" ht="15.75" customHeight="1" x14ac:dyDescent="0.25">
      <c r="L2038" s="5"/>
      <c r="M2038" s="5"/>
      <c r="N2038" s="5"/>
      <c r="O2038" s="5"/>
      <c r="P2038" s="5"/>
    </row>
    <row r="2039" spans="12:16" ht="15.75" customHeight="1" x14ac:dyDescent="0.25">
      <c r="L2039" s="5"/>
      <c r="M2039" s="5"/>
      <c r="N2039" s="5"/>
      <c r="O2039" s="5"/>
      <c r="P2039" s="5"/>
    </row>
    <row r="2040" spans="12:16" ht="15.75" customHeight="1" x14ac:dyDescent="0.25">
      <c r="L2040" s="5"/>
      <c r="M2040" s="5"/>
      <c r="N2040" s="5"/>
      <c r="O2040" s="5"/>
      <c r="P2040" s="5"/>
    </row>
    <row r="2041" spans="12:16" ht="15.75" customHeight="1" x14ac:dyDescent="0.25">
      <c r="L2041" s="5"/>
      <c r="M2041" s="5"/>
      <c r="N2041" s="5"/>
      <c r="O2041" s="5"/>
      <c r="P2041" s="5"/>
    </row>
    <row r="2042" spans="12:16" ht="15.75" customHeight="1" x14ac:dyDescent="0.25">
      <c r="L2042" s="5"/>
      <c r="M2042" s="5"/>
      <c r="N2042" s="5"/>
      <c r="O2042" s="5"/>
      <c r="P2042" s="5"/>
    </row>
    <row r="2043" spans="12:16" ht="15.75" customHeight="1" x14ac:dyDescent="0.25">
      <c r="L2043" s="5"/>
      <c r="M2043" s="5"/>
      <c r="N2043" s="5"/>
      <c r="O2043" s="5"/>
      <c r="P2043" s="5"/>
    </row>
    <row r="2044" spans="12:16" ht="15.75" customHeight="1" x14ac:dyDescent="0.25">
      <c r="L2044" s="5"/>
      <c r="M2044" s="5"/>
      <c r="N2044" s="5"/>
      <c r="O2044" s="5"/>
      <c r="P2044" s="5"/>
    </row>
    <row r="2045" spans="12:16" ht="15.75" customHeight="1" x14ac:dyDescent="0.25">
      <c r="L2045" s="5"/>
      <c r="M2045" s="5"/>
      <c r="N2045" s="5"/>
      <c r="O2045" s="5"/>
      <c r="P2045" s="5"/>
    </row>
    <row r="2046" spans="12:16" ht="15.75" customHeight="1" x14ac:dyDescent="0.25">
      <c r="L2046" s="5"/>
      <c r="M2046" s="5"/>
      <c r="N2046" s="5"/>
      <c r="O2046" s="5"/>
      <c r="P2046" s="5"/>
    </row>
    <row r="2047" spans="12:16" ht="15.75" customHeight="1" x14ac:dyDescent="0.25">
      <c r="L2047" s="5"/>
      <c r="M2047" s="5"/>
      <c r="N2047" s="5"/>
      <c r="O2047" s="5"/>
      <c r="P2047" s="5"/>
    </row>
    <row r="2048" spans="12:16" ht="15.75" customHeight="1" x14ac:dyDescent="0.25">
      <c r="L2048" s="5"/>
      <c r="M2048" s="5"/>
      <c r="N2048" s="5"/>
      <c r="O2048" s="5"/>
      <c r="P2048" s="5"/>
    </row>
    <row r="2049" spans="12:16" ht="15.75" customHeight="1" x14ac:dyDescent="0.25">
      <c r="L2049" s="5"/>
      <c r="M2049" s="5"/>
      <c r="N2049" s="5"/>
      <c r="O2049" s="5"/>
      <c r="P2049" s="5"/>
    </row>
    <row r="2050" spans="12:16" ht="15.75" customHeight="1" x14ac:dyDescent="0.25">
      <c r="L2050" s="5"/>
      <c r="M2050" s="5"/>
      <c r="N2050" s="5"/>
      <c r="O2050" s="5"/>
      <c r="P2050" s="5"/>
    </row>
    <row r="2051" spans="12:16" ht="15.75" customHeight="1" x14ac:dyDescent="0.25">
      <c r="L2051" s="5"/>
      <c r="M2051" s="5"/>
      <c r="N2051" s="5"/>
      <c r="O2051" s="5"/>
      <c r="P2051" s="5"/>
    </row>
    <row r="2052" spans="12:16" ht="15.75" customHeight="1" x14ac:dyDescent="0.25">
      <c r="L2052" s="5"/>
      <c r="M2052" s="5"/>
      <c r="N2052" s="5"/>
      <c r="O2052" s="5"/>
      <c r="P2052" s="5"/>
    </row>
    <row r="2053" spans="12:16" ht="15.75" customHeight="1" x14ac:dyDescent="0.25">
      <c r="L2053" s="5"/>
      <c r="M2053" s="5"/>
      <c r="N2053" s="5"/>
      <c r="O2053" s="5"/>
      <c r="P2053" s="5"/>
    </row>
    <row r="2054" spans="12:16" ht="15.75" customHeight="1" x14ac:dyDescent="0.25">
      <c r="L2054" s="5"/>
      <c r="M2054" s="5"/>
      <c r="N2054" s="5"/>
      <c r="O2054" s="5"/>
      <c r="P2054" s="5"/>
    </row>
    <row r="2055" spans="12:16" ht="15.75" customHeight="1" x14ac:dyDescent="0.25">
      <c r="L2055" s="5"/>
      <c r="M2055" s="5"/>
      <c r="N2055" s="5"/>
      <c r="O2055" s="5"/>
      <c r="P2055" s="5"/>
    </row>
    <row r="2056" spans="12:16" ht="15.75" customHeight="1" x14ac:dyDescent="0.25">
      <c r="L2056" s="5"/>
      <c r="M2056" s="5"/>
      <c r="N2056" s="5"/>
      <c r="O2056" s="5"/>
      <c r="P2056" s="5"/>
    </row>
    <row r="2057" spans="12:16" ht="15.75" customHeight="1" x14ac:dyDescent="0.25">
      <c r="L2057" s="5"/>
      <c r="M2057" s="5"/>
      <c r="N2057" s="5"/>
      <c r="O2057" s="5"/>
      <c r="P2057" s="5"/>
    </row>
    <row r="2058" spans="12:16" ht="15.75" customHeight="1" x14ac:dyDescent="0.25">
      <c r="L2058" s="5"/>
      <c r="M2058" s="5"/>
      <c r="N2058" s="5"/>
      <c r="O2058" s="5"/>
      <c r="P2058" s="5"/>
    </row>
    <row r="2059" spans="12:16" ht="15.75" customHeight="1" x14ac:dyDescent="0.25">
      <c r="L2059" s="5"/>
      <c r="M2059" s="5"/>
      <c r="N2059" s="5"/>
      <c r="O2059" s="5"/>
      <c r="P2059" s="5"/>
    </row>
    <row r="2060" spans="12:16" ht="15.75" customHeight="1" x14ac:dyDescent="0.25">
      <c r="L2060" s="5"/>
      <c r="M2060" s="5"/>
      <c r="N2060" s="5"/>
      <c r="O2060" s="5"/>
      <c r="P2060" s="5"/>
    </row>
    <row r="2061" spans="12:16" ht="15.75" customHeight="1" x14ac:dyDescent="0.25">
      <c r="L2061" s="5"/>
      <c r="M2061" s="5"/>
      <c r="N2061" s="5"/>
      <c r="O2061" s="5"/>
      <c r="P2061" s="5"/>
    </row>
    <row r="2062" spans="12:16" ht="15.75" customHeight="1" x14ac:dyDescent="0.25">
      <c r="L2062" s="5"/>
      <c r="M2062" s="5"/>
      <c r="N2062" s="5"/>
      <c r="O2062" s="5"/>
      <c r="P2062" s="5"/>
    </row>
    <row r="2063" spans="12:16" ht="15.75" customHeight="1" x14ac:dyDescent="0.25">
      <c r="L2063" s="5"/>
      <c r="M2063" s="5"/>
      <c r="N2063" s="5"/>
      <c r="O2063" s="5"/>
      <c r="P2063" s="5"/>
    </row>
    <row r="2064" spans="12:16" ht="15.75" customHeight="1" x14ac:dyDescent="0.25">
      <c r="L2064" s="5"/>
      <c r="M2064" s="5"/>
      <c r="N2064" s="5"/>
      <c r="O2064" s="5"/>
      <c r="P2064" s="5"/>
    </row>
    <row r="2065" spans="12:16" ht="15.75" customHeight="1" x14ac:dyDescent="0.25">
      <c r="L2065" s="5"/>
      <c r="M2065" s="5"/>
      <c r="N2065" s="5"/>
      <c r="O2065" s="5"/>
      <c r="P2065" s="5"/>
    </row>
    <row r="2066" spans="12:16" ht="15.75" customHeight="1" x14ac:dyDescent="0.25">
      <c r="L2066" s="5"/>
      <c r="M2066" s="5"/>
      <c r="N2066" s="5"/>
      <c r="O2066" s="5"/>
      <c r="P2066" s="5"/>
    </row>
    <row r="2067" spans="12:16" ht="15.75" customHeight="1" x14ac:dyDescent="0.25">
      <c r="L2067" s="5"/>
      <c r="M2067" s="5"/>
      <c r="N2067" s="5"/>
      <c r="O2067" s="5"/>
      <c r="P2067" s="5"/>
    </row>
    <row r="2068" spans="12:16" ht="15.75" customHeight="1" x14ac:dyDescent="0.25">
      <c r="L2068" s="5"/>
      <c r="M2068" s="5"/>
      <c r="N2068" s="5"/>
      <c r="O2068" s="5"/>
      <c r="P2068" s="5"/>
    </row>
    <row r="2069" spans="12:16" ht="15.75" customHeight="1" x14ac:dyDescent="0.25">
      <c r="L2069" s="5"/>
      <c r="M2069" s="5"/>
      <c r="N2069" s="5"/>
      <c r="O2069" s="5"/>
      <c r="P2069" s="5"/>
    </row>
    <row r="2070" spans="12:16" ht="15.75" customHeight="1" x14ac:dyDescent="0.25">
      <c r="L2070" s="5"/>
      <c r="M2070" s="5"/>
      <c r="N2070" s="5"/>
      <c r="O2070" s="5"/>
      <c r="P2070" s="5"/>
    </row>
    <row r="2071" spans="12:16" ht="15.75" customHeight="1" x14ac:dyDescent="0.25">
      <c r="L2071" s="5"/>
      <c r="M2071" s="5"/>
      <c r="N2071" s="5"/>
      <c r="O2071" s="5"/>
      <c r="P2071" s="5"/>
    </row>
    <row r="2072" spans="12:16" ht="15.75" customHeight="1" x14ac:dyDescent="0.25">
      <c r="L2072" s="5"/>
      <c r="M2072" s="5"/>
      <c r="N2072" s="5"/>
      <c r="O2072" s="5"/>
      <c r="P2072" s="5"/>
    </row>
    <row r="2073" spans="12:16" ht="15.75" customHeight="1" x14ac:dyDescent="0.25">
      <c r="L2073" s="5"/>
      <c r="M2073" s="5"/>
      <c r="N2073" s="5"/>
      <c r="O2073" s="5"/>
      <c r="P2073" s="5"/>
    </row>
    <row r="2074" spans="12:16" ht="15.75" customHeight="1" x14ac:dyDescent="0.25">
      <c r="L2074" s="5"/>
      <c r="M2074" s="5"/>
      <c r="N2074" s="5"/>
      <c r="O2074" s="5"/>
      <c r="P2074" s="5"/>
    </row>
    <row r="2075" spans="12:16" ht="15.75" customHeight="1" x14ac:dyDescent="0.25">
      <c r="L2075" s="5"/>
      <c r="M2075" s="5"/>
      <c r="N2075" s="5"/>
      <c r="O2075" s="5"/>
      <c r="P2075" s="5"/>
    </row>
    <row r="2076" spans="12:16" ht="15.75" customHeight="1" x14ac:dyDescent="0.25">
      <c r="L2076" s="5"/>
      <c r="M2076" s="5"/>
      <c r="N2076" s="5"/>
      <c r="O2076" s="5"/>
      <c r="P2076" s="5"/>
    </row>
    <row r="2077" spans="12:16" ht="15.75" customHeight="1" x14ac:dyDescent="0.25">
      <c r="L2077" s="5"/>
      <c r="M2077" s="5"/>
      <c r="N2077" s="5"/>
      <c r="O2077" s="5"/>
      <c r="P2077" s="5"/>
    </row>
    <row r="2078" spans="12:16" ht="15.75" customHeight="1" x14ac:dyDescent="0.25">
      <c r="L2078" s="5"/>
      <c r="M2078" s="5"/>
      <c r="N2078" s="5"/>
      <c r="O2078" s="5"/>
      <c r="P2078" s="5"/>
    </row>
    <row r="2079" spans="12:16" ht="15.75" customHeight="1" x14ac:dyDescent="0.25">
      <c r="L2079" s="5"/>
      <c r="M2079" s="5"/>
      <c r="N2079" s="5"/>
      <c r="O2079" s="5"/>
      <c r="P2079" s="5"/>
    </row>
    <row r="2080" spans="12:16" ht="15.75" customHeight="1" x14ac:dyDescent="0.25">
      <c r="L2080" s="5"/>
      <c r="M2080" s="5"/>
      <c r="N2080" s="5"/>
      <c r="O2080" s="5"/>
      <c r="P2080" s="5"/>
    </row>
    <row r="2081" spans="12:16" ht="15.75" customHeight="1" x14ac:dyDescent="0.25">
      <c r="L2081" s="5"/>
      <c r="M2081" s="5"/>
      <c r="N2081" s="5"/>
      <c r="O2081" s="5"/>
      <c r="P2081" s="5"/>
    </row>
    <row r="2082" spans="12:16" ht="15.75" customHeight="1" x14ac:dyDescent="0.25">
      <c r="L2082" s="5"/>
      <c r="M2082" s="5"/>
      <c r="N2082" s="5"/>
      <c r="O2082" s="5"/>
      <c r="P2082" s="5"/>
    </row>
    <row r="2083" spans="12:16" ht="15.75" customHeight="1" x14ac:dyDescent="0.25">
      <c r="L2083" s="5"/>
      <c r="M2083" s="5"/>
      <c r="N2083" s="5"/>
      <c r="O2083" s="5"/>
      <c r="P2083" s="5"/>
    </row>
    <row r="2084" spans="12:16" ht="15.75" customHeight="1" x14ac:dyDescent="0.25">
      <c r="L2084" s="5"/>
      <c r="M2084" s="5"/>
      <c r="N2084" s="5"/>
      <c r="O2084" s="5"/>
      <c r="P2084" s="5"/>
    </row>
    <row r="2085" spans="12:16" ht="15.75" customHeight="1" x14ac:dyDescent="0.25">
      <c r="L2085" s="5"/>
      <c r="M2085" s="5"/>
      <c r="N2085" s="5"/>
      <c r="O2085" s="5"/>
      <c r="P2085" s="5"/>
    </row>
    <row r="2086" spans="12:16" ht="15.75" customHeight="1" x14ac:dyDescent="0.25">
      <c r="L2086" s="5"/>
      <c r="M2086" s="5"/>
      <c r="N2086" s="5"/>
      <c r="O2086" s="5"/>
      <c r="P2086" s="5"/>
    </row>
    <row r="2087" spans="12:16" ht="15.75" customHeight="1" x14ac:dyDescent="0.25">
      <c r="L2087" s="5"/>
      <c r="M2087" s="5"/>
      <c r="N2087" s="5"/>
      <c r="O2087" s="5"/>
      <c r="P2087" s="5"/>
    </row>
    <row r="2088" spans="12:16" ht="15.75" customHeight="1" x14ac:dyDescent="0.25">
      <c r="L2088" s="5"/>
      <c r="M2088" s="5"/>
      <c r="N2088" s="5"/>
      <c r="O2088" s="5"/>
      <c r="P2088" s="5"/>
    </row>
    <row r="2089" spans="12:16" ht="15.75" customHeight="1" x14ac:dyDescent="0.25">
      <c r="L2089" s="5"/>
      <c r="M2089" s="5"/>
      <c r="N2089" s="5"/>
      <c r="O2089" s="5"/>
      <c r="P2089" s="5"/>
    </row>
    <row r="2090" spans="12:16" ht="15.75" customHeight="1" x14ac:dyDescent="0.25">
      <c r="L2090" s="5"/>
      <c r="M2090" s="5"/>
      <c r="N2090" s="5"/>
      <c r="O2090" s="5"/>
      <c r="P2090" s="5"/>
    </row>
    <row r="2091" spans="12:16" ht="15.75" customHeight="1" x14ac:dyDescent="0.25">
      <c r="L2091" s="5"/>
      <c r="M2091" s="5"/>
      <c r="N2091" s="5"/>
      <c r="O2091" s="5"/>
      <c r="P2091" s="5"/>
    </row>
    <row r="2092" spans="12:16" ht="15.75" customHeight="1" x14ac:dyDescent="0.25">
      <c r="L2092" s="5"/>
      <c r="M2092" s="5"/>
      <c r="N2092" s="5"/>
      <c r="O2092" s="5"/>
      <c r="P2092" s="5"/>
    </row>
    <row r="2093" spans="12:16" ht="15.75" customHeight="1" x14ac:dyDescent="0.25">
      <c r="L2093" s="5"/>
      <c r="M2093" s="5"/>
      <c r="N2093" s="5"/>
      <c r="O2093" s="5"/>
      <c r="P2093" s="5"/>
    </row>
    <row r="2094" spans="12:16" ht="15.75" customHeight="1" x14ac:dyDescent="0.25">
      <c r="L2094" s="5"/>
      <c r="M2094" s="5"/>
      <c r="N2094" s="5"/>
      <c r="O2094" s="5"/>
      <c r="P2094" s="5"/>
    </row>
    <row r="2095" spans="12:16" ht="15.75" customHeight="1" x14ac:dyDescent="0.25">
      <c r="L2095" s="5"/>
      <c r="M2095" s="5"/>
      <c r="N2095" s="5"/>
      <c r="O2095" s="5"/>
      <c r="P2095" s="5"/>
    </row>
    <row r="2096" spans="12:16" ht="15.75" customHeight="1" x14ac:dyDescent="0.25">
      <c r="L2096" s="5"/>
      <c r="M2096" s="5"/>
      <c r="N2096" s="5"/>
      <c r="O2096" s="5"/>
      <c r="P2096" s="5"/>
    </row>
    <row r="2097" spans="12:16" ht="15.75" customHeight="1" x14ac:dyDescent="0.25">
      <c r="L2097" s="5"/>
      <c r="M2097" s="5"/>
      <c r="N2097" s="5"/>
      <c r="O2097" s="5"/>
      <c r="P2097" s="5"/>
    </row>
    <row r="2098" spans="12:16" ht="15.75" customHeight="1" x14ac:dyDescent="0.25">
      <c r="L2098" s="5"/>
      <c r="M2098" s="5"/>
      <c r="N2098" s="5"/>
      <c r="O2098" s="5"/>
      <c r="P2098" s="5"/>
    </row>
    <row r="2099" spans="12:16" ht="15.75" customHeight="1" x14ac:dyDescent="0.25">
      <c r="L2099" s="5"/>
      <c r="M2099" s="5"/>
      <c r="N2099" s="5"/>
      <c r="O2099" s="5"/>
      <c r="P2099" s="5"/>
    </row>
    <row r="2100" spans="12:16" ht="15.75" customHeight="1" x14ac:dyDescent="0.25">
      <c r="L2100" s="5"/>
      <c r="M2100" s="5"/>
      <c r="N2100" s="5"/>
      <c r="O2100" s="5"/>
      <c r="P2100" s="5"/>
    </row>
    <row r="2101" spans="12:16" ht="15.75" customHeight="1" x14ac:dyDescent="0.25">
      <c r="L2101" s="5"/>
      <c r="M2101" s="5"/>
      <c r="N2101" s="5"/>
      <c r="O2101" s="5"/>
      <c r="P2101" s="5"/>
    </row>
    <row r="2102" spans="12:16" ht="15.75" customHeight="1" x14ac:dyDescent="0.25">
      <c r="L2102" s="5"/>
      <c r="M2102" s="5"/>
      <c r="N2102" s="5"/>
      <c r="O2102" s="5"/>
      <c r="P2102" s="5"/>
    </row>
    <row r="2103" spans="12:16" ht="15.75" customHeight="1" x14ac:dyDescent="0.25">
      <c r="L2103" s="5"/>
      <c r="M2103" s="5"/>
      <c r="N2103" s="5"/>
      <c r="O2103" s="5"/>
      <c r="P2103" s="5"/>
    </row>
    <row r="2104" spans="12:16" ht="15.75" customHeight="1" x14ac:dyDescent="0.25">
      <c r="L2104" s="5"/>
      <c r="M2104" s="5"/>
      <c r="N2104" s="5"/>
      <c r="O2104" s="5"/>
      <c r="P2104" s="5"/>
    </row>
    <row r="2105" spans="12:16" ht="15.75" customHeight="1" x14ac:dyDescent="0.25">
      <c r="L2105" s="5"/>
      <c r="M2105" s="5"/>
      <c r="N2105" s="5"/>
      <c r="O2105" s="5"/>
      <c r="P2105" s="5"/>
    </row>
    <row r="2106" spans="12:16" ht="15.75" customHeight="1" x14ac:dyDescent="0.25">
      <c r="L2106" s="5"/>
      <c r="M2106" s="5"/>
      <c r="N2106" s="5"/>
      <c r="O2106" s="5"/>
      <c r="P2106" s="5"/>
    </row>
    <row r="2107" spans="12:16" ht="15.75" customHeight="1" x14ac:dyDescent="0.25">
      <c r="L2107" s="5"/>
      <c r="M2107" s="5"/>
      <c r="N2107" s="5"/>
      <c r="O2107" s="5"/>
      <c r="P2107" s="5"/>
    </row>
    <row r="2108" spans="12:16" ht="15.75" customHeight="1" x14ac:dyDescent="0.25">
      <c r="L2108" s="5"/>
      <c r="M2108" s="5"/>
      <c r="N2108" s="5"/>
      <c r="O2108" s="5"/>
      <c r="P2108" s="5"/>
    </row>
    <row r="2109" spans="12:16" ht="15.75" customHeight="1" x14ac:dyDescent="0.25">
      <c r="L2109" s="5"/>
      <c r="M2109" s="5"/>
      <c r="N2109" s="5"/>
      <c r="O2109" s="5"/>
      <c r="P2109" s="5"/>
    </row>
    <row r="2110" spans="12:16" ht="15.75" customHeight="1" x14ac:dyDescent="0.25">
      <c r="L2110" s="5"/>
      <c r="M2110" s="5"/>
      <c r="N2110" s="5"/>
      <c r="O2110" s="5"/>
      <c r="P2110" s="5"/>
    </row>
    <row r="2111" spans="12:16" ht="15.75" customHeight="1" x14ac:dyDescent="0.25">
      <c r="L2111" s="5"/>
      <c r="M2111" s="5"/>
      <c r="N2111" s="5"/>
      <c r="O2111" s="5"/>
      <c r="P2111" s="5"/>
    </row>
    <row r="2112" spans="12:16" ht="15.75" customHeight="1" x14ac:dyDescent="0.25">
      <c r="L2112" s="5"/>
      <c r="M2112" s="5"/>
      <c r="N2112" s="5"/>
      <c r="O2112" s="5"/>
      <c r="P2112" s="5"/>
    </row>
    <row r="2113" spans="12:16" ht="15.75" customHeight="1" x14ac:dyDescent="0.25">
      <c r="L2113" s="5"/>
      <c r="M2113" s="5"/>
      <c r="N2113" s="5"/>
      <c r="O2113" s="5"/>
      <c r="P2113" s="5"/>
    </row>
    <row r="2114" spans="12:16" ht="15.75" customHeight="1" x14ac:dyDescent="0.25">
      <c r="L2114" s="5"/>
      <c r="M2114" s="5"/>
      <c r="N2114" s="5"/>
      <c r="O2114" s="5"/>
      <c r="P2114" s="5"/>
    </row>
    <row r="2115" spans="12:16" ht="15.75" customHeight="1" x14ac:dyDescent="0.25">
      <c r="L2115" s="5"/>
      <c r="M2115" s="5"/>
      <c r="N2115" s="5"/>
      <c r="O2115" s="5"/>
      <c r="P2115" s="5"/>
    </row>
    <row r="2116" spans="12:16" ht="15.75" customHeight="1" x14ac:dyDescent="0.25">
      <c r="L2116" s="5"/>
      <c r="M2116" s="5"/>
      <c r="N2116" s="5"/>
      <c r="O2116" s="5"/>
      <c r="P2116" s="5"/>
    </row>
    <row r="2117" spans="12:16" ht="15.75" customHeight="1" x14ac:dyDescent="0.25">
      <c r="L2117" s="5"/>
      <c r="M2117" s="5"/>
      <c r="N2117" s="5"/>
      <c r="O2117" s="5"/>
      <c r="P2117" s="5"/>
    </row>
    <row r="2118" spans="12:16" ht="15.75" customHeight="1" x14ac:dyDescent="0.25">
      <c r="L2118" s="5"/>
      <c r="M2118" s="5"/>
      <c r="N2118" s="5"/>
      <c r="O2118" s="5"/>
      <c r="P2118" s="5"/>
    </row>
    <row r="2119" spans="12:16" ht="15.75" customHeight="1" x14ac:dyDescent="0.25">
      <c r="L2119" s="5"/>
      <c r="M2119" s="5"/>
      <c r="N2119" s="5"/>
      <c r="O2119" s="5"/>
      <c r="P2119" s="5"/>
    </row>
    <row r="2120" spans="12:16" ht="15.75" customHeight="1" x14ac:dyDescent="0.25">
      <c r="L2120" s="5"/>
      <c r="M2120" s="5"/>
      <c r="N2120" s="5"/>
      <c r="O2120" s="5"/>
      <c r="P2120" s="5"/>
    </row>
    <row r="2121" spans="12:16" ht="15.75" customHeight="1" x14ac:dyDescent="0.25">
      <c r="L2121" s="5"/>
      <c r="M2121" s="5"/>
      <c r="N2121" s="5"/>
      <c r="O2121" s="5"/>
      <c r="P2121" s="5"/>
    </row>
    <row r="2122" spans="12:16" ht="15.75" customHeight="1" x14ac:dyDescent="0.25">
      <c r="L2122" s="5"/>
      <c r="M2122" s="5"/>
      <c r="N2122" s="5"/>
      <c r="O2122" s="5"/>
      <c r="P2122" s="5"/>
    </row>
    <row r="2123" spans="12:16" ht="15.75" customHeight="1" x14ac:dyDescent="0.25">
      <c r="L2123" s="5"/>
      <c r="M2123" s="5"/>
      <c r="N2123" s="5"/>
      <c r="O2123" s="5"/>
      <c r="P2123" s="5"/>
    </row>
    <row r="2124" spans="12:16" ht="15.75" customHeight="1" x14ac:dyDescent="0.25">
      <c r="L2124" s="5"/>
      <c r="M2124" s="5"/>
      <c r="N2124" s="5"/>
      <c r="O2124" s="5"/>
      <c r="P2124" s="5"/>
    </row>
    <row r="2125" spans="12:16" ht="15.75" customHeight="1" x14ac:dyDescent="0.25">
      <c r="L2125" s="5"/>
      <c r="M2125" s="5"/>
      <c r="N2125" s="5"/>
      <c r="O2125" s="5"/>
      <c r="P2125" s="5"/>
    </row>
    <row r="2126" spans="12:16" ht="15.75" customHeight="1" x14ac:dyDescent="0.25">
      <c r="L2126" s="5"/>
      <c r="M2126" s="5"/>
      <c r="N2126" s="5"/>
      <c r="O2126" s="5"/>
      <c r="P2126" s="5"/>
    </row>
    <row r="2127" spans="12:16" ht="15.75" customHeight="1" x14ac:dyDescent="0.25">
      <c r="L2127" s="5"/>
      <c r="M2127" s="5"/>
      <c r="N2127" s="5"/>
      <c r="O2127" s="5"/>
      <c r="P2127" s="5"/>
    </row>
    <row r="2128" spans="12:16" ht="15.75" customHeight="1" x14ac:dyDescent="0.25">
      <c r="L2128" s="5"/>
      <c r="M2128" s="5"/>
      <c r="N2128" s="5"/>
      <c r="O2128" s="5"/>
      <c r="P2128" s="5"/>
    </row>
    <row r="2129" spans="12:16" ht="15.75" customHeight="1" x14ac:dyDescent="0.25">
      <c r="L2129" s="5"/>
      <c r="M2129" s="5"/>
      <c r="N2129" s="5"/>
      <c r="O2129" s="5"/>
      <c r="P2129" s="5"/>
    </row>
    <row r="2130" spans="12:16" ht="15.75" customHeight="1" x14ac:dyDescent="0.25">
      <c r="L2130" s="5"/>
      <c r="M2130" s="5"/>
      <c r="N2130" s="5"/>
      <c r="O2130" s="5"/>
      <c r="P2130" s="5"/>
    </row>
    <row r="2131" spans="12:16" ht="15.75" customHeight="1" x14ac:dyDescent="0.25">
      <c r="L2131" s="5"/>
      <c r="M2131" s="5"/>
      <c r="N2131" s="5"/>
      <c r="O2131" s="5"/>
      <c r="P2131" s="5"/>
    </row>
    <row r="2132" spans="12:16" ht="15.75" customHeight="1" x14ac:dyDescent="0.25">
      <c r="L2132" s="5"/>
      <c r="M2132" s="5"/>
      <c r="N2132" s="5"/>
      <c r="O2132" s="5"/>
      <c r="P2132" s="5"/>
    </row>
    <row r="2133" spans="12:16" ht="15.75" customHeight="1" x14ac:dyDescent="0.25">
      <c r="L2133" s="5"/>
      <c r="M2133" s="5"/>
      <c r="N2133" s="5"/>
      <c r="O2133" s="5"/>
      <c r="P2133" s="5"/>
    </row>
    <row r="2134" spans="12:16" ht="15.75" customHeight="1" x14ac:dyDescent="0.25">
      <c r="L2134" s="5"/>
      <c r="M2134" s="5"/>
      <c r="N2134" s="5"/>
      <c r="O2134" s="5"/>
      <c r="P2134" s="5"/>
    </row>
    <row r="2135" spans="12:16" ht="15.75" customHeight="1" x14ac:dyDescent="0.25">
      <c r="L2135" s="5"/>
      <c r="M2135" s="5"/>
      <c r="N2135" s="5"/>
      <c r="O2135" s="5"/>
      <c r="P2135" s="5"/>
    </row>
    <row r="2136" spans="12:16" ht="15.75" customHeight="1" x14ac:dyDescent="0.25">
      <c r="L2136" s="5"/>
      <c r="M2136" s="5"/>
      <c r="N2136" s="5"/>
      <c r="O2136" s="5"/>
      <c r="P2136" s="5"/>
    </row>
    <row r="2137" spans="12:16" ht="15.75" customHeight="1" x14ac:dyDescent="0.25">
      <c r="L2137" s="5"/>
      <c r="M2137" s="5"/>
      <c r="N2137" s="5"/>
      <c r="O2137" s="5"/>
      <c r="P2137" s="5"/>
    </row>
    <row r="2138" spans="12:16" ht="15.75" customHeight="1" x14ac:dyDescent="0.25">
      <c r="L2138" s="5"/>
      <c r="M2138" s="5"/>
      <c r="N2138" s="5"/>
      <c r="O2138" s="5"/>
      <c r="P2138" s="5"/>
    </row>
    <row r="2139" spans="12:16" ht="15.75" customHeight="1" x14ac:dyDescent="0.25">
      <c r="L2139" s="5"/>
      <c r="M2139" s="5"/>
      <c r="N2139" s="5"/>
      <c r="O2139" s="5"/>
      <c r="P2139" s="5"/>
    </row>
    <row r="2140" spans="12:16" ht="15.75" customHeight="1" x14ac:dyDescent="0.25">
      <c r="L2140" s="5"/>
      <c r="M2140" s="5"/>
      <c r="N2140" s="5"/>
      <c r="O2140" s="5"/>
      <c r="P2140" s="5"/>
    </row>
    <row r="2141" spans="12:16" ht="15.75" customHeight="1" x14ac:dyDescent="0.25">
      <c r="L2141" s="5"/>
      <c r="M2141" s="5"/>
      <c r="N2141" s="5"/>
      <c r="O2141" s="5"/>
      <c r="P2141" s="5"/>
    </row>
    <row r="2142" spans="12:16" ht="15.75" customHeight="1" x14ac:dyDescent="0.25">
      <c r="L2142" s="5"/>
      <c r="M2142" s="5"/>
      <c r="N2142" s="5"/>
      <c r="O2142" s="5"/>
      <c r="P2142" s="5"/>
    </row>
    <row r="2143" spans="12:16" ht="15.75" customHeight="1" x14ac:dyDescent="0.25">
      <c r="L2143" s="5"/>
      <c r="M2143" s="5"/>
      <c r="N2143" s="5"/>
      <c r="O2143" s="5"/>
      <c r="P2143" s="5"/>
    </row>
    <row r="2144" spans="12:16" ht="15.75" customHeight="1" x14ac:dyDescent="0.25">
      <c r="L2144" s="5"/>
      <c r="M2144" s="5"/>
      <c r="N2144" s="5"/>
      <c r="O2144" s="5"/>
      <c r="P2144" s="5"/>
    </row>
    <row r="2145" spans="12:16" ht="15.75" customHeight="1" x14ac:dyDescent="0.25">
      <c r="L2145" s="5"/>
      <c r="M2145" s="5"/>
      <c r="N2145" s="5"/>
      <c r="O2145" s="5"/>
      <c r="P2145" s="5"/>
    </row>
    <row r="2146" spans="12:16" ht="15.75" customHeight="1" x14ac:dyDescent="0.25">
      <c r="L2146" s="5"/>
      <c r="M2146" s="5"/>
      <c r="N2146" s="5"/>
      <c r="O2146" s="5"/>
      <c r="P2146" s="5"/>
    </row>
    <row r="2147" spans="12:16" ht="15.75" customHeight="1" x14ac:dyDescent="0.25">
      <c r="L2147" s="5"/>
      <c r="M2147" s="5"/>
      <c r="N2147" s="5"/>
      <c r="O2147" s="5"/>
      <c r="P2147" s="5"/>
    </row>
    <row r="2148" spans="12:16" ht="15.75" customHeight="1" x14ac:dyDescent="0.25">
      <c r="L2148" s="5"/>
      <c r="M2148" s="5"/>
      <c r="N2148" s="5"/>
      <c r="O2148" s="5"/>
      <c r="P2148" s="5"/>
    </row>
    <row r="2149" spans="12:16" ht="15.75" customHeight="1" x14ac:dyDescent="0.25">
      <c r="L2149" s="5"/>
      <c r="M2149" s="5"/>
      <c r="N2149" s="5"/>
      <c r="O2149" s="5"/>
      <c r="P2149" s="5"/>
    </row>
    <row r="2150" spans="12:16" ht="15.75" customHeight="1" x14ac:dyDescent="0.25">
      <c r="L2150" s="5"/>
      <c r="M2150" s="5"/>
      <c r="N2150" s="5"/>
      <c r="O2150" s="5"/>
      <c r="P2150" s="5"/>
    </row>
    <row r="2151" spans="12:16" ht="15.75" customHeight="1" x14ac:dyDescent="0.25">
      <c r="L2151" s="5"/>
      <c r="M2151" s="5"/>
      <c r="N2151" s="5"/>
      <c r="O2151" s="5"/>
      <c r="P2151" s="5"/>
    </row>
    <row r="2152" spans="12:16" ht="15.75" customHeight="1" x14ac:dyDescent="0.25">
      <c r="L2152" s="5"/>
      <c r="M2152" s="5"/>
      <c r="N2152" s="5"/>
      <c r="O2152" s="5"/>
      <c r="P2152" s="5"/>
    </row>
    <row r="2153" spans="12:16" ht="15.75" customHeight="1" x14ac:dyDescent="0.25">
      <c r="L2153" s="5"/>
      <c r="M2153" s="5"/>
      <c r="N2153" s="5"/>
      <c r="O2153" s="5"/>
      <c r="P2153" s="5"/>
    </row>
    <row r="2154" spans="12:16" ht="15.75" customHeight="1" x14ac:dyDescent="0.25">
      <c r="L2154" s="5"/>
      <c r="M2154" s="5"/>
      <c r="N2154" s="5"/>
      <c r="O2154" s="5"/>
      <c r="P2154" s="5"/>
    </row>
    <row r="2155" spans="12:16" ht="15.75" customHeight="1" x14ac:dyDescent="0.25">
      <c r="L2155" s="5"/>
      <c r="M2155" s="5"/>
      <c r="N2155" s="5"/>
      <c r="O2155" s="5"/>
      <c r="P2155" s="5"/>
    </row>
    <row r="2156" spans="12:16" ht="15.75" customHeight="1" x14ac:dyDescent="0.25">
      <c r="L2156" s="5"/>
      <c r="M2156" s="5"/>
      <c r="N2156" s="5"/>
      <c r="O2156" s="5"/>
      <c r="P2156" s="5"/>
    </row>
    <row r="2157" spans="12:16" ht="15.75" customHeight="1" x14ac:dyDescent="0.25">
      <c r="L2157" s="5"/>
      <c r="M2157" s="5"/>
      <c r="N2157" s="5"/>
      <c r="O2157" s="5"/>
      <c r="P2157" s="5"/>
    </row>
    <row r="2158" spans="12:16" ht="15.75" customHeight="1" x14ac:dyDescent="0.25">
      <c r="L2158" s="5"/>
      <c r="M2158" s="5"/>
      <c r="N2158" s="5"/>
      <c r="O2158" s="5"/>
      <c r="P2158" s="5"/>
    </row>
    <row r="2159" spans="12:16" ht="15.75" customHeight="1" x14ac:dyDescent="0.25">
      <c r="L2159" s="5"/>
      <c r="M2159" s="5"/>
      <c r="N2159" s="5"/>
      <c r="O2159" s="5"/>
      <c r="P2159" s="5"/>
    </row>
    <row r="2160" spans="12:16" ht="15.75" customHeight="1" x14ac:dyDescent="0.25">
      <c r="L2160" s="5"/>
      <c r="M2160" s="5"/>
      <c r="N2160" s="5"/>
      <c r="O2160" s="5"/>
      <c r="P2160" s="5"/>
    </row>
    <row r="2161" spans="12:16" ht="15.75" customHeight="1" x14ac:dyDescent="0.25">
      <c r="L2161" s="5"/>
      <c r="M2161" s="5"/>
      <c r="N2161" s="5"/>
      <c r="O2161" s="5"/>
      <c r="P2161" s="5"/>
    </row>
    <row r="2162" spans="12:16" ht="15.75" customHeight="1" x14ac:dyDescent="0.25">
      <c r="L2162" s="5"/>
      <c r="M2162" s="5"/>
      <c r="N2162" s="5"/>
      <c r="O2162" s="5"/>
      <c r="P2162" s="5"/>
    </row>
    <row r="2163" spans="12:16" ht="15.75" customHeight="1" x14ac:dyDescent="0.25">
      <c r="L2163" s="5"/>
      <c r="M2163" s="5"/>
      <c r="N2163" s="5"/>
      <c r="O2163" s="5"/>
      <c r="P2163" s="5"/>
    </row>
    <row r="2164" spans="12:16" ht="15.75" customHeight="1" x14ac:dyDescent="0.25">
      <c r="L2164" s="5"/>
      <c r="M2164" s="5"/>
      <c r="N2164" s="5"/>
      <c r="O2164" s="5"/>
      <c r="P2164" s="5"/>
    </row>
    <row r="2165" spans="12:16" ht="15.75" customHeight="1" x14ac:dyDescent="0.25">
      <c r="L2165" s="5"/>
      <c r="M2165" s="5"/>
      <c r="N2165" s="5"/>
      <c r="O2165" s="5"/>
      <c r="P2165" s="5"/>
    </row>
    <row r="2166" spans="12:16" ht="15.75" customHeight="1" x14ac:dyDescent="0.25">
      <c r="L2166" s="5"/>
      <c r="M2166" s="5"/>
      <c r="N2166" s="5"/>
      <c r="O2166" s="5"/>
      <c r="P2166" s="5"/>
    </row>
    <row r="2167" spans="12:16" ht="15.75" customHeight="1" x14ac:dyDescent="0.25">
      <c r="L2167" s="5"/>
      <c r="M2167" s="5"/>
      <c r="N2167" s="5"/>
      <c r="O2167" s="5"/>
      <c r="P2167" s="5"/>
    </row>
    <row r="2168" spans="12:16" ht="15.75" customHeight="1" x14ac:dyDescent="0.25">
      <c r="L2168" s="5"/>
      <c r="M2168" s="5"/>
      <c r="N2168" s="5"/>
      <c r="O2168" s="5"/>
      <c r="P2168" s="5"/>
    </row>
    <row r="2169" spans="12:16" ht="15.75" customHeight="1" x14ac:dyDescent="0.25">
      <c r="L2169" s="5"/>
      <c r="M2169" s="5"/>
      <c r="N2169" s="5"/>
      <c r="O2169" s="5"/>
      <c r="P2169" s="5"/>
    </row>
    <row r="2170" spans="12:16" ht="15.75" customHeight="1" x14ac:dyDescent="0.25">
      <c r="L2170" s="5"/>
      <c r="M2170" s="5"/>
      <c r="N2170" s="5"/>
      <c r="O2170" s="5"/>
      <c r="P2170" s="5"/>
    </row>
    <row r="2171" spans="12:16" ht="15.75" customHeight="1" x14ac:dyDescent="0.25">
      <c r="L2171" s="5"/>
      <c r="M2171" s="5"/>
      <c r="N2171" s="5"/>
      <c r="O2171" s="5"/>
      <c r="P2171" s="5"/>
    </row>
    <row r="2172" spans="12:16" ht="15.75" customHeight="1" x14ac:dyDescent="0.25">
      <c r="L2172" s="5"/>
      <c r="M2172" s="5"/>
      <c r="N2172" s="5"/>
      <c r="O2172" s="5"/>
      <c r="P2172" s="5"/>
    </row>
    <row r="2173" spans="12:16" ht="15.75" customHeight="1" x14ac:dyDescent="0.25">
      <c r="L2173" s="5"/>
      <c r="M2173" s="5"/>
      <c r="N2173" s="5"/>
      <c r="O2173" s="5"/>
      <c r="P2173" s="5"/>
    </row>
    <row r="2174" spans="12:16" ht="15.75" customHeight="1" x14ac:dyDescent="0.25">
      <c r="L2174" s="5"/>
      <c r="M2174" s="5"/>
      <c r="N2174" s="5"/>
      <c r="O2174" s="5"/>
      <c r="P2174" s="5"/>
    </row>
    <row r="2175" spans="12:16" ht="15.75" customHeight="1" x14ac:dyDescent="0.25">
      <c r="L2175" s="5"/>
      <c r="M2175" s="5"/>
      <c r="N2175" s="5"/>
      <c r="O2175" s="5"/>
      <c r="P2175" s="5"/>
    </row>
    <row r="2176" spans="12:16" ht="15.75" customHeight="1" x14ac:dyDescent="0.25">
      <c r="L2176" s="5"/>
      <c r="M2176" s="5"/>
      <c r="N2176" s="5"/>
      <c r="O2176" s="5"/>
      <c r="P2176" s="5"/>
    </row>
    <row r="2177" spans="12:16" ht="15.75" customHeight="1" x14ac:dyDescent="0.25">
      <c r="L2177" s="5"/>
      <c r="M2177" s="5"/>
      <c r="N2177" s="5"/>
      <c r="O2177" s="5"/>
      <c r="P2177" s="5"/>
    </row>
    <row r="2178" spans="12:16" ht="15.75" customHeight="1" x14ac:dyDescent="0.25">
      <c r="L2178" s="5"/>
      <c r="M2178" s="5"/>
      <c r="N2178" s="5"/>
      <c r="O2178" s="5"/>
      <c r="P2178" s="5"/>
    </row>
    <row r="2179" spans="12:16" ht="15.75" customHeight="1" x14ac:dyDescent="0.25">
      <c r="L2179" s="5"/>
      <c r="M2179" s="5"/>
      <c r="N2179" s="5"/>
      <c r="O2179" s="5"/>
      <c r="P2179" s="5"/>
    </row>
    <row r="2180" spans="12:16" ht="15.75" customHeight="1" x14ac:dyDescent="0.25">
      <c r="L2180" s="5"/>
      <c r="M2180" s="5"/>
      <c r="N2180" s="5"/>
      <c r="O2180" s="5"/>
      <c r="P2180" s="5"/>
    </row>
    <row r="2181" spans="12:16" ht="15.75" customHeight="1" x14ac:dyDescent="0.25">
      <c r="L2181" s="5"/>
      <c r="M2181" s="5"/>
      <c r="N2181" s="5"/>
      <c r="O2181" s="5"/>
      <c r="P2181" s="5"/>
    </row>
    <row r="2182" spans="12:16" ht="15.75" customHeight="1" x14ac:dyDescent="0.25">
      <c r="L2182" s="5"/>
      <c r="M2182" s="5"/>
      <c r="N2182" s="5"/>
      <c r="O2182" s="5"/>
      <c r="P2182" s="5"/>
    </row>
    <row r="2183" spans="12:16" ht="15.75" customHeight="1" x14ac:dyDescent="0.25">
      <c r="L2183" s="5"/>
      <c r="M2183" s="5"/>
      <c r="N2183" s="5"/>
      <c r="O2183" s="5"/>
      <c r="P2183" s="5"/>
    </row>
    <row r="2184" spans="12:16" ht="15.75" customHeight="1" x14ac:dyDescent="0.25">
      <c r="L2184" s="5"/>
      <c r="M2184" s="5"/>
      <c r="N2184" s="5"/>
      <c r="O2184" s="5"/>
      <c r="P2184" s="5"/>
    </row>
    <row r="2185" spans="12:16" ht="15.75" customHeight="1" x14ac:dyDescent="0.25">
      <c r="L2185" s="5"/>
      <c r="M2185" s="5"/>
      <c r="N2185" s="5"/>
      <c r="O2185" s="5"/>
      <c r="P2185" s="5"/>
    </row>
    <row r="2186" spans="12:16" ht="15.75" customHeight="1" x14ac:dyDescent="0.25">
      <c r="L2186" s="5"/>
      <c r="M2186" s="5"/>
      <c r="N2186" s="5"/>
      <c r="O2186" s="5"/>
      <c r="P2186" s="5"/>
    </row>
    <row r="2187" spans="12:16" ht="15.75" customHeight="1" x14ac:dyDescent="0.25">
      <c r="L2187" s="5"/>
      <c r="M2187" s="5"/>
      <c r="N2187" s="5"/>
      <c r="O2187" s="5"/>
      <c r="P2187" s="5"/>
    </row>
    <row r="2188" spans="12:16" ht="15.75" customHeight="1" x14ac:dyDescent="0.25">
      <c r="L2188" s="5"/>
      <c r="M2188" s="5"/>
      <c r="N2188" s="5"/>
      <c r="O2188" s="5"/>
      <c r="P2188" s="5"/>
    </row>
    <row r="2189" spans="12:16" ht="15.75" customHeight="1" x14ac:dyDescent="0.25">
      <c r="L2189" s="5"/>
      <c r="M2189" s="5"/>
      <c r="N2189" s="5"/>
      <c r="O2189" s="5"/>
      <c r="P2189" s="5"/>
    </row>
    <row r="2190" spans="12:16" ht="15.75" customHeight="1" x14ac:dyDescent="0.25">
      <c r="L2190" s="5"/>
      <c r="M2190" s="5"/>
      <c r="N2190" s="5"/>
      <c r="O2190" s="5"/>
      <c r="P2190" s="5"/>
    </row>
    <row r="2191" spans="12:16" ht="15.75" customHeight="1" x14ac:dyDescent="0.25">
      <c r="L2191" s="5"/>
      <c r="M2191" s="5"/>
      <c r="N2191" s="5"/>
      <c r="O2191" s="5"/>
      <c r="P2191" s="5"/>
    </row>
    <row r="2192" spans="12:16" ht="15.75" customHeight="1" x14ac:dyDescent="0.25">
      <c r="L2192" s="5"/>
      <c r="M2192" s="5"/>
      <c r="N2192" s="5"/>
      <c r="O2192" s="5"/>
      <c r="P2192" s="5"/>
    </row>
    <row r="2193" spans="12:16" ht="15.75" customHeight="1" x14ac:dyDescent="0.25">
      <c r="L2193" s="5"/>
      <c r="M2193" s="5"/>
      <c r="N2193" s="5"/>
      <c r="O2193" s="5"/>
      <c r="P2193" s="5"/>
    </row>
    <row r="2194" spans="12:16" ht="15.75" customHeight="1" x14ac:dyDescent="0.25">
      <c r="L2194" s="5"/>
      <c r="M2194" s="5"/>
      <c r="N2194" s="5"/>
      <c r="O2194" s="5"/>
      <c r="P2194" s="5"/>
    </row>
    <row r="2195" spans="12:16" ht="15.75" customHeight="1" x14ac:dyDescent="0.25">
      <c r="L2195" s="5"/>
      <c r="M2195" s="5"/>
      <c r="N2195" s="5"/>
      <c r="O2195" s="5"/>
      <c r="P2195" s="5"/>
    </row>
    <row r="2196" spans="12:16" ht="15.75" customHeight="1" x14ac:dyDescent="0.25">
      <c r="L2196" s="5"/>
      <c r="M2196" s="5"/>
      <c r="N2196" s="5"/>
      <c r="O2196" s="5"/>
      <c r="P2196" s="5"/>
    </row>
    <row r="2197" spans="12:16" ht="15.75" customHeight="1" x14ac:dyDescent="0.25">
      <c r="L2197" s="5"/>
      <c r="M2197" s="5"/>
      <c r="N2197" s="5"/>
      <c r="O2197" s="5"/>
      <c r="P2197" s="5"/>
    </row>
    <row r="2198" spans="12:16" ht="15.75" customHeight="1" x14ac:dyDescent="0.25">
      <c r="L2198" s="5"/>
      <c r="M2198" s="5"/>
      <c r="N2198" s="5"/>
      <c r="O2198" s="5"/>
      <c r="P2198" s="5"/>
    </row>
    <row r="2199" spans="12:16" ht="15.75" customHeight="1" x14ac:dyDescent="0.25">
      <c r="L2199" s="5"/>
      <c r="M2199" s="5"/>
      <c r="N2199" s="5"/>
      <c r="O2199" s="5"/>
      <c r="P2199" s="5"/>
    </row>
    <row r="2200" spans="12:16" ht="15.75" customHeight="1" x14ac:dyDescent="0.25">
      <c r="L2200" s="5"/>
      <c r="M2200" s="5"/>
      <c r="N2200" s="5"/>
      <c r="O2200" s="5"/>
      <c r="P2200" s="5"/>
    </row>
    <row r="2201" spans="12:16" ht="15.75" customHeight="1" x14ac:dyDescent="0.25">
      <c r="L2201" s="5"/>
      <c r="M2201" s="5"/>
      <c r="N2201" s="5"/>
      <c r="O2201" s="5"/>
      <c r="P2201" s="5"/>
    </row>
    <row r="2202" spans="12:16" ht="15.75" customHeight="1" x14ac:dyDescent="0.25">
      <c r="L2202" s="5"/>
      <c r="M2202" s="5"/>
      <c r="N2202" s="5"/>
      <c r="O2202" s="5"/>
      <c r="P2202" s="5"/>
    </row>
    <row r="2203" spans="12:16" ht="15.75" customHeight="1" x14ac:dyDescent="0.25">
      <c r="L2203" s="5"/>
      <c r="M2203" s="5"/>
      <c r="N2203" s="5"/>
      <c r="O2203" s="5"/>
      <c r="P2203" s="5"/>
    </row>
    <row r="2204" spans="12:16" ht="15.75" customHeight="1" x14ac:dyDescent="0.25">
      <c r="L2204" s="5"/>
      <c r="M2204" s="5"/>
      <c r="N2204" s="5"/>
      <c r="O2204" s="5"/>
      <c r="P2204" s="5"/>
    </row>
    <row r="2205" spans="12:16" ht="15.75" customHeight="1" x14ac:dyDescent="0.25">
      <c r="L2205" s="5"/>
      <c r="M2205" s="5"/>
      <c r="N2205" s="5"/>
      <c r="O2205" s="5"/>
      <c r="P2205" s="5"/>
    </row>
    <row r="2206" spans="12:16" ht="15.75" customHeight="1" x14ac:dyDescent="0.25">
      <c r="L2206" s="5"/>
      <c r="M2206" s="5"/>
      <c r="N2206" s="5"/>
      <c r="O2206" s="5"/>
      <c r="P2206" s="5"/>
    </row>
    <row r="2207" spans="12:16" ht="15.75" customHeight="1" x14ac:dyDescent="0.25">
      <c r="L2207" s="5"/>
      <c r="M2207" s="5"/>
      <c r="N2207" s="5"/>
      <c r="O2207" s="5"/>
      <c r="P2207" s="5"/>
    </row>
    <row r="2208" spans="12:16" ht="15.75" customHeight="1" x14ac:dyDescent="0.25">
      <c r="L2208" s="5"/>
      <c r="M2208" s="5"/>
      <c r="N2208" s="5"/>
      <c r="O2208" s="5"/>
      <c r="P2208" s="5"/>
    </row>
    <row r="2209" spans="12:16" ht="15.75" customHeight="1" x14ac:dyDescent="0.25">
      <c r="L2209" s="5"/>
      <c r="M2209" s="5"/>
      <c r="N2209" s="5"/>
      <c r="O2209" s="5"/>
      <c r="P2209" s="5"/>
    </row>
    <row r="2210" spans="12:16" ht="15.75" customHeight="1" x14ac:dyDescent="0.25">
      <c r="L2210" s="5"/>
      <c r="M2210" s="5"/>
      <c r="N2210" s="5"/>
      <c r="O2210" s="5"/>
      <c r="P2210" s="5"/>
    </row>
    <row r="2211" spans="12:16" ht="15.75" customHeight="1" x14ac:dyDescent="0.25">
      <c r="L2211" s="5"/>
      <c r="M2211" s="5"/>
      <c r="N2211" s="5"/>
      <c r="O2211" s="5"/>
      <c r="P2211" s="5"/>
    </row>
    <row r="2212" spans="12:16" ht="15.75" customHeight="1" x14ac:dyDescent="0.25">
      <c r="L2212" s="5"/>
      <c r="M2212" s="5"/>
      <c r="N2212" s="5"/>
      <c r="O2212" s="5"/>
      <c r="P2212" s="5"/>
    </row>
    <row r="2213" spans="12:16" ht="15.75" customHeight="1" x14ac:dyDescent="0.25">
      <c r="L2213" s="5"/>
      <c r="M2213" s="5"/>
      <c r="N2213" s="5"/>
      <c r="O2213" s="5"/>
      <c r="P2213" s="5"/>
    </row>
    <row r="2214" spans="12:16" ht="15.75" customHeight="1" x14ac:dyDescent="0.25">
      <c r="L2214" s="5"/>
      <c r="M2214" s="5"/>
      <c r="N2214" s="5"/>
      <c r="O2214" s="5"/>
      <c r="P2214" s="5"/>
    </row>
    <row r="2215" spans="12:16" ht="15.75" customHeight="1" x14ac:dyDescent="0.25">
      <c r="L2215" s="5"/>
      <c r="M2215" s="5"/>
      <c r="N2215" s="5"/>
      <c r="O2215" s="5"/>
      <c r="P2215" s="5"/>
    </row>
    <row r="2216" spans="12:16" ht="15.75" customHeight="1" x14ac:dyDescent="0.25">
      <c r="L2216" s="5"/>
      <c r="M2216" s="5"/>
      <c r="N2216" s="5"/>
      <c r="O2216" s="5"/>
      <c r="P2216" s="5"/>
    </row>
    <row r="2217" spans="12:16" ht="15.75" customHeight="1" x14ac:dyDescent="0.25">
      <c r="L2217" s="5"/>
      <c r="M2217" s="5"/>
      <c r="N2217" s="5"/>
      <c r="O2217" s="5"/>
      <c r="P2217" s="5"/>
    </row>
    <row r="2218" spans="12:16" ht="15.75" customHeight="1" x14ac:dyDescent="0.25">
      <c r="L2218" s="5"/>
      <c r="M2218" s="5"/>
      <c r="N2218" s="5"/>
      <c r="O2218" s="5"/>
      <c r="P2218" s="5"/>
    </row>
    <row r="2219" spans="12:16" ht="15.75" customHeight="1" x14ac:dyDescent="0.25">
      <c r="L2219" s="5"/>
      <c r="M2219" s="5"/>
      <c r="N2219" s="5"/>
      <c r="O2219" s="5"/>
      <c r="P2219" s="5"/>
    </row>
    <row r="2220" spans="12:16" ht="15.75" customHeight="1" x14ac:dyDescent="0.25">
      <c r="L2220" s="5"/>
      <c r="M2220" s="5"/>
      <c r="N2220" s="5"/>
      <c r="O2220" s="5"/>
      <c r="P2220" s="5"/>
    </row>
    <row r="2221" spans="12:16" ht="15.75" customHeight="1" x14ac:dyDescent="0.25">
      <c r="L2221" s="5"/>
      <c r="M2221" s="5"/>
      <c r="N2221" s="5"/>
      <c r="O2221" s="5"/>
      <c r="P2221" s="5"/>
    </row>
    <row r="2222" spans="12:16" ht="15.75" customHeight="1" x14ac:dyDescent="0.25">
      <c r="L2222" s="5"/>
      <c r="M2222" s="5"/>
      <c r="N2222" s="5"/>
      <c r="O2222" s="5"/>
      <c r="P2222" s="5"/>
    </row>
    <row r="2223" spans="12:16" ht="15.75" customHeight="1" x14ac:dyDescent="0.25">
      <c r="L2223" s="5"/>
      <c r="M2223" s="5"/>
      <c r="N2223" s="5"/>
      <c r="O2223" s="5"/>
      <c r="P2223" s="5"/>
    </row>
    <row r="2224" spans="12:16" ht="15.75" customHeight="1" x14ac:dyDescent="0.25">
      <c r="L2224" s="5"/>
      <c r="M2224" s="5"/>
      <c r="N2224" s="5"/>
      <c r="O2224" s="5"/>
      <c r="P2224" s="5"/>
    </row>
    <row r="2225" spans="12:16" ht="15.75" customHeight="1" x14ac:dyDescent="0.25">
      <c r="L2225" s="5"/>
      <c r="M2225" s="5"/>
      <c r="N2225" s="5"/>
      <c r="O2225" s="5"/>
      <c r="P2225" s="5"/>
    </row>
    <row r="2226" spans="12:16" ht="15.75" customHeight="1" x14ac:dyDescent="0.25">
      <c r="L2226" s="5"/>
      <c r="M2226" s="5"/>
      <c r="N2226" s="5"/>
      <c r="O2226" s="5"/>
      <c r="P2226" s="5"/>
    </row>
    <row r="2227" spans="12:16" ht="15.75" customHeight="1" x14ac:dyDescent="0.25">
      <c r="L2227" s="5"/>
      <c r="M2227" s="5"/>
      <c r="N2227" s="5"/>
      <c r="O2227" s="5"/>
      <c r="P2227" s="5"/>
    </row>
    <row r="2228" spans="12:16" ht="15.75" customHeight="1" x14ac:dyDescent="0.25">
      <c r="L2228" s="5"/>
      <c r="M2228" s="5"/>
      <c r="N2228" s="5"/>
      <c r="O2228" s="5"/>
      <c r="P2228" s="5"/>
    </row>
    <row r="2229" spans="12:16" ht="15.75" customHeight="1" x14ac:dyDescent="0.25">
      <c r="L2229" s="5"/>
      <c r="M2229" s="5"/>
      <c r="N2229" s="5"/>
      <c r="O2229" s="5"/>
      <c r="P2229" s="5"/>
    </row>
    <row r="2230" spans="12:16" ht="15.75" customHeight="1" x14ac:dyDescent="0.25">
      <c r="L2230" s="5"/>
      <c r="M2230" s="5"/>
      <c r="N2230" s="5"/>
      <c r="O2230" s="5"/>
      <c r="P2230" s="5"/>
    </row>
    <row r="2231" spans="12:16" ht="15.75" customHeight="1" x14ac:dyDescent="0.25">
      <c r="L2231" s="5"/>
      <c r="M2231" s="5"/>
      <c r="N2231" s="5"/>
      <c r="O2231" s="5"/>
      <c r="P2231" s="5"/>
    </row>
    <row r="2232" spans="12:16" ht="15.75" customHeight="1" x14ac:dyDescent="0.25">
      <c r="L2232" s="5"/>
      <c r="M2232" s="5"/>
      <c r="N2232" s="5"/>
      <c r="O2232" s="5"/>
      <c r="P2232" s="5"/>
    </row>
    <row r="2233" spans="12:16" ht="15.75" customHeight="1" x14ac:dyDescent="0.25">
      <c r="L2233" s="5"/>
      <c r="M2233" s="5"/>
      <c r="N2233" s="5"/>
      <c r="O2233" s="5"/>
      <c r="P2233" s="5"/>
    </row>
    <row r="2234" spans="12:16" ht="15.75" customHeight="1" x14ac:dyDescent="0.25">
      <c r="L2234" s="5"/>
      <c r="M2234" s="5"/>
      <c r="N2234" s="5"/>
      <c r="O2234" s="5"/>
      <c r="P2234" s="5"/>
    </row>
    <row r="2235" spans="12:16" ht="15.75" customHeight="1" x14ac:dyDescent="0.25">
      <c r="L2235" s="5"/>
      <c r="M2235" s="5"/>
      <c r="N2235" s="5"/>
      <c r="O2235" s="5"/>
      <c r="P2235" s="5"/>
    </row>
    <row r="2236" spans="12:16" ht="15.75" customHeight="1" x14ac:dyDescent="0.25">
      <c r="L2236" s="5"/>
      <c r="M2236" s="5"/>
      <c r="N2236" s="5"/>
      <c r="O2236" s="5"/>
      <c r="P2236" s="5"/>
    </row>
    <row r="2237" spans="12:16" ht="15.75" customHeight="1" x14ac:dyDescent="0.25">
      <c r="L2237" s="5"/>
      <c r="M2237" s="5"/>
      <c r="N2237" s="5"/>
      <c r="O2237" s="5"/>
      <c r="P2237" s="5"/>
    </row>
    <row r="2238" spans="12:16" ht="15.75" customHeight="1" x14ac:dyDescent="0.25">
      <c r="L2238" s="5"/>
      <c r="M2238" s="5"/>
      <c r="N2238" s="5"/>
      <c r="O2238" s="5"/>
      <c r="P2238" s="5"/>
    </row>
    <row r="2239" spans="12:16" ht="15.75" customHeight="1" x14ac:dyDescent="0.25">
      <c r="L2239" s="5"/>
      <c r="M2239" s="5"/>
      <c r="N2239" s="5"/>
      <c r="O2239" s="5"/>
      <c r="P2239" s="5"/>
    </row>
    <row r="2240" spans="12:16" ht="15.75" customHeight="1" x14ac:dyDescent="0.25">
      <c r="L2240" s="5"/>
      <c r="M2240" s="5"/>
      <c r="N2240" s="5"/>
      <c r="O2240" s="5"/>
      <c r="P2240" s="5"/>
    </row>
    <row r="2241" spans="12:16" ht="15.75" customHeight="1" x14ac:dyDescent="0.25">
      <c r="L2241" s="5"/>
      <c r="M2241" s="5"/>
      <c r="N2241" s="5"/>
      <c r="O2241" s="5"/>
      <c r="P2241" s="5"/>
    </row>
    <row r="2242" spans="12:16" ht="15.75" customHeight="1" x14ac:dyDescent="0.25">
      <c r="L2242" s="5"/>
      <c r="M2242" s="5"/>
      <c r="N2242" s="5"/>
      <c r="O2242" s="5"/>
      <c r="P2242" s="5"/>
    </row>
    <row r="2243" spans="12:16" ht="15.75" customHeight="1" x14ac:dyDescent="0.25">
      <c r="L2243" s="5"/>
      <c r="M2243" s="5"/>
      <c r="N2243" s="5"/>
      <c r="O2243" s="5"/>
      <c r="P2243" s="5"/>
    </row>
    <row r="2244" spans="12:16" ht="15.75" customHeight="1" x14ac:dyDescent="0.25">
      <c r="L2244" s="5"/>
      <c r="M2244" s="5"/>
      <c r="N2244" s="5"/>
      <c r="O2244" s="5"/>
      <c r="P2244" s="5"/>
    </row>
    <row r="2245" spans="12:16" ht="15.75" customHeight="1" x14ac:dyDescent="0.25">
      <c r="L2245" s="5"/>
      <c r="M2245" s="5"/>
      <c r="N2245" s="5"/>
      <c r="O2245" s="5"/>
      <c r="P2245" s="5"/>
    </row>
    <row r="2246" spans="12:16" ht="15.75" customHeight="1" x14ac:dyDescent="0.25">
      <c r="L2246" s="5"/>
      <c r="M2246" s="5"/>
      <c r="N2246" s="5"/>
      <c r="O2246" s="5"/>
      <c r="P2246" s="5"/>
    </row>
    <row r="2247" spans="12:16" ht="15.75" customHeight="1" x14ac:dyDescent="0.25">
      <c r="L2247" s="5"/>
      <c r="M2247" s="5"/>
      <c r="N2247" s="5"/>
      <c r="O2247" s="5"/>
      <c r="P2247" s="5"/>
    </row>
    <row r="2248" spans="12:16" ht="15.75" customHeight="1" x14ac:dyDescent="0.25">
      <c r="L2248" s="5"/>
      <c r="M2248" s="5"/>
      <c r="N2248" s="5"/>
      <c r="O2248" s="5"/>
      <c r="P2248" s="5"/>
    </row>
    <row r="2249" spans="12:16" ht="15.75" customHeight="1" x14ac:dyDescent="0.25">
      <c r="L2249" s="5"/>
      <c r="M2249" s="5"/>
      <c r="N2249" s="5"/>
      <c r="O2249" s="5"/>
      <c r="P2249" s="5"/>
    </row>
    <row r="2250" spans="12:16" ht="15.75" customHeight="1" x14ac:dyDescent="0.25">
      <c r="L2250" s="5"/>
      <c r="M2250" s="5"/>
      <c r="N2250" s="5"/>
      <c r="O2250" s="5"/>
      <c r="P2250" s="5"/>
    </row>
    <row r="2251" spans="12:16" ht="15.75" customHeight="1" x14ac:dyDescent="0.25">
      <c r="L2251" s="5"/>
      <c r="M2251" s="5"/>
      <c r="N2251" s="5"/>
      <c r="O2251" s="5"/>
      <c r="P2251" s="5"/>
    </row>
    <row r="2252" spans="12:16" ht="15.75" customHeight="1" x14ac:dyDescent="0.25">
      <c r="L2252" s="5"/>
      <c r="M2252" s="5"/>
      <c r="N2252" s="5"/>
      <c r="O2252" s="5"/>
      <c r="P2252" s="5"/>
    </row>
    <row r="2253" spans="12:16" ht="15.75" customHeight="1" x14ac:dyDescent="0.25">
      <c r="L2253" s="5"/>
      <c r="M2253" s="5"/>
      <c r="N2253" s="5"/>
      <c r="O2253" s="5"/>
      <c r="P2253" s="5"/>
    </row>
    <row r="2254" spans="12:16" ht="15.75" customHeight="1" x14ac:dyDescent="0.25">
      <c r="L2254" s="5"/>
      <c r="M2254" s="5"/>
      <c r="N2254" s="5"/>
      <c r="O2254" s="5"/>
      <c r="P2254" s="5"/>
    </row>
    <row r="2255" spans="12:16" ht="15.75" customHeight="1" x14ac:dyDescent="0.25">
      <c r="L2255" s="5"/>
      <c r="M2255" s="5"/>
      <c r="N2255" s="5"/>
      <c r="O2255" s="5"/>
      <c r="P2255" s="5"/>
    </row>
    <row r="2256" spans="12:16" ht="15.75" customHeight="1" x14ac:dyDescent="0.25">
      <c r="L2256" s="5"/>
      <c r="M2256" s="5"/>
      <c r="N2256" s="5"/>
      <c r="O2256" s="5"/>
      <c r="P2256" s="5"/>
    </row>
    <row r="2257" spans="12:16" ht="15.75" customHeight="1" x14ac:dyDescent="0.25">
      <c r="L2257" s="5"/>
      <c r="M2257" s="5"/>
      <c r="N2257" s="5"/>
      <c r="O2257" s="5"/>
      <c r="P2257" s="5"/>
    </row>
    <row r="2258" spans="12:16" ht="15.75" customHeight="1" x14ac:dyDescent="0.25">
      <c r="L2258" s="5"/>
      <c r="M2258" s="5"/>
      <c r="N2258" s="5"/>
      <c r="O2258" s="5"/>
      <c r="P2258" s="5"/>
    </row>
    <row r="2259" spans="12:16" ht="15.75" customHeight="1" x14ac:dyDescent="0.25">
      <c r="L2259" s="5"/>
      <c r="M2259" s="5"/>
      <c r="N2259" s="5"/>
      <c r="O2259" s="5"/>
      <c r="P2259" s="5"/>
    </row>
    <row r="2260" spans="12:16" ht="15.75" customHeight="1" x14ac:dyDescent="0.25">
      <c r="L2260" s="5"/>
      <c r="M2260" s="5"/>
      <c r="N2260" s="5"/>
      <c r="O2260" s="5"/>
      <c r="P2260" s="5"/>
    </row>
    <row r="2261" spans="12:16" ht="15.75" customHeight="1" x14ac:dyDescent="0.25">
      <c r="L2261" s="5"/>
      <c r="M2261" s="5"/>
      <c r="N2261" s="5"/>
      <c r="O2261" s="5"/>
      <c r="P2261" s="5"/>
    </row>
    <row r="2262" spans="12:16" ht="15.75" customHeight="1" x14ac:dyDescent="0.25">
      <c r="L2262" s="5"/>
      <c r="M2262" s="5"/>
      <c r="N2262" s="5"/>
      <c r="O2262" s="5"/>
      <c r="P2262" s="5"/>
    </row>
    <row r="2263" spans="12:16" ht="15.75" customHeight="1" x14ac:dyDescent="0.25">
      <c r="L2263" s="5"/>
      <c r="M2263" s="5"/>
      <c r="N2263" s="5"/>
      <c r="O2263" s="5"/>
      <c r="P2263" s="5"/>
    </row>
    <row r="2264" spans="12:16" ht="15.75" customHeight="1" x14ac:dyDescent="0.25">
      <c r="L2264" s="5"/>
      <c r="M2264" s="5"/>
      <c r="N2264" s="5"/>
      <c r="O2264" s="5"/>
      <c r="P2264" s="5"/>
    </row>
    <row r="2265" spans="12:16" ht="15.75" customHeight="1" x14ac:dyDescent="0.25">
      <c r="L2265" s="5"/>
      <c r="M2265" s="5"/>
      <c r="N2265" s="5"/>
      <c r="O2265" s="5"/>
      <c r="P2265" s="5"/>
    </row>
    <row r="2266" spans="12:16" ht="15.75" customHeight="1" x14ac:dyDescent="0.25">
      <c r="L2266" s="5"/>
      <c r="M2266" s="5"/>
      <c r="N2266" s="5"/>
      <c r="O2266" s="5"/>
      <c r="P2266" s="5"/>
    </row>
    <row r="2267" spans="12:16" ht="15.75" customHeight="1" x14ac:dyDescent="0.25">
      <c r="L2267" s="5"/>
      <c r="M2267" s="5"/>
      <c r="N2267" s="5"/>
      <c r="O2267" s="5"/>
      <c r="P2267" s="5"/>
    </row>
    <row r="2268" spans="12:16" ht="15.75" customHeight="1" x14ac:dyDescent="0.25">
      <c r="L2268" s="5"/>
      <c r="M2268" s="5"/>
      <c r="N2268" s="5"/>
      <c r="O2268" s="5"/>
      <c r="P2268" s="5"/>
    </row>
    <row r="2269" spans="12:16" ht="15.75" customHeight="1" x14ac:dyDescent="0.25">
      <c r="L2269" s="5"/>
      <c r="M2269" s="5"/>
      <c r="N2269" s="5"/>
      <c r="O2269" s="5"/>
      <c r="P2269" s="5"/>
    </row>
    <row r="2270" spans="12:16" ht="15.75" customHeight="1" x14ac:dyDescent="0.25">
      <c r="L2270" s="5"/>
      <c r="M2270" s="5"/>
      <c r="N2270" s="5"/>
      <c r="O2270" s="5"/>
      <c r="P2270" s="5"/>
    </row>
    <row r="2271" spans="12:16" ht="15.75" customHeight="1" x14ac:dyDescent="0.25">
      <c r="L2271" s="5"/>
      <c r="M2271" s="5"/>
      <c r="N2271" s="5"/>
      <c r="O2271" s="5"/>
      <c r="P2271" s="5"/>
    </row>
    <row r="2272" spans="12:16" ht="15.75" customHeight="1" x14ac:dyDescent="0.25">
      <c r="L2272" s="5"/>
      <c r="M2272" s="5"/>
      <c r="N2272" s="5"/>
      <c r="O2272" s="5"/>
      <c r="P2272" s="5"/>
    </row>
    <row r="2273" spans="12:16" ht="15.75" customHeight="1" x14ac:dyDescent="0.25">
      <c r="L2273" s="5"/>
      <c r="M2273" s="5"/>
      <c r="N2273" s="5"/>
      <c r="O2273" s="5"/>
      <c r="P2273" s="5"/>
    </row>
    <row r="2274" spans="12:16" ht="15.75" customHeight="1" x14ac:dyDescent="0.25">
      <c r="L2274" s="5"/>
      <c r="M2274" s="5"/>
      <c r="N2274" s="5"/>
      <c r="O2274" s="5"/>
      <c r="P2274" s="5"/>
    </row>
    <row r="2275" spans="12:16" ht="15.75" customHeight="1" x14ac:dyDescent="0.25">
      <c r="L2275" s="5"/>
      <c r="M2275" s="5"/>
      <c r="N2275" s="5"/>
      <c r="O2275" s="5"/>
      <c r="P2275" s="5"/>
    </row>
    <row r="2276" spans="12:16" ht="15.75" customHeight="1" x14ac:dyDescent="0.25">
      <c r="L2276" s="5"/>
      <c r="M2276" s="5"/>
      <c r="N2276" s="5"/>
      <c r="O2276" s="5"/>
      <c r="P2276" s="5"/>
    </row>
    <row r="2277" spans="12:16" ht="15.75" customHeight="1" x14ac:dyDescent="0.25">
      <c r="L2277" s="5"/>
      <c r="M2277" s="5"/>
      <c r="N2277" s="5"/>
      <c r="O2277" s="5"/>
      <c r="P2277" s="5"/>
    </row>
    <row r="2278" spans="12:16" ht="15.75" customHeight="1" x14ac:dyDescent="0.25">
      <c r="L2278" s="5"/>
      <c r="M2278" s="5"/>
      <c r="N2278" s="5"/>
      <c r="O2278" s="5"/>
      <c r="P2278" s="5"/>
    </row>
    <row r="2279" spans="12:16" ht="15.75" customHeight="1" x14ac:dyDescent="0.25">
      <c r="L2279" s="5"/>
      <c r="M2279" s="5"/>
      <c r="N2279" s="5"/>
      <c r="O2279" s="5"/>
      <c r="P2279" s="5"/>
    </row>
    <row r="2280" spans="12:16" ht="15.75" customHeight="1" x14ac:dyDescent="0.25">
      <c r="L2280" s="5"/>
      <c r="M2280" s="5"/>
      <c r="N2280" s="5"/>
      <c r="O2280" s="5"/>
      <c r="P2280" s="5"/>
    </row>
    <row r="2281" spans="12:16" ht="15.75" customHeight="1" x14ac:dyDescent="0.25">
      <c r="L2281" s="5"/>
      <c r="M2281" s="5"/>
      <c r="N2281" s="5"/>
      <c r="O2281" s="5"/>
      <c r="P2281" s="5"/>
    </row>
    <row r="2282" spans="12:16" ht="15.75" customHeight="1" x14ac:dyDescent="0.25">
      <c r="L2282" s="5"/>
      <c r="M2282" s="5"/>
      <c r="N2282" s="5"/>
      <c r="O2282" s="5"/>
      <c r="P2282" s="5"/>
    </row>
    <row r="2283" spans="12:16" ht="15.75" customHeight="1" x14ac:dyDescent="0.25">
      <c r="L2283" s="5"/>
      <c r="M2283" s="5"/>
      <c r="N2283" s="5"/>
      <c r="O2283" s="5"/>
      <c r="P2283" s="5"/>
    </row>
    <row r="2284" spans="12:16" ht="15.75" customHeight="1" x14ac:dyDescent="0.25">
      <c r="L2284" s="5"/>
      <c r="M2284" s="5"/>
      <c r="N2284" s="5"/>
      <c r="O2284" s="5"/>
      <c r="P2284" s="5"/>
    </row>
    <row r="2285" spans="12:16" ht="15.75" customHeight="1" x14ac:dyDescent="0.25">
      <c r="L2285" s="5"/>
      <c r="M2285" s="5"/>
      <c r="N2285" s="5"/>
      <c r="O2285" s="5"/>
      <c r="P2285" s="5"/>
    </row>
    <row r="2286" spans="12:16" ht="15.75" customHeight="1" x14ac:dyDescent="0.25">
      <c r="L2286" s="5"/>
      <c r="M2286" s="5"/>
      <c r="N2286" s="5"/>
      <c r="O2286" s="5"/>
      <c r="P2286" s="5"/>
    </row>
    <row r="2287" spans="12:16" ht="15.75" customHeight="1" x14ac:dyDescent="0.25">
      <c r="L2287" s="5"/>
      <c r="M2287" s="5"/>
      <c r="N2287" s="5"/>
      <c r="O2287" s="5"/>
      <c r="P2287" s="5"/>
    </row>
    <row r="2288" spans="12:16" ht="15.75" customHeight="1" x14ac:dyDescent="0.25">
      <c r="L2288" s="5"/>
      <c r="M2288" s="5"/>
      <c r="N2288" s="5"/>
      <c r="O2288" s="5"/>
      <c r="P2288" s="5"/>
    </row>
    <row r="2289" spans="12:16" ht="15.75" customHeight="1" x14ac:dyDescent="0.25">
      <c r="L2289" s="5"/>
      <c r="M2289" s="5"/>
      <c r="N2289" s="5"/>
      <c r="O2289" s="5"/>
      <c r="P2289" s="5"/>
    </row>
    <row r="2290" spans="12:16" ht="15.75" customHeight="1" x14ac:dyDescent="0.25">
      <c r="L2290" s="5"/>
      <c r="M2290" s="5"/>
      <c r="N2290" s="5"/>
      <c r="O2290" s="5"/>
      <c r="P2290" s="5"/>
    </row>
    <row r="2291" spans="12:16" ht="15.75" customHeight="1" x14ac:dyDescent="0.25">
      <c r="L2291" s="5"/>
      <c r="M2291" s="5"/>
      <c r="N2291" s="5"/>
      <c r="O2291" s="5"/>
      <c r="P2291" s="5"/>
    </row>
    <row r="2292" spans="12:16" ht="15.75" customHeight="1" x14ac:dyDescent="0.25">
      <c r="L2292" s="5"/>
      <c r="M2292" s="5"/>
      <c r="N2292" s="5"/>
      <c r="O2292" s="5"/>
      <c r="P2292" s="5"/>
    </row>
    <row r="2293" spans="12:16" ht="15.75" customHeight="1" x14ac:dyDescent="0.25">
      <c r="L2293" s="5"/>
      <c r="M2293" s="5"/>
      <c r="N2293" s="5"/>
      <c r="O2293" s="5"/>
      <c r="P2293" s="5"/>
    </row>
    <row r="2294" spans="12:16" ht="15.75" customHeight="1" x14ac:dyDescent="0.25">
      <c r="L2294" s="5"/>
      <c r="M2294" s="5"/>
      <c r="N2294" s="5"/>
      <c r="O2294" s="5"/>
      <c r="P2294" s="5"/>
    </row>
    <row r="2295" spans="12:16" ht="15.75" customHeight="1" x14ac:dyDescent="0.25">
      <c r="L2295" s="5"/>
      <c r="M2295" s="5"/>
      <c r="N2295" s="5"/>
      <c r="O2295" s="5"/>
      <c r="P2295" s="5"/>
    </row>
    <row r="2296" spans="12:16" ht="15.75" customHeight="1" x14ac:dyDescent="0.25">
      <c r="L2296" s="5"/>
      <c r="M2296" s="5"/>
      <c r="N2296" s="5"/>
      <c r="O2296" s="5"/>
      <c r="P2296" s="5"/>
    </row>
    <row r="2297" spans="12:16" ht="15.75" customHeight="1" x14ac:dyDescent="0.25">
      <c r="L2297" s="5"/>
      <c r="M2297" s="5"/>
      <c r="N2297" s="5"/>
      <c r="O2297" s="5"/>
      <c r="P2297" s="5"/>
    </row>
    <row r="2298" spans="12:16" ht="15.75" customHeight="1" x14ac:dyDescent="0.25">
      <c r="L2298" s="5"/>
      <c r="M2298" s="5"/>
      <c r="N2298" s="5"/>
      <c r="O2298" s="5"/>
      <c r="P2298" s="5"/>
    </row>
    <row r="2299" spans="12:16" ht="15.75" customHeight="1" x14ac:dyDescent="0.25">
      <c r="L2299" s="5"/>
      <c r="M2299" s="5"/>
      <c r="N2299" s="5"/>
      <c r="O2299" s="5"/>
      <c r="P2299" s="5"/>
    </row>
    <row r="2300" spans="12:16" ht="15.75" customHeight="1" x14ac:dyDescent="0.25">
      <c r="L2300" s="5"/>
      <c r="M2300" s="5"/>
      <c r="N2300" s="5"/>
      <c r="O2300" s="5"/>
      <c r="P2300" s="5"/>
    </row>
    <row r="2301" spans="12:16" ht="15.75" customHeight="1" x14ac:dyDescent="0.25">
      <c r="L2301" s="5"/>
      <c r="M2301" s="5"/>
      <c r="N2301" s="5"/>
      <c r="O2301" s="5"/>
      <c r="P2301" s="5"/>
    </row>
    <row r="2302" spans="12:16" ht="15.75" customHeight="1" x14ac:dyDescent="0.25">
      <c r="L2302" s="5"/>
      <c r="M2302" s="5"/>
      <c r="N2302" s="5"/>
      <c r="O2302" s="5"/>
      <c r="P2302" s="5"/>
    </row>
    <row r="2303" spans="12:16" ht="15.75" customHeight="1" x14ac:dyDescent="0.25">
      <c r="L2303" s="5"/>
      <c r="M2303" s="5"/>
      <c r="N2303" s="5"/>
      <c r="O2303" s="5"/>
      <c r="P2303" s="5"/>
    </row>
    <row r="2304" spans="12:16" ht="15.75" customHeight="1" x14ac:dyDescent="0.25">
      <c r="L2304" s="5"/>
      <c r="M2304" s="5"/>
      <c r="N2304" s="5"/>
      <c r="O2304" s="5"/>
      <c r="P2304" s="5"/>
    </row>
    <row r="2305" spans="12:16" ht="15.75" customHeight="1" x14ac:dyDescent="0.25">
      <c r="L2305" s="5"/>
      <c r="M2305" s="5"/>
      <c r="N2305" s="5"/>
      <c r="O2305" s="5"/>
      <c r="P2305" s="5"/>
    </row>
    <row r="2306" spans="12:16" ht="15.75" customHeight="1" x14ac:dyDescent="0.25">
      <c r="L2306" s="5"/>
      <c r="M2306" s="5"/>
      <c r="N2306" s="5"/>
      <c r="O2306" s="5"/>
      <c r="P2306" s="5"/>
    </row>
    <row r="2307" spans="12:16" ht="15.75" customHeight="1" x14ac:dyDescent="0.25">
      <c r="L2307" s="5"/>
      <c r="M2307" s="5"/>
      <c r="N2307" s="5"/>
      <c r="O2307" s="5"/>
      <c r="P2307" s="5"/>
    </row>
    <row r="2308" spans="12:16" ht="15.75" customHeight="1" x14ac:dyDescent="0.25">
      <c r="L2308" s="5"/>
      <c r="M2308" s="5"/>
      <c r="N2308" s="5"/>
      <c r="O2308" s="5"/>
      <c r="P2308" s="5"/>
    </row>
    <row r="2309" spans="12:16" ht="15.75" customHeight="1" x14ac:dyDescent="0.25">
      <c r="L2309" s="5"/>
      <c r="M2309" s="5"/>
      <c r="N2309" s="5"/>
      <c r="O2309" s="5"/>
      <c r="P2309" s="5"/>
    </row>
    <row r="2310" spans="12:16" ht="15.75" customHeight="1" x14ac:dyDescent="0.25">
      <c r="L2310" s="5"/>
      <c r="M2310" s="5"/>
      <c r="N2310" s="5"/>
      <c r="O2310" s="5"/>
      <c r="P2310" s="5"/>
    </row>
    <row r="2311" spans="12:16" ht="15.75" customHeight="1" x14ac:dyDescent="0.25">
      <c r="L2311" s="5"/>
      <c r="M2311" s="5"/>
      <c r="N2311" s="5"/>
      <c r="O2311" s="5"/>
      <c r="P2311" s="5"/>
    </row>
    <row r="2312" spans="12:16" ht="15.75" customHeight="1" x14ac:dyDescent="0.25">
      <c r="L2312" s="5"/>
      <c r="M2312" s="5"/>
      <c r="N2312" s="5"/>
      <c r="O2312" s="5"/>
      <c r="P2312" s="5"/>
    </row>
    <row r="2313" spans="12:16" ht="15.75" customHeight="1" x14ac:dyDescent="0.25">
      <c r="L2313" s="5"/>
      <c r="M2313" s="5"/>
      <c r="N2313" s="5"/>
      <c r="O2313" s="5"/>
      <c r="P2313" s="5"/>
    </row>
    <row r="2314" spans="12:16" ht="15.75" customHeight="1" x14ac:dyDescent="0.25">
      <c r="L2314" s="5"/>
      <c r="M2314" s="5"/>
      <c r="N2314" s="5"/>
      <c r="O2314" s="5"/>
      <c r="P2314" s="5"/>
    </row>
    <row r="2315" spans="12:16" ht="15.75" customHeight="1" x14ac:dyDescent="0.25">
      <c r="L2315" s="5"/>
      <c r="M2315" s="5"/>
      <c r="N2315" s="5"/>
      <c r="O2315" s="5"/>
      <c r="P2315" s="5"/>
    </row>
    <row r="2316" spans="12:16" ht="15.75" customHeight="1" x14ac:dyDescent="0.25">
      <c r="L2316" s="5"/>
      <c r="M2316" s="5"/>
      <c r="N2316" s="5"/>
      <c r="O2316" s="5"/>
      <c r="P2316" s="5"/>
    </row>
    <row r="2317" spans="12:16" ht="15.75" customHeight="1" x14ac:dyDescent="0.25">
      <c r="L2317" s="5"/>
      <c r="M2317" s="5"/>
      <c r="N2317" s="5"/>
      <c r="O2317" s="5"/>
      <c r="P2317" s="5"/>
    </row>
    <row r="2318" spans="12:16" ht="15.75" customHeight="1" x14ac:dyDescent="0.25">
      <c r="L2318" s="5"/>
      <c r="M2318" s="5"/>
      <c r="N2318" s="5"/>
      <c r="O2318" s="5"/>
      <c r="P2318" s="5"/>
    </row>
    <row r="2319" spans="12:16" ht="15.75" customHeight="1" x14ac:dyDescent="0.25">
      <c r="L2319" s="5"/>
      <c r="M2319" s="5"/>
      <c r="N2319" s="5"/>
      <c r="O2319" s="5"/>
      <c r="P2319" s="5"/>
    </row>
    <row r="2320" spans="12:16" ht="15.75" customHeight="1" x14ac:dyDescent="0.25">
      <c r="L2320" s="5"/>
      <c r="M2320" s="5"/>
      <c r="N2320" s="5"/>
      <c r="O2320" s="5"/>
      <c r="P2320" s="5"/>
    </row>
    <row r="2321" spans="12:16" ht="15.75" customHeight="1" x14ac:dyDescent="0.25">
      <c r="L2321" s="5"/>
      <c r="M2321" s="5"/>
      <c r="N2321" s="5"/>
      <c r="O2321" s="5"/>
      <c r="P2321" s="5"/>
    </row>
    <row r="2322" spans="12:16" ht="15.75" customHeight="1" x14ac:dyDescent="0.25">
      <c r="L2322" s="5"/>
      <c r="M2322" s="5"/>
      <c r="N2322" s="5"/>
      <c r="O2322" s="5"/>
      <c r="P2322" s="5"/>
    </row>
    <row r="2323" spans="12:16" ht="15.75" customHeight="1" x14ac:dyDescent="0.25">
      <c r="L2323" s="5"/>
      <c r="M2323" s="5"/>
      <c r="N2323" s="5"/>
      <c r="O2323" s="5"/>
      <c r="P2323" s="5"/>
    </row>
    <row r="2324" spans="12:16" ht="15.75" customHeight="1" x14ac:dyDescent="0.25">
      <c r="L2324" s="5"/>
      <c r="M2324" s="5"/>
      <c r="N2324" s="5"/>
      <c r="O2324" s="5"/>
      <c r="P2324" s="5"/>
    </row>
    <row r="2325" spans="12:16" ht="15.75" customHeight="1" x14ac:dyDescent="0.25">
      <c r="L2325" s="5"/>
      <c r="M2325" s="5"/>
      <c r="N2325" s="5"/>
      <c r="O2325" s="5"/>
      <c r="P2325" s="5"/>
    </row>
    <row r="2326" spans="12:16" ht="15.75" customHeight="1" x14ac:dyDescent="0.25">
      <c r="L2326" s="5"/>
      <c r="M2326" s="5"/>
      <c r="N2326" s="5"/>
      <c r="O2326" s="5"/>
      <c r="P2326" s="5"/>
    </row>
    <row r="2327" spans="12:16" ht="15.75" customHeight="1" x14ac:dyDescent="0.25">
      <c r="L2327" s="5"/>
      <c r="M2327" s="5"/>
      <c r="N2327" s="5"/>
      <c r="O2327" s="5"/>
      <c r="P2327" s="5"/>
    </row>
    <row r="2328" spans="12:16" ht="15.75" customHeight="1" x14ac:dyDescent="0.25">
      <c r="L2328" s="5"/>
      <c r="M2328" s="5"/>
      <c r="N2328" s="5"/>
      <c r="O2328" s="5"/>
      <c r="P2328" s="5"/>
    </row>
    <row r="2329" spans="12:16" ht="15.75" customHeight="1" x14ac:dyDescent="0.25">
      <c r="L2329" s="5"/>
      <c r="M2329" s="5"/>
      <c r="N2329" s="5"/>
      <c r="O2329" s="5"/>
      <c r="P2329" s="5"/>
    </row>
    <row r="2330" spans="12:16" ht="15.75" customHeight="1" x14ac:dyDescent="0.25">
      <c r="L2330" s="5"/>
      <c r="M2330" s="5"/>
      <c r="N2330" s="5"/>
      <c r="O2330" s="5"/>
      <c r="P2330" s="5"/>
    </row>
    <row r="2331" spans="12:16" ht="15.75" customHeight="1" x14ac:dyDescent="0.25">
      <c r="L2331" s="5"/>
      <c r="M2331" s="5"/>
      <c r="N2331" s="5"/>
      <c r="O2331" s="5"/>
      <c r="P2331" s="5"/>
    </row>
    <row r="2332" spans="12:16" ht="15.75" customHeight="1" x14ac:dyDescent="0.25">
      <c r="L2332" s="5"/>
      <c r="M2332" s="5"/>
      <c r="N2332" s="5"/>
      <c r="O2332" s="5"/>
      <c r="P2332" s="5"/>
    </row>
    <row r="2333" spans="12:16" ht="15.75" customHeight="1" x14ac:dyDescent="0.25">
      <c r="L2333" s="5"/>
      <c r="M2333" s="5"/>
      <c r="N2333" s="5"/>
      <c r="O2333" s="5"/>
      <c r="P2333" s="5"/>
    </row>
    <row r="2334" spans="12:16" ht="15.75" customHeight="1" x14ac:dyDescent="0.25">
      <c r="L2334" s="5"/>
      <c r="M2334" s="5"/>
      <c r="N2334" s="5"/>
      <c r="O2334" s="5"/>
      <c r="P2334" s="5"/>
    </row>
    <row r="2335" spans="12:16" ht="15.75" customHeight="1" x14ac:dyDescent="0.25">
      <c r="L2335" s="5"/>
      <c r="M2335" s="5"/>
      <c r="N2335" s="5"/>
      <c r="O2335" s="5"/>
      <c r="P2335" s="5"/>
    </row>
    <row r="2336" spans="12:16" ht="15.75" customHeight="1" x14ac:dyDescent="0.25">
      <c r="L2336" s="5"/>
      <c r="M2336" s="5"/>
      <c r="N2336" s="5"/>
      <c r="O2336" s="5"/>
      <c r="P2336" s="5"/>
    </row>
    <row r="2337" spans="12:16" ht="15.75" customHeight="1" x14ac:dyDescent="0.25">
      <c r="L2337" s="5"/>
      <c r="M2337" s="5"/>
      <c r="N2337" s="5"/>
      <c r="O2337" s="5"/>
      <c r="P2337" s="5"/>
    </row>
    <row r="2338" spans="12:16" ht="15.75" customHeight="1" x14ac:dyDescent="0.25">
      <c r="L2338" s="5"/>
      <c r="M2338" s="5"/>
      <c r="N2338" s="5"/>
      <c r="O2338" s="5"/>
      <c r="P2338" s="5"/>
    </row>
    <row r="2339" spans="12:16" ht="15.75" customHeight="1" x14ac:dyDescent="0.25">
      <c r="L2339" s="5"/>
      <c r="M2339" s="5"/>
      <c r="N2339" s="5"/>
      <c r="O2339" s="5"/>
      <c r="P2339" s="5"/>
    </row>
    <row r="2340" spans="12:16" ht="15.75" customHeight="1" x14ac:dyDescent="0.25">
      <c r="L2340" s="5"/>
      <c r="M2340" s="5"/>
      <c r="N2340" s="5"/>
      <c r="O2340" s="5"/>
      <c r="P2340" s="5"/>
    </row>
    <row r="2341" spans="12:16" ht="15.75" customHeight="1" x14ac:dyDescent="0.25">
      <c r="L2341" s="5"/>
      <c r="M2341" s="5"/>
      <c r="N2341" s="5"/>
      <c r="O2341" s="5"/>
      <c r="P2341" s="5"/>
    </row>
    <row r="2342" spans="12:16" ht="15.75" customHeight="1" x14ac:dyDescent="0.25">
      <c r="L2342" s="5"/>
      <c r="M2342" s="5"/>
      <c r="N2342" s="5"/>
      <c r="O2342" s="5"/>
      <c r="P2342" s="5"/>
    </row>
    <row r="2343" spans="12:16" ht="15.75" customHeight="1" x14ac:dyDescent="0.25">
      <c r="L2343" s="5"/>
      <c r="M2343" s="5"/>
      <c r="N2343" s="5"/>
      <c r="O2343" s="5"/>
      <c r="P2343" s="5"/>
    </row>
    <row r="2344" spans="12:16" ht="15.75" customHeight="1" x14ac:dyDescent="0.25">
      <c r="L2344" s="5"/>
      <c r="M2344" s="5"/>
      <c r="N2344" s="5"/>
      <c r="O2344" s="5"/>
      <c r="P2344" s="5"/>
    </row>
    <row r="2345" spans="12:16" ht="15.75" customHeight="1" x14ac:dyDescent="0.25">
      <c r="L2345" s="5"/>
      <c r="M2345" s="5"/>
      <c r="N2345" s="5"/>
      <c r="O2345" s="5"/>
      <c r="P2345" s="5"/>
    </row>
    <row r="2346" spans="12:16" ht="15.75" customHeight="1" x14ac:dyDescent="0.25">
      <c r="L2346" s="5"/>
      <c r="M2346" s="5"/>
      <c r="N2346" s="5"/>
      <c r="O2346" s="5"/>
      <c r="P2346" s="5"/>
    </row>
    <row r="2347" spans="12:16" ht="15.75" customHeight="1" x14ac:dyDescent="0.25">
      <c r="L2347" s="5"/>
      <c r="M2347" s="5"/>
      <c r="N2347" s="5"/>
      <c r="O2347" s="5"/>
      <c r="P2347" s="5"/>
    </row>
    <row r="2348" spans="12:16" ht="15.75" customHeight="1" x14ac:dyDescent="0.25">
      <c r="L2348" s="5"/>
      <c r="M2348" s="5"/>
      <c r="N2348" s="5"/>
      <c r="O2348" s="5"/>
      <c r="P2348" s="5"/>
    </row>
    <row r="2349" spans="12:16" ht="15.75" customHeight="1" x14ac:dyDescent="0.25">
      <c r="L2349" s="5"/>
      <c r="M2349" s="5"/>
      <c r="N2349" s="5"/>
      <c r="O2349" s="5"/>
      <c r="P2349" s="5"/>
    </row>
    <row r="2350" spans="12:16" ht="15.75" customHeight="1" x14ac:dyDescent="0.25">
      <c r="L2350" s="5"/>
      <c r="M2350" s="5"/>
      <c r="N2350" s="5"/>
      <c r="O2350" s="5"/>
      <c r="P2350" s="5"/>
    </row>
    <row r="2351" spans="12:16" ht="15.75" customHeight="1" x14ac:dyDescent="0.25">
      <c r="L2351" s="5"/>
      <c r="M2351" s="5"/>
      <c r="N2351" s="5"/>
      <c r="O2351" s="5"/>
      <c r="P2351" s="5"/>
    </row>
    <row r="2352" spans="12:16" ht="15.75" customHeight="1" x14ac:dyDescent="0.25">
      <c r="L2352" s="5"/>
      <c r="M2352" s="5"/>
      <c r="N2352" s="5"/>
      <c r="O2352" s="5"/>
      <c r="P2352" s="5"/>
    </row>
    <row r="2353" spans="12:16" ht="15.75" customHeight="1" x14ac:dyDescent="0.25">
      <c r="L2353" s="5"/>
      <c r="M2353" s="5"/>
      <c r="N2353" s="5"/>
      <c r="O2353" s="5"/>
      <c r="P2353" s="5"/>
    </row>
    <row r="2354" spans="12:16" ht="15.75" customHeight="1" x14ac:dyDescent="0.25">
      <c r="L2354" s="5"/>
      <c r="M2354" s="5"/>
      <c r="N2354" s="5"/>
      <c r="O2354" s="5"/>
      <c r="P2354" s="5"/>
    </row>
    <row r="2355" spans="12:16" ht="15.75" customHeight="1" x14ac:dyDescent="0.25">
      <c r="L2355" s="5"/>
      <c r="M2355" s="5"/>
      <c r="N2355" s="5"/>
      <c r="O2355" s="5"/>
      <c r="P2355" s="5"/>
    </row>
    <row r="2356" spans="12:16" ht="15.75" customHeight="1" x14ac:dyDescent="0.25">
      <c r="L2356" s="5"/>
      <c r="M2356" s="5"/>
      <c r="N2356" s="5"/>
      <c r="O2356" s="5"/>
      <c r="P2356" s="5"/>
    </row>
    <row r="2357" spans="12:16" ht="15.75" customHeight="1" x14ac:dyDescent="0.25">
      <c r="L2357" s="5"/>
      <c r="M2357" s="5"/>
      <c r="N2357" s="5"/>
      <c r="O2357" s="5"/>
      <c r="P2357" s="5"/>
    </row>
    <row r="2358" spans="12:16" ht="15.75" customHeight="1" x14ac:dyDescent="0.25">
      <c r="L2358" s="5"/>
      <c r="M2358" s="5"/>
      <c r="N2358" s="5"/>
      <c r="O2358" s="5"/>
      <c r="P2358" s="5"/>
    </row>
    <row r="2359" spans="12:16" ht="15.75" customHeight="1" x14ac:dyDescent="0.25">
      <c r="L2359" s="5"/>
      <c r="M2359" s="5"/>
      <c r="N2359" s="5"/>
      <c r="O2359" s="5"/>
      <c r="P2359" s="5"/>
    </row>
    <row r="2360" spans="12:16" ht="15.75" customHeight="1" x14ac:dyDescent="0.25">
      <c r="L2360" s="5"/>
      <c r="M2360" s="5"/>
      <c r="N2360" s="5"/>
      <c r="O2360" s="5"/>
      <c r="P2360" s="5"/>
    </row>
    <row r="2361" spans="12:16" ht="15.75" customHeight="1" x14ac:dyDescent="0.25">
      <c r="L2361" s="5"/>
      <c r="M2361" s="5"/>
      <c r="N2361" s="5"/>
      <c r="O2361" s="5"/>
      <c r="P2361" s="5"/>
    </row>
    <row r="2362" spans="12:16" ht="15.75" customHeight="1" x14ac:dyDescent="0.25">
      <c r="L2362" s="5"/>
      <c r="M2362" s="5"/>
      <c r="N2362" s="5"/>
      <c r="O2362" s="5"/>
      <c r="P2362" s="5"/>
    </row>
    <row r="2363" spans="12:16" ht="15.75" customHeight="1" x14ac:dyDescent="0.25">
      <c r="L2363" s="5"/>
      <c r="M2363" s="5"/>
      <c r="N2363" s="5"/>
      <c r="O2363" s="5"/>
      <c r="P2363" s="5"/>
    </row>
    <row r="2364" spans="12:16" ht="15.75" customHeight="1" x14ac:dyDescent="0.25">
      <c r="L2364" s="5"/>
      <c r="M2364" s="5"/>
      <c r="N2364" s="5"/>
      <c r="O2364" s="5"/>
      <c r="P2364" s="5"/>
    </row>
    <row r="2365" spans="12:16" ht="15.75" customHeight="1" x14ac:dyDescent="0.25">
      <c r="L2365" s="5"/>
      <c r="M2365" s="5"/>
      <c r="N2365" s="5"/>
      <c r="O2365" s="5"/>
      <c r="P2365" s="5"/>
    </row>
    <row r="2366" spans="12:16" ht="15.75" customHeight="1" x14ac:dyDescent="0.25">
      <c r="L2366" s="5"/>
      <c r="M2366" s="5"/>
      <c r="N2366" s="5"/>
      <c r="O2366" s="5"/>
      <c r="P2366" s="5"/>
    </row>
    <row r="2367" spans="12:16" ht="15.75" customHeight="1" x14ac:dyDescent="0.25">
      <c r="L2367" s="5"/>
      <c r="M2367" s="5"/>
      <c r="N2367" s="5"/>
      <c r="O2367" s="5"/>
      <c r="P2367" s="5"/>
    </row>
    <row r="2368" spans="12:16" ht="15.75" customHeight="1" x14ac:dyDescent="0.25">
      <c r="L2368" s="5"/>
      <c r="M2368" s="5"/>
      <c r="N2368" s="5"/>
      <c r="O2368" s="5"/>
      <c r="P2368" s="5"/>
    </row>
    <row r="2369" spans="12:16" ht="15.75" customHeight="1" x14ac:dyDescent="0.25">
      <c r="L2369" s="5"/>
      <c r="M2369" s="5"/>
      <c r="N2369" s="5"/>
      <c r="O2369" s="5"/>
      <c r="P2369" s="5"/>
    </row>
    <row r="2370" spans="12:16" ht="15.75" customHeight="1" x14ac:dyDescent="0.25">
      <c r="L2370" s="5"/>
      <c r="M2370" s="5"/>
      <c r="N2370" s="5"/>
      <c r="O2370" s="5"/>
      <c r="P2370" s="5"/>
    </row>
    <row r="2371" spans="12:16" ht="15.75" customHeight="1" x14ac:dyDescent="0.25">
      <c r="L2371" s="5"/>
      <c r="M2371" s="5"/>
      <c r="N2371" s="5"/>
      <c r="O2371" s="5"/>
      <c r="P2371" s="5"/>
    </row>
    <row r="2372" spans="12:16" ht="15.75" customHeight="1" x14ac:dyDescent="0.25">
      <c r="L2372" s="5"/>
      <c r="M2372" s="5"/>
      <c r="N2372" s="5"/>
      <c r="O2372" s="5"/>
      <c r="P2372" s="5"/>
    </row>
    <row r="2373" spans="12:16" ht="15.75" customHeight="1" x14ac:dyDescent="0.25">
      <c r="L2373" s="5"/>
      <c r="M2373" s="5"/>
      <c r="N2373" s="5"/>
      <c r="O2373" s="5"/>
      <c r="P2373" s="5"/>
    </row>
    <row r="2374" spans="12:16" ht="15.75" customHeight="1" x14ac:dyDescent="0.25">
      <c r="L2374" s="5"/>
      <c r="M2374" s="5"/>
      <c r="N2374" s="5"/>
      <c r="O2374" s="5"/>
      <c r="P2374" s="5"/>
    </row>
    <row r="2375" spans="12:16" ht="15.75" customHeight="1" x14ac:dyDescent="0.25">
      <c r="L2375" s="5"/>
      <c r="M2375" s="5"/>
      <c r="N2375" s="5"/>
      <c r="O2375" s="5"/>
      <c r="P2375" s="5"/>
    </row>
    <row r="2376" spans="12:16" ht="15.75" customHeight="1" x14ac:dyDescent="0.25">
      <c r="L2376" s="5"/>
      <c r="M2376" s="5"/>
      <c r="N2376" s="5"/>
      <c r="O2376" s="5"/>
      <c r="P2376" s="5"/>
    </row>
    <row r="2377" spans="12:16" ht="15.75" customHeight="1" x14ac:dyDescent="0.25">
      <c r="L2377" s="5"/>
      <c r="M2377" s="5"/>
      <c r="N2377" s="5"/>
      <c r="O2377" s="5"/>
      <c r="P2377" s="5"/>
    </row>
    <row r="2378" spans="12:16" ht="15.75" customHeight="1" x14ac:dyDescent="0.25">
      <c r="L2378" s="5"/>
      <c r="M2378" s="5"/>
      <c r="N2378" s="5"/>
      <c r="O2378" s="5"/>
      <c r="P2378" s="5"/>
    </row>
    <row r="2379" spans="12:16" ht="15.75" customHeight="1" x14ac:dyDescent="0.25">
      <c r="L2379" s="5"/>
      <c r="M2379" s="5"/>
      <c r="N2379" s="5"/>
      <c r="O2379" s="5"/>
      <c r="P2379" s="5"/>
    </row>
    <row r="2380" spans="12:16" ht="15.75" customHeight="1" x14ac:dyDescent="0.25">
      <c r="L2380" s="5"/>
      <c r="M2380" s="5"/>
      <c r="N2380" s="5"/>
      <c r="O2380" s="5"/>
      <c r="P2380" s="5"/>
    </row>
    <row r="2381" spans="12:16" ht="15.75" customHeight="1" x14ac:dyDescent="0.25">
      <c r="L2381" s="5"/>
      <c r="M2381" s="5"/>
      <c r="N2381" s="5"/>
      <c r="O2381" s="5"/>
      <c r="P2381" s="5"/>
    </row>
    <row r="2382" spans="12:16" ht="15.75" customHeight="1" x14ac:dyDescent="0.25">
      <c r="L2382" s="5"/>
      <c r="M2382" s="5"/>
      <c r="N2382" s="5"/>
      <c r="O2382" s="5"/>
      <c r="P2382" s="5"/>
    </row>
    <row r="2383" spans="12:16" ht="15.75" customHeight="1" x14ac:dyDescent="0.25">
      <c r="L2383" s="5"/>
      <c r="M2383" s="5"/>
      <c r="N2383" s="5"/>
      <c r="O2383" s="5"/>
      <c r="P2383" s="5"/>
    </row>
    <row r="2384" spans="12:16" ht="15.75" customHeight="1" x14ac:dyDescent="0.25">
      <c r="L2384" s="5"/>
      <c r="M2384" s="5"/>
      <c r="N2384" s="5"/>
      <c r="O2384" s="5"/>
      <c r="P2384" s="5"/>
    </row>
    <row r="2385" spans="12:16" ht="15.75" customHeight="1" x14ac:dyDescent="0.25">
      <c r="L2385" s="5"/>
      <c r="M2385" s="5"/>
      <c r="N2385" s="5"/>
      <c r="O2385" s="5"/>
      <c r="P2385" s="5"/>
    </row>
    <row r="2386" spans="12:16" ht="15.75" customHeight="1" x14ac:dyDescent="0.25">
      <c r="L2386" s="5"/>
      <c r="M2386" s="5"/>
      <c r="N2386" s="5"/>
      <c r="O2386" s="5"/>
      <c r="P2386" s="5"/>
    </row>
    <row r="2387" spans="12:16" ht="15.75" customHeight="1" x14ac:dyDescent="0.25">
      <c r="L2387" s="5"/>
      <c r="M2387" s="5"/>
      <c r="N2387" s="5"/>
      <c r="O2387" s="5"/>
      <c r="P2387" s="5"/>
    </row>
    <row r="2388" spans="12:16" ht="15.75" customHeight="1" x14ac:dyDescent="0.25">
      <c r="L2388" s="5"/>
      <c r="M2388" s="5"/>
      <c r="N2388" s="5"/>
      <c r="O2388" s="5"/>
      <c r="P2388" s="5"/>
    </row>
    <row r="2389" spans="12:16" ht="15.75" customHeight="1" x14ac:dyDescent="0.25">
      <c r="L2389" s="5"/>
      <c r="M2389" s="5"/>
      <c r="N2389" s="5"/>
      <c r="O2389" s="5"/>
      <c r="P2389" s="5"/>
    </row>
    <row r="2390" spans="12:16" ht="15.75" customHeight="1" x14ac:dyDescent="0.25">
      <c r="L2390" s="5"/>
      <c r="M2390" s="5"/>
      <c r="N2390" s="5"/>
      <c r="O2390" s="5"/>
      <c r="P2390" s="5"/>
    </row>
    <row r="2391" spans="12:16" ht="15.75" customHeight="1" x14ac:dyDescent="0.25">
      <c r="L2391" s="5"/>
      <c r="M2391" s="5"/>
      <c r="N2391" s="5"/>
      <c r="O2391" s="5"/>
      <c r="P2391" s="5"/>
    </row>
    <row r="2392" spans="12:16" ht="15.75" customHeight="1" x14ac:dyDescent="0.25">
      <c r="L2392" s="5"/>
      <c r="M2392" s="5"/>
      <c r="N2392" s="5"/>
      <c r="O2392" s="5"/>
      <c r="P2392" s="5"/>
    </row>
    <row r="2393" spans="12:16" ht="15.75" customHeight="1" x14ac:dyDescent="0.25">
      <c r="L2393" s="5"/>
      <c r="M2393" s="5"/>
      <c r="N2393" s="5"/>
      <c r="O2393" s="5"/>
      <c r="P2393" s="5"/>
    </row>
    <row r="2394" spans="12:16" ht="15.75" customHeight="1" x14ac:dyDescent="0.25">
      <c r="L2394" s="5"/>
      <c r="M2394" s="5"/>
      <c r="N2394" s="5"/>
      <c r="O2394" s="5"/>
      <c r="P2394" s="5"/>
    </row>
    <row r="2395" spans="12:16" ht="15.75" customHeight="1" x14ac:dyDescent="0.25">
      <c r="L2395" s="5"/>
      <c r="M2395" s="5"/>
      <c r="N2395" s="5"/>
      <c r="O2395" s="5"/>
      <c r="P2395" s="5"/>
    </row>
    <row r="2396" spans="12:16" ht="15.75" customHeight="1" x14ac:dyDescent="0.25">
      <c r="L2396" s="5"/>
      <c r="M2396" s="5"/>
      <c r="N2396" s="5"/>
      <c r="O2396" s="5"/>
      <c r="P2396" s="5"/>
    </row>
    <row r="2397" spans="12:16" ht="15.75" customHeight="1" x14ac:dyDescent="0.25">
      <c r="L2397" s="5"/>
      <c r="M2397" s="5"/>
      <c r="N2397" s="5"/>
      <c r="O2397" s="5"/>
      <c r="P2397" s="5"/>
    </row>
    <row r="2398" spans="12:16" ht="15.75" customHeight="1" x14ac:dyDescent="0.25">
      <c r="L2398" s="5"/>
      <c r="M2398" s="5"/>
      <c r="N2398" s="5"/>
      <c r="O2398" s="5"/>
      <c r="P2398" s="5"/>
    </row>
    <row r="2399" spans="12:16" ht="15.75" customHeight="1" x14ac:dyDescent="0.25">
      <c r="L2399" s="5"/>
      <c r="M2399" s="5"/>
      <c r="N2399" s="5"/>
      <c r="O2399" s="5"/>
      <c r="P2399" s="5"/>
    </row>
    <row r="2400" spans="12:16" ht="15.75" customHeight="1" x14ac:dyDescent="0.25">
      <c r="L2400" s="5"/>
      <c r="M2400" s="5"/>
      <c r="N2400" s="5"/>
      <c r="O2400" s="5"/>
      <c r="P2400" s="5"/>
    </row>
    <row r="2401" spans="12:16" ht="15.75" customHeight="1" x14ac:dyDescent="0.25">
      <c r="L2401" s="5"/>
      <c r="M2401" s="5"/>
      <c r="N2401" s="5"/>
      <c r="O2401" s="5"/>
      <c r="P2401" s="5"/>
    </row>
    <row r="2402" spans="12:16" ht="15.75" customHeight="1" x14ac:dyDescent="0.25">
      <c r="L2402" s="5"/>
      <c r="M2402" s="5"/>
      <c r="N2402" s="5"/>
      <c r="O2402" s="5"/>
      <c r="P2402" s="5"/>
    </row>
    <row r="2403" spans="12:16" ht="15.75" customHeight="1" x14ac:dyDescent="0.25">
      <c r="L2403" s="5"/>
      <c r="M2403" s="5"/>
      <c r="N2403" s="5"/>
      <c r="O2403" s="5"/>
      <c r="P2403" s="5"/>
    </row>
    <row r="2404" spans="12:16" ht="15.75" customHeight="1" x14ac:dyDescent="0.25">
      <c r="L2404" s="5"/>
      <c r="M2404" s="5"/>
      <c r="N2404" s="5"/>
      <c r="O2404" s="5"/>
      <c r="P2404" s="5"/>
    </row>
    <row r="2405" spans="12:16" ht="15.75" customHeight="1" x14ac:dyDescent="0.25">
      <c r="L2405" s="5"/>
      <c r="M2405" s="5"/>
      <c r="N2405" s="5"/>
      <c r="O2405" s="5"/>
      <c r="P2405" s="5"/>
    </row>
    <row r="2406" spans="12:16" ht="15.75" customHeight="1" x14ac:dyDescent="0.25">
      <c r="L2406" s="5"/>
      <c r="M2406" s="5"/>
      <c r="N2406" s="5"/>
      <c r="O2406" s="5"/>
      <c r="P2406" s="5"/>
    </row>
    <row r="2407" spans="12:16" ht="15.75" customHeight="1" x14ac:dyDescent="0.25">
      <c r="L2407" s="5"/>
      <c r="M2407" s="5"/>
      <c r="N2407" s="5"/>
      <c r="O2407" s="5"/>
      <c r="P2407" s="5"/>
    </row>
    <row r="2408" spans="12:16" ht="15.75" customHeight="1" x14ac:dyDescent="0.25">
      <c r="L2408" s="5"/>
      <c r="M2408" s="5"/>
      <c r="N2408" s="5"/>
      <c r="O2408" s="5"/>
      <c r="P2408" s="5"/>
    </row>
    <row r="2409" spans="12:16" ht="15.75" customHeight="1" x14ac:dyDescent="0.25">
      <c r="L2409" s="5"/>
      <c r="M2409" s="5"/>
      <c r="N2409" s="5"/>
      <c r="O2409" s="5"/>
      <c r="P2409" s="5"/>
    </row>
    <row r="2410" spans="12:16" ht="15.75" customHeight="1" x14ac:dyDescent="0.25">
      <c r="L2410" s="5"/>
      <c r="M2410" s="5"/>
      <c r="N2410" s="5"/>
      <c r="O2410" s="5"/>
      <c r="P2410" s="5"/>
    </row>
    <row r="2411" spans="12:16" ht="15.75" customHeight="1" x14ac:dyDescent="0.25">
      <c r="L2411" s="5"/>
      <c r="M2411" s="5"/>
      <c r="N2411" s="5"/>
      <c r="O2411" s="5"/>
      <c r="P2411" s="5"/>
    </row>
    <row r="2412" spans="12:16" ht="15.75" customHeight="1" x14ac:dyDescent="0.25">
      <c r="L2412" s="5"/>
      <c r="M2412" s="5"/>
      <c r="N2412" s="5"/>
      <c r="O2412" s="5"/>
      <c r="P2412" s="5"/>
    </row>
    <row r="2413" spans="12:16" ht="15.75" customHeight="1" x14ac:dyDescent="0.25">
      <c r="L2413" s="5"/>
      <c r="M2413" s="5"/>
      <c r="N2413" s="5"/>
      <c r="O2413" s="5"/>
      <c r="P2413" s="5"/>
    </row>
    <row r="2414" spans="12:16" ht="15.75" customHeight="1" x14ac:dyDescent="0.25">
      <c r="L2414" s="5"/>
      <c r="M2414" s="5"/>
      <c r="N2414" s="5"/>
      <c r="O2414" s="5"/>
      <c r="P2414" s="5"/>
    </row>
    <row r="2415" spans="12:16" ht="15.75" customHeight="1" x14ac:dyDescent="0.25">
      <c r="L2415" s="5"/>
      <c r="M2415" s="5"/>
      <c r="N2415" s="5"/>
      <c r="O2415" s="5"/>
      <c r="P2415" s="5"/>
    </row>
    <row r="2416" spans="12:16" ht="15.75" customHeight="1" x14ac:dyDescent="0.25">
      <c r="L2416" s="5"/>
      <c r="M2416" s="5"/>
      <c r="N2416" s="5"/>
      <c r="O2416" s="5"/>
      <c r="P2416" s="5"/>
    </row>
    <row r="2417" spans="12:16" ht="15.75" customHeight="1" x14ac:dyDescent="0.25">
      <c r="L2417" s="5"/>
      <c r="M2417" s="5"/>
      <c r="N2417" s="5"/>
      <c r="O2417" s="5"/>
      <c r="P2417" s="5"/>
    </row>
    <row r="2418" spans="12:16" ht="15.75" customHeight="1" x14ac:dyDescent="0.25">
      <c r="L2418" s="5"/>
      <c r="M2418" s="5"/>
      <c r="N2418" s="5"/>
      <c r="O2418" s="5"/>
      <c r="P2418" s="5"/>
    </row>
    <row r="2419" spans="12:16" ht="15.75" customHeight="1" x14ac:dyDescent="0.25">
      <c r="L2419" s="5"/>
      <c r="M2419" s="5"/>
      <c r="N2419" s="5"/>
      <c r="O2419" s="5"/>
      <c r="P2419" s="5"/>
    </row>
    <row r="2420" spans="12:16" ht="15.75" customHeight="1" x14ac:dyDescent="0.25">
      <c r="L2420" s="5"/>
      <c r="M2420" s="5"/>
      <c r="N2420" s="5"/>
      <c r="O2420" s="5"/>
      <c r="P2420" s="5"/>
    </row>
    <row r="2421" spans="12:16" ht="15.75" customHeight="1" x14ac:dyDescent="0.25">
      <c r="L2421" s="5"/>
      <c r="M2421" s="5"/>
      <c r="N2421" s="5"/>
      <c r="O2421" s="5"/>
      <c r="P2421" s="5"/>
    </row>
    <row r="2422" spans="12:16" ht="15.75" customHeight="1" x14ac:dyDescent="0.25">
      <c r="L2422" s="5"/>
      <c r="M2422" s="5"/>
      <c r="N2422" s="5"/>
      <c r="O2422" s="5"/>
      <c r="P2422" s="5"/>
    </row>
    <row r="2423" spans="12:16" ht="15.75" customHeight="1" x14ac:dyDescent="0.25">
      <c r="L2423" s="5"/>
      <c r="M2423" s="5"/>
      <c r="N2423" s="5"/>
      <c r="O2423" s="5"/>
      <c r="P2423" s="5"/>
    </row>
    <row r="2424" spans="12:16" ht="15.75" customHeight="1" x14ac:dyDescent="0.25">
      <c r="L2424" s="5"/>
      <c r="M2424" s="5"/>
      <c r="N2424" s="5"/>
      <c r="O2424" s="5"/>
      <c r="P2424" s="5"/>
    </row>
    <row r="2425" spans="12:16" ht="15.75" customHeight="1" x14ac:dyDescent="0.25">
      <c r="L2425" s="5"/>
      <c r="M2425" s="5"/>
      <c r="N2425" s="5"/>
      <c r="O2425" s="5"/>
      <c r="P2425" s="5"/>
    </row>
    <row r="2426" spans="12:16" ht="15.75" customHeight="1" x14ac:dyDescent="0.25">
      <c r="L2426" s="5"/>
      <c r="M2426" s="5"/>
      <c r="N2426" s="5"/>
      <c r="O2426" s="5"/>
      <c r="P2426" s="5"/>
    </row>
    <row r="2427" spans="12:16" ht="15.75" customHeight="1" x14ac:dyDescent="0.25">
      <c r="L2427" s="5"/>
      <c r="M2427" s="5"/>
      <c r="N2427" s="5"/>
      <c r="O2427" s="5"/>
      <c r="P2427" s="5"/>
    </row>
    <row r="2428" spans="12:16" ht="15.75" customHeight="1" x14ac:dyDescent="0.25">
      <c r="L2428" s="5"/>
      <c r="M2428" s="5"/>
      <c r="N2428" s="5"/>
      <c r="O2428" s="5"/>
      <c r="P2428" s="5"/>
    </row>
    <row r="2429" spans="12:16" ht="15.75" customHeight="1" x14ac:dyDescent="0.25">
      <c r="L2429" s="5"/>
      <c r="M2429" s="5"/>
      <c r="N2429" s="5"/>
      <c r="O2429" s="5"/>
      <c r="P2429" s="5"/>
    </row>
    <row r="2430" spans="12:16" ht="15.75" customHeight="1" x14ac:dyDescent="0.25">
      <c r="L2430" s="5"/>
      <c r="M2430" s="5"/>
      <c r="N2430" s="5"/>
      <c r="O2430" s="5"/>
      <c r="P2430" s="5"/>
    </row>
    <row r="2431" spans="12:16" ht="15.75" customHeight="1" x14ac:dyDescent="0.25">
      <c r="L2431" s="5"/>
      <c r="M2431" s="5"/>
      <c r="N2431" s="5"/>
      <c r="O2431" s="5"/>
      <c r="P2431" s="5"/>
    </row>
    <row r="2432" spans="12:16" ht="15.75" customHeight="1" x14ac:dyDescent="0.25">
      <c r="L2432" s="5"/>
      <c r="M2432" s="5"/>
      <c r="N2432" s="5"/>
      <c r="O2432" s="5"/>
      <c r="P2432" s="5"/>
    </row>
    <row r="2433" spans="12:16" ht="15.75" customHeight="1" x14ac:dyDescent="0.25">
      <c r="L2433" s="5"/>
      <c r="M2433" s="5"/>
      <c r="N2433" s="5"/>
      <c r="O2433" s="5"/>
      <c r="P2433" s="5"/>
    </row>
    <row r="2434" spans="12:16" ht="15.75" customHeight="1" x14ac:dyDescent="0.25">
      <c r="L2434" s="5"/>
      <c r="M2434" s="5"/>
      <c r="N2434" s="5"/>
      <c r="O2434" s="5"/>
      <c r="P2434" s="5"/>
    </row>
    <row r="2435" spans="12:16" ht="15.75" customHeight="1" x14ac:dyDescent="0.25">
      <c r="L2435" s="5"/>
      <c r="M2435" s="5"/>
      <c r="N2435" s="5"/>
      <c r="O2435" s="5"/>
      <c r="P2435" s="5"/>
    </row>
    <row r="2436" spans="12:16" ht="15.75" customHeight="1" x14ac:dyDescent="0.25">
      <c r="L2436" s="5"/>
      <c r="M2436" s="5"/>
      <c r="N2436" s="5"/>
      <c r="O2436" s="5"/>
      <c r="P2436" s="5"/>
    </row>
    <row r="2437" spans="12:16" ht="15.75" customHeight="1" x14ac:dyDescent="0.25">
      <c r="L2437" s="5"/>
      <c r="M2437" s="5"/>
      <c r="N2437" s="5"/>
      <c r="O2437" s="5"/>
      <c r="P2437" s="5"/>
    </row>
    <row r="2438" spans="12:16" ht="15.75" customHeight="1" x14ac:dyDescent="0.25">
      <c r="L2438" s="5"/>
      <c r="M2438" s="5"/>
      <c r="N2438" s="5"/>
      <c r="O2438" s="5"/>
      <c r="P2438" s="5"/>
    </row>
    <row r="2439" spans="12:16" ht="15.75" customHeight="1" x14ac:dyDescent="0.25">
      <c r="L2439" s="5"/>
      <c r="M2439" s="5"/>
      <c r="N2439" s="5"/>
      <c r="O2439" s="5"/>
      <c r="P2439" s="5"/>
    </row>
    <row r="2440" spans="12:16" ht="15.75" customHeight="1" x14ac:dyDescent="0.25">
      <c r="L2440" s="5"/>
      <c r="M2440" s="5"/>
      <c r="N2440" s="5"/>
      <c r="O2440" s="5"/>
      <c r="P2440" s="5"/>
    </row>
    <row r="2441" spans="12:16" ht="15.75" customHeight="1" x14ac:dyDescent="0.25">
      <c r="L2441" s="5"/>
      <c r="M2441" s="5"/>
      <c r="N2441" s="5"/>
      <c r="O2441" s="5"/>
      <c r="P2441" s="5"/>
    </row>
    <row r="2442" spans="12:16" ht="15.75" customHeight="1" x14ac:dyDescent="0.25">
      <c r="L2442" s="5"/>
      <c r="M2442" s="5"/>
      <c r="N2442" s="5"/>
      <c r="O2442" s="5"/>
      <c r="P2442" s="5"/>
    </row>
    <row r="2443" spans="12:16" ht="15.75" customHeight="1" x14ac:dyDescent="0.25">
      <c r="L2443" s="5"/>
      <c r="M2443" s="5"/>
      <c r="N2443" s="5"/>
      <c r="O2443" s="5"/>
      <c r="P2443" s="5"/>
    </row>
    <row r="2444" spans="12:16" ht="15.75" customHeight="1" x14ac:dyDescent="0.25">
      <c r="L2444" s="5"/>
      <c r="M2444" s="5"/>
      <c r="N2444" s="5"/>
      <c r="O2444" s="5"/>
      <c r="P2444" s="5"/>
    </row>
    <row r="2445" spans="12:16" ht="15.75" customHeight="1" x14ac:dyDescent="0.25">
      <c r="L2445" s="5"/>
      <c r="M2445" s="5"/>
      <c r="N2445" s="5"/>
      <c r="O2445" s="5"/>
      <c r="P2445" s="5"/>
    </row>
    <row r="2446" spans="12:16" ht="15.75" customHeight="1" x14ac:dyDescent="0.25">
      <c r="L2446" s="5"/>
      <c r="M2446" s="5"/>
      <c r="N2446" s="5"/>
      <c r="O2446" s="5"/>
      <c r="P2446" s="5"/>
    </row>
    <row r="2447" spans="12:16" ht="15.75" customHeight="1" x14ac:dyDescent="0.25">
      <c r="L2447" s="5"/>
      <c r="M2447" s="5"/>
      <c r="N2447" s="5"/>
      <c r="O2447" s="5"/>
      <c r="P2447" s="5"/>
    </row>
    <row r="2448" spans="12:16" ht="15.75" customHeight="1" x14ac:dyDescent="0.25">
      <c r="L2448" s="5"/>
      <c r="M2448" s="5"/>
      <c r="N2448" s="5"/>
      <c r="O2448" s="5"/>
      <c r="P2448" s="5"/>
    </row>
    <row r="2449" spans="12:16" ht="15.75" customHeight="1" x14ac:dyDescent="0.25">
      <c r="L2449" s="5"/>
      <c r="M2449" s="5"/>
      <c r="N2449" s="5"/>
      <c r="O2449" s="5"/>
      <c r="P2449" s="5"/>
    </row>
    <row r="2450" spans="12:16" ht="15.75" customHeight="1" x14ac:dyDescent="0.25">
      <c r="L2450" s="5"/>
      <c r="M2450" s="5"/>
      <c r="N2450" s="5"/>
      <c r="O2450" s="5"/>
      <c r="P2450" s="5"/>
    </row>
    <row r="2451" spans="12:16" ht="15.75" customHeight="1" x14ac:dyDescent="0.25">
      <c r="L2451" s="5"/>
      <c r="M2451" s="5"/>
      <c r="N2451" s="5"/>
      <c r="O2451" s="5"/>
      <c r="P2451" s="5"/>
    </row>
    <row r="2452" spans="12:16" ht="15.75" customHeight="1" x14ac:dyDescent="0.25">
      <c r="L2452" s="5"/>
      <c r="M2452" s="5"/>
      <c r="N2452" s="5"/>
      <c r="O2452" s="5"/>
      <c r="P2452" s="5"/>
    </row>
    <row r="2453" spans="12:16" ht="15.75" customHeight="1" x14ac:dyDescent="0.25">
      <c r="L2453" s="5"/>
      <c r="M2453" s="5"/>
      <c r="N2453" s="5"/>
      <c r="O2453" s="5"/>
      <c r="P2453" s="5"/>
    </row>
    <row r="2454" spans="12:16" ht="15.75" customHeight="1" x14ac:dyDescent="0.25">
      <c r="L2454" s="5"/>
      <c r="M2454" s="5"/>
      <c r="N2454" s="5"/>
      <c r="O2454" s="5"/>
      <c r="P2454" s="5"/>
    </row>
    <row r="2455" spans="12:16" ht="15.75" customHeight="1" x14ac:dyDescent="0.25">
      <c r="L2455" s="5"/>
      <c r="M2455" s="5"/>
      <c r="N2455" s="5"/>
      <c r="O2455" s="5"/>
      <c r="P2455" s="5"/>
    </row>
    <row r="2456" spans="12:16" ht="15.75" customHeight="1" x14ac:dyDescent="0.25">
      <c r="L2456" s="5"/>
      <c r="M2456" s="5"/>
      <c r="N2456" s="5"/>
      <c r="O2456" s="5"/>
      <c r="P2456" s="5"/>
    </row>
    <row r="2457" spans="12:16" ht="15.75" customHeight="1" x14ac:dyDescent="0.25">
      <c r="L2457" s="5"/>
      <c r="M2457" s="5"/>
      <c r="N2457" s="5"/>
      <c r="O2457" s="5"/>
      <c r="P2457" s="5"/>
    </row>
    <row r="2458" spans="12:16" ht="15.75" customHeight="1" x14ac:dyDescent="0.25">
      <c r="L2458" s="5"/>
      <c r="M2458" s="5"/>
      <c r="N2458" s="5"/>
      <c r="O2458" s="5"/>
      <c r="P2458" s="5"/>
    </row>
    <row r="2459" spans="12:16" ht="15.75" customHeight="1" x14ac:dyDescent="0.25">
      <c r="L2459" s="5"/>
      <c r="M2459" s="5"/>
      <c r="N2459" s="5"/>
      <c r="O2459" s="5"/>
      <c r="P2459" s="5"/>
    </row>
    <row r="2460" spans="12:16" ht="15.75" customHeight="1" x14ac:dyDescent="0.25">
      <c r="L2460" s="5"/>
      <c r="M2460" s="5"/>
      <c r="N2460" s="5"/>
      <c r="O2460" s="5"/>
      <c r="P2460" s="5"/>
    </row>
    <row r="2461" spans="12:16" ht="15.75" customHeight="1" x14ac:dyDescent="0.25">
      <c r="L2461" s="5"/>
      <c r="M2461" s="5"/>
      <c r="N2461" s="5"/>
      <c r="O2461" s="5"/>
      <c r="P2461" s="5"/>
    </row>
    <row r="2462" spans="12:16" ht="15.75" customHeight="1" x14ac:dyDescent="0.25">
      <c r="L2462" s="5"/>
      <c r="M2462" s="5"/>
      <c r="N2462" s="5"/>
      <c r="O2462" s="5"/>
      <c r="P2462" s="5"/>
    </row>
    <row r="2463" spans="12:16" ht="15.75" customHeight="1" x14ac:dyDescent="0.25">
      <c r="L2463" s="5"/>
      <c r="M2463" s="5"/>
      <c r="N2463" s="5"/>
      <c r="O2463" s="5"/>
      <c r="P2463" s="5"/>
    </row>
    <row r="2464" spans="12:16" ht="15.75" customHeight="1" x14ac:dyDescent="0.25">
      <c r="L2464" s="5"/>
      <c r="M2464" s="5"/>
      <c r="N2464" s="5"/>
      <c r="O2464" s="5"/>
      <c r="P2464" s="5"/>
    </row>
    <row r="2465" spans="12:16" ht="15.75" customHeight="1" x14ac:dyDescent="0.25">
      <c r="L2465" s="5"/>
      <c r="M2465" s="5"/>
      <c r="N2465" s="5"/>
      <c r="O2465" s="5"/>
      <c r="P2465" s="5"/>
    </row>
    <row r="2466" spans="12:16" ht="15.75" customHeight="1" x14ac:dyDescent="0.25">
      <c r="L2466" s="5"/>
      <c r="M2466" s="5"/>
      <c r="N2466" s="5"/>
      <c r="O2466" s="5"/>
      <c r="P2466" s="5"/>
    </row>
    <row r="2467" spans="12:16" ht="15.75" customHeight="1" x14ac:dyDescent="0.25">
      <c r="L2467" s="5"/>
      <c r="M2467" s="5"/>
      <c r="N2467" s="5"/>
      <c r="O2467" s="5"/>
      <c r="P2467" s="5"/>
    </row>
    <row r="2468" spans="12:16" ht="15.75" customHeight="1" x14ac:dyDescent="0.25">
      <c r="L2468" s="5"/>
      <c r="M2468" s="5"/>
      <c r="N2468" s="5"/>
      <c r="O2468" s="5"/>
      <c r="P2468" s="5"/>
    </row>
    <row r="2469" spans="12:16" ht="15.75" customHeight="1" x14ac:dyDescent="0.25">
      <c r="L2469" s="5"/>
      <c r="M2469" s="5"/>
      <c r="N2469" s="5"/>
      <c r="O2469" s="5"/>
      <c r="P2469" s="5"/>
    </row>
    <row r="2470" spans="12:16" ht="15.75" customHeight="1" x14ac:dyDescent="0.25">
      <c r="L2470" s="5"/>
      <c r="M2470" s="5"/>
      <c r="N2470" s="5"/>
      <c r="O2470" s="5"/>
      <c r="P2470" s="5"/>
    </row>
    <row r="2471" spans="12:16" ht="15.75" customHeight="1" x14ac:dyDescent="0.25">
      <c r="L2471" s="5"/>
      <c r="M2471" s="5"/>
      <c r="N2471" s="5"/>
      <c r="O2471" s="5"/>
      <c r="P2471" s="5"/>
    </row>
    <row r="2472" spans="12:16" ht="15.75" customHeight="1" x14ac:dyDescent="0.25">
      <c r="L2472" s="5"/>
      <c r="M2472" s="5"/>
      <c r="N2472" s="5"/>
      <c r="O2472" s="5"/>
      <c r="P2472" s="5"/>
    </row>
    <row r="2473" spans="12:16" ht="15.75" customHeight="1" x14ac:dyDescent="0.25">
      <c r="L2473" s="5"/>
      <c r="M2473" s="5"/>
      <c r="N2473" s="5"/>
      <c r="O2473" s="5"/>
      <c r="P2473" s="5"/>
    </row>
    <row r="2474" spans="12:16" ht="15.75" customHeight="1" x14ac:dyDescent="0.25">
      <c r="L2474" s="5"/>
      <c r="M2474" s="5"/>
      <c r="N2474" s="5"/>
      <c r="O2474" s="5"/>
      <c r="P2474" s="5"/>
    </row>
    <row r="2475" spans="12:16" ht="15.75" customHeight="1" x14ac:dyDescent="0.25">
      <c r="L2475" s="5"/>
      <c r="M2475" s="5"/>
      <c r="N2475" s="5"/>
      <c r="O2475" s="5"/>
      <c r="P2475" s="5"/>
    </row>
    <row r="2476" spans="12:16" ht="15.75" customHeight="1" x14ac:dyDescent="0.25">
      <c r="L2476" s="5"/>
      <c r="M2476" s="5"/>
      <c r="N2476" s="5"/>
      <c r="O2476" s="5"/>
      <c r="P2476" s="5"/>
    </row>
    <row r="2477" spans="12:16" ht="15.75" customHeight="1" x14ac:dyDescent="0.25">
      <c r="L2477" s="5"/>
      <c r="M2477" s="5"/>
      <c r="N2477" s="5"/>
      <c r="O2477" s="5"/>
      <c r="P2477" s="5"/>
    </row>
    <row r="2478" spans="12:16" ht="15.75" customHeight="1" x14ac:dyDescent="0.25">
      <c r="L2478" s="5"/>
      <c r="M2478" s="5"/>
      <c r="N2478" s="5"/>
      <c r="O2478" s="5"/>
      <c r="P2478" s="5"/>
    </row>
    <row r="2479" spans="12:16" ht="15.75" customHeight="1" x14ac:dyDescent="0.25">
      <c r="L2479" s="5"/>
      <c r="M2479" s="5"/>
      <c r="N2479" s="5"/>
      <c r="O2479" s="5"/>
      <c r="P2479" s="5"/>
    </row>
    <row r="2480" spans="12:16" ht="15.75" customHeight="1" x14ac:dyDescent="0.25">
      <c r="L2480" s="5"/>
      <c r="M2480" s="5"/>
      <c r="N2480" s="5"/>
      <c r="O2480" s="5"/>
      <c r="P2480" s="5"/>
    </row>
    <row r="2481" spans="12:16" ht="15.75" customHeight="1" x14ac:dyDescent="0.25">
      <c r="L2481" s="5"/>
      <c r="M2481" s="5"/>
      <c r="N2481" s="5"/>
      <c r="O2481" s="5"/>
      <c r="P2481" s="5"/>
    </row>
    <row r="2482" spans="12:16" ht="15.75" customHeight="1" x14ac:dyDescent="0.25">
      <c r="L2482" s="5"/>
      <c r="M2482" s="5"/>
      <c r="N2482" s="5"/>
      <c r="O2482" s="5"/>
      <c r="P2482" s="5"/>
    </row>
    <row r="2483" spans="12:16" ht="15.75" customHeight="1" x14ac:dyDescent="0.25">
      <c r="L2483" s="5"/>
      <c r="M2483" s="5"/>
      <c r="N2483" s="5"/>
      <c r="O2483" s="5"/>
      <c r="P2483" s="5"/>
    </row>
    <row r="2484" spans="12:16" ht="15.75" customHeight="1" x14ac:dyDescent="0.25">
      <c r="L2484" s="5"/>
      <c r="M2484" s="5"/>
      <c r="N2484" s="5"/>
      <c r="O2484" s="5"/>
      <c r="P2484" s="5"/>
    </row>
    <row r="2485" spans="12:16" ht="15.75" customHeight="1" x14ac:dyDescent="0.25">
      <c r="L2485" s="5"/>
      <c r="M2485" s="5"/>
      <c r="N2485" s="5"/>
      <c r="O2485" s="5"/>
      <c r="P2485" s="5"/>
    </row>
    <row r="2486" spans="12:16" ht="15.75" customHeight="1" x14ac:dyDescent="0.25">
      <c r="L2486" s="5"/>
      <c r="M2486" s="5"/>
      <c r="N2486" s="5"/>
      <c r="O2486" s="5"/>
      <c r="P2486" s="5"/>
    </row>
    <row r="2487" spans="12:16" ht="15.75" customHeight="1" x14ac:dyDescent="0.25">
      <c r="L2487" s="5"/>
      <c r="M2487" s="5"/>
      <c r="N2487" s="5"/>
      <c r="O2487" s="5"/>
      <c r="P2487" s="5"/>
    </row>
    <row r="2488" spans="12:16" ht="15.75" customHeight="1" x14ac:dyDescent="0.25">
      <c r="L2488" s="5"/>
      <c r="M2488" s="5"/>
      <c r="N2488" s="5"/>
      <c r="O2488" s="5"/>
      <c r="P2488" s="5"/>
    </row>
    <row r="2489" spans="12:16" ht="15.75" customHeight="1" x14ac:dyDescent="0.25">
      <c r="L2489" s="5"/>
      <c r="M2489" s="5"/>
      <c r="N2489" s="5"/>
      <c r="O2489" s="5"/>
      <c r="P2489" s="5"/>
    </row>
    <row r="2490" spans="12:16" ht="15.75" customHeight="1" x14ac:dyDescent="0.25">
      <c r="L2490" s="5"/>
      <c r="M2490" s="5"/>
      <c r="N2490" s="5"/>
      <c r="O2490" s="5"/>
      <c r="P2490" s="5"/>
    </row>
    <row r="2491" spans="12:16" ht="15.75" customHeight="1" x14ac:dyDescent="0.25">
      <c r="L2491" s="5"/>
      <c r="M2491" s="5"/>
      <c r="N2491" s="5"/>
      <c r="O2491" s="5"/>
      <c r="P2491" s="5"/>
    </row>
    <row r="2492" spans="12:16" ht="15.75" customHeight="1" x14ac:dyDescent="0.25">
      <c r="L2492" s="5"/>
      <c r="M2492" s="5"/>
      <c r="N2492" s="5"/>
      <c r="O2492" s="5"/>
      <c r="P2492" s="5"/>
    </row>
    <row r="2493" spans="12:16" ht="15.75" customHeight="1" x14ac:dyDescent="0.25">
      <c r="L2493" s="5"/>
      <c r="M2493" s="5"/>
      <c r="N2493" s="5"/>
      <c r="O2493" s="5"/>
      <c r="P2493" s="5"/>
    </row>
    <row r="2494" spans="12:16" ht="15.75" customHeight="1" x14ac:dyDescent="0.25">
      <c r="L2494" s="5"/>
      <c r="M2494" s="5"/>
      <c r="N2494" s="5"/>
      <c r="O2494" s="5"/>
      <c r="P2494" s="5"/>
    </row>
    <row r="2495" spans="12:16" ht="15.75" customHeight="1" x14ac:dyDescent="0.25">
      <c r="L2495" s="5"/>
      <c r="M2495" s="5"/>
      <c r="N2495" s="5"/>
      <c r="O2495" s="5"/>
      <c r="P2495" s="5"/>
    </row>
    <row r="2496" spans="12:16" ht="15.75" customHeight="1" x14ac:dyDescent="0.25">
      <c r="L2496" s="5"/>
      <c r="M2496" s="5"/>
      <c r="N2496" s="5"/>
      <c r="O2496" s="5"/>
      <c r="P2496" s="5"/>
    </row>
    <row r="2497" spans="12:16" ht="15.75" customHeight="1" x14ac:dyDescent="0.25">
      <c r="L2497" s="5"/>
      <c r="M2497" s="5"/>
      <c r="N2497" s="5"/>
      <c r="O2497" s="5"/>
      <c r="P2497" s="5"/>
    </row>
    <row r="2498" spans="12:16" ht="15.75" customHeight="1" x14ac:dyDescent="0.25">
      <c r="L2498" s="5"/>
      <c r="M2498" s="5"/>
      <c r="N2498" s="5"/>
      <c r="O2498" s="5"/>
      <c r="P2498" s="5"/>
    </row>
    <row r="2499" spans="12:16" ht="15.75" customHeight="1" x14ac:dyDescent="0.25">
      <c r="L2499" s="5"/>
      <c r="M2499" s="5"/>
      <c r="N2499" s="5"/>
      <c r="O2499" s="5"/>
      <c r="P2499" s="5"/>
    </row>
    <row r="2500" spans="12:16" ht="15.75" customHeight="1" x14ac:dyDescent="0.25">
      <c r="L2500" s="5"/>
      <c r="M2500" s="5"/>
      <c r="N2500" s="5"/>
      <c r="O2500" s="5"/>
      <c r="P2500" s="5"/>
    </row>
    <row r="2501" spans="12:16" ht="15.75" customHeight="1" x14ac:dyDescent="0.25">
      <c r="L2501" s="5"/>
      <c r="M2501" s="5"/>
      <c r="N2501" s="5"/>
      <c r="O2501" s="5"/>
      <c r="P2501" s="5"/>
    </row>
    <row r="2502" spans="12:16" ht="15.75" customHeight="1" x14ac:dyDescent="0.25">
      <c r="L2502" s="5"/>
      <c r="M2502" s="5"/>
      <c r="N2502" s="5"/>
      <c r="O2502" s="5"/>
      <c r="P2502" s="5"/>
    </row>
    <row r="2503" spans="12:16" ht="15.75" customHeight="1" x14ac:dyDescent="0.25">
      <c r="L2503" s="5"/>
      <c r="M2503" s="5"/>
      <c r="N2503" s="5"/>
      <c r="O2503" s="5"/>
      <c r="P2503" s="5"/>
    </row>
    <row r="2504" spans="12:16" ht="15.75" customHeight="1" x14ac:dyDescent="0.25">
      <c r="L2504" s="5"/>
      <c r="M2504" s="5"/>
      <c r="N2504" s="5"/>
      <c r="O2504" s="5"/>
      <c r="P2504" s="5"/>
    </row>
    <row r="2505" spans="12:16" ht="15.75" customHeight="1" x14ac:dyDescent="0.25">
      <c r="L2505" s="5"/>
      <c r="M2505" s="5"/>
      <c r="N2505" s="5"/>
      <c r="O2505" s="5"/>
      <c r="P2505" s="5"/>
    </row>
    <row r="2506" spans="12:16" ht="15.75" customHeight="1" x14ac:dyDescent="0.25">
      <c r="L2506" s="5"/>
      <c r="M2506" s="5"/>
      <c r="N2506" s="5"/>
      <c r="O2506" s="5"/>
      <c r="P2506" s="5"/>
    </row>
    <row r="2507" spans="12:16" ht="15.75" customHeight="1" x14ac:dyDescent="0.25">
      <c r="L2507" s="5"/>
      <c r="M2507" s="5"/>
      <c r="N2507" s="5"/>
      <c r="O2507" s="5"/>
      <c r="P2507" s="5"/>
    </row>
    <row r="2508" spans="12:16" ht="15.75" customHeight="1" x14ac:dyDescent="0.25">
      <c r="L2508" s="5"/>
      <c r="M2508" s="5"/>
      <c r="N2508" s="5"/>
      <c r="O2508" s="5"/>
      <c r="P2508" s="5"/>
    </row>
    <row r="2509" spans="12:16" ht="15.75" customHeight="1" x14ac:dyDescent="0.25">
      <c r="L2509" s="5"/>
      <c r="M2509" s="5"/>
      <c r="N2509" s="5"/>
      <c r="O2509" s="5"/>
      <c r="P2509" s="5"/>
    </row>
    <row r="2510" spans="12:16" ht="15.75" customHeight="1" x14ac:dyDescent="0.25">
      <c r="L2510" s="5"/>
      <c r="M2510" s="5"/>
      <c r="N2510" s="5"/>
      <c r="O2510" s="5"/>
      <c r="P2510" s="5"/>
    </row>
    <row r="2511" spans="12:16" ht="15.75" customHeight="1" x14ac:dyDescent="0.25">
      <c r="L2511" s="5"/>
      <c r="M2511" s="5"/>
      <c r="N2511" s="5"/>
      <c r="O2511" s="5"/>
      <c r="P2511" s="5"/>
    </row>
    <row r="2512" spans="12:16" ht="15.75" customHeight="1" x14ac:dyDescent="0.25">
      <c r="L2512" s="5"/>
      <c r="M2512" s="5"/>
      <c r="N2512" s="5"/>
      <c r="O2512" s="5"/>
      <c r="P2512" s="5"/>
    </row>
    <row r="2513" spans="12:16" ht="15.75" customHeight="1" x14ac:dyDescent="0.25">
      <c r="L2513" s="5"/>
      <c r="M2513" s="5"/>
      <c r="N2513" s="5"/>
      <c r="O2513" s="5"/>
      <c r="P2513" s="5"/>
    </row>
    <row r="2514" spans="12:16" ht="15.75" customHeight="1" x14ac:dyDescent="0.25">
      <c r="L2514" s="5"/>
      <c r="M2514" s="5"/>
      <c r="N2514" s="5"/>
      <c r="O2514" s="5"/>
      <c r="P2514" s="5"/>
    </row>
    <row r="2515" spans="12:16" ht="15.75" customHeight="1" x14ac:dyDescent="0.25">
      <c r="L2515" s="5"/>
      <c r="M2515" s="5"/>
      <c r="N2515" s="5"/>
      <c r="O2515" s="5"/>
      <c r="P2515" s="5"/>
    </row>
    <row r="2516" spans="12:16" ht="15.75" customHeight="1" x14ac:dyDescent="0.25">
      <c r="L2516" s="5"/>
      <c r="M2516" s="5"/>
      <c r="N2516" s="5"/>
      <c r="O2516" s="5"/>
      <c r="P2516" s="5"/>
    </row>
    <row r="2517" spans="12:16" ht="15.75" customHeight="1" x14ac:dyDescent="0.25">
      <c r="L2517" s="5"/>
      <c r="M2517" s="5"/>
      <c r="N2517" s="5"/>
      <c r="O2517" s="5"/>
      <c r="P2517" s="5"/>
    </row>
    <row r="2518" spans="12:16" ht="15.75" customHeight="1" x14ac:dyDescent="0.25">
      <c r="L2518" s="5"/>
      <c r="M2518" s="5"/>
      <c r="N2518" s="5"/>
      <c r="O2518" s="5"/>
      <c r="P2518" s="5"/>
    </row>
    <row r="2519" spans="12:16" ht="15.75" customHeight="1" x14ac:dyDescent="0.25">
      <c r="L2519" s="5"/>
      <c r="M2519" s="5"/>
      <c r="N2519" s="5"/>
      <c r="O2519" s="5"/>
      <c r="P2519" s="5"/>
    </row>
    <row r="2520" spans="12:16" ht="15.75" customHeight="1" x14ac:dyDescent="0.25">
      <c r="L2520" s="5"/>
      <c r="M2520" s="5"/>
      <c r="N2520" s="5"/>
      <c r="O2520" s="5"/>
      <c r="P2520" s="5"/>
    </row>
    <row r="2521" spans="12:16" ht="15.75" customHeight="1" x14ac:dyDescent="0.25">
      <c r="L2521" s="5"/>
      <c r="M2521" s="5"/>
      <c r="N2521" s="5"/>
      <c r="O2521" s="5"/>
      <c r="P2521" s="5"/>
    </row>
    <row r="2522" spans="12:16" ht="15.75" customHeight="1" x14ac:dyDescent="0.25">
      <c r="L2522" s="5"/>
      <c r="M2522" s="5"/>
      <c r="N2522" s="5"/>
      <c r="O2522" s="5"/>
      <c r="P2522" s="5"/>
    </row>
    <row r="2523" spans="12:16" ht="15.75" customHeight="1" x14ac:dyDescent="0.25">
      <c r="L2523" s="5"/>
      <c r="M2523" s="5"/>
      <c r="N2523" s="5"/>
      <c r="O2523" s="5"/>
      <c r="P2523" s="5"/>
    </row>
    <row r="2524" spans="12:16" ht="15.75" customHeight="1" x14ac:dyDescent="0.25">
      <c r="L2524" s="5"/>
      <c r="M2524" s="5"/>
      <c r="N2524" s="5"/>
      <c r="O2524" s="5"/>
      <c r="P2524" s="5"/>
    </row>
    <row r="2525" spans="12:16" ht="15.75" customHeight="1" x14ac:dyDescent="0.25">
      <c r="L2525" s="5"/>
      <c r="M2525" s="5"/>
      <c r="N2525" s="5"/>
      <c r="O2525" s="5"/>
      <c r="P2525" s="5"/>
    </row>
    <row r="2526" spans="12:16" ht="15.75" customHeight="1" x14ac:dyDescent="0.25">
      <c r="L2526" s="5"/>
      <c r="M2526" s="5"/>
      <c r="N2526" s="5"/>
      <c r="O2526" s="5"/>
      <c r="P2526" s="5"/>
    </row>
    <row r="2527" spans="12:16" ht="15.75" customHeight="1" x14ac:dyDescent="0.25">
      <c r="L2527" s="5"/>
      <c r="M2527" s="5"/>
      <c r="N2527" s="5"/>
      <c r="O2527" s="5"/>
      <c r="P2527" s="5"/>
    </row>
    <row r="2528" spans="12:16" ht="15.75" customHeight="1" x14ac:dyDescent="0.25">
      <c r="L2528" s="5"/>
      <c r="M2528" s="5"/>
      <c r="N2528" s="5"/>
      <c r="O2528" s="5"/>
      <c r="P2528" s="5"/>
    </row>
    <row r="2529" spans="12:16" ht="15.75" customHeight="1" x14ac:dyDescent="0.25">
      <c r="L2529" s="5"/>
      <c r="M2529" s="5"/>
      <c r="N2529" s="5"/>
      <c r="O2529" s="5"/>
      <c r="P2529" s="5"/>
    </row>
    <row r="2530" spans="12:16" ht="15.75" customHeight="1" x14ac:dyDescent="0.25">
      <c r="L2530" s="5"/>
      <c r="M2530" s="5"/>
      <c r="N2530" s="5"/>
      <c r="O2530" s="5"/>
      <c r="P2530" s="5"/>
    </row>
    <row r="2531" spans="12:16" ht="15.75" customHeight="1" x14ac:dyDescent="0.25">
      <c r="L2531" s="5"/>
      <c r="M2531" s="5"/>
      <c r="N2531" s="5"/>
      <c r="O2531" s="5"/>
      <c r="P2531" s="5"/>
    </row>
    <row r="2532" spans="12:16" ht="15.75" customHeight="1" x14ac:dyDescent="0.25">
      <c r="L2532" s="5"/>
      <c r="M2532" s="5"/>
      <c r="N2532" s="5"/>
      <c r="O2532" s="5"/>
      <c r="P2532" s="5"/>
    </row>
    <row r="2533" spans="12:16" ht="15.75" customHeight="1" x14ac:dyDescent="0.25">
      <c r="L2533" s="5"/>
      <c r="M2533" s="5"/>
      <c r="N2533" s="5"/>
      <c r="O2533" s="5"/>
      <c r="P2533" s="5"/>
    </row>
    <row r="2534" spans="12:16" ht="15.75" customHeight="1" x14ac:dyDescent="0.25">
      <c r="L2534" s="5"/>
      <c r="M2534" s="5"/>
      <c r="N2534" s="5"/>
      <c r="O2534" s="5"/>
      <c r="P2534" s="5"/>
    </row>
    <row r="2535" spans="12:16" ht="15.75" customHeight="1" x14ac:dyDescent="0.25">
      <c r="L2535" s="5"/>
      <c r="M2535" s="5"/>
      <c r="N2535" s="5"/>
      <c r="O2535" s="5"/>
      <c r="P2535" s="5"/>
    </row>
    <row r="2536" spans="12:16" ht="15.75" customHeight="1" x14ac:dyDescent="0.25">
      <c r="L2536" s="5"/>
      <c r="M2536" s="5"/>
      <c r="N2536" s="5"/>
      <c r="O2536" s="5"/>
      <c r="P2536" s="5"/>
    </row>
    <row r="2537" spans="12:16" ht="15.75" customHeight="1" x14ac:dyDescent="0.25">
      <c r="L2537" s="5"/>
      <c r="M2537" s="5"/>
      <c r="N2537" s="5"/>
      <c r="O2537" s="5"/>
      <c r="P2537" s="5"/>
    </row>
    <row r="2538" spans="12:16" ht="15.75" customHeight="1" x14ac:dyDescent="0.25">
      <c r="L2538" s="5"/>
      <c r="M2538" s="5"/>
      <c r="N2538" s="5"/>
      <c r="O2538" s="5"/>
      <c r="P2538" s="5"/>
    </row>
    <row r="2539" spans="12:16" ht="15.75" customHeight="1" x14ac:dyDescent="0.25">
      <c r="L2539" s="5"/>
      <c r="M2539" s="5"/>
      <c r="N2539" s="5"/>
      <c r="O2539" s="5"/>
      <c r="P2539" s="5"/>
    </row>
    <row r="2540" spans="12:16" ht="15.75" customHeight="1" x14ac:dyDescent="0.25">
      <c r="L2540" s="5"/>
      <c r="M2540" s="5"/>
      <c r="N2540" s="5"/>
      <c r="O2540" s="5"/>
      <c r="P2540" s="5"/>
    </row>
    <row r="2541" spans="12:16" ht="15.75" customHeight="1" x14ac:dyDescent="0.25">
      <c r="L2541" s="5"/>
      <c r="M2541" s="5"/>
      <c r="N2541" s="5"/>
      <c r="O2541" s="5"/>
      <c r="P2541" s="5"/>
    </row>
    <row r="2542" spans="12:16" ht="15.75" customHeight="1" x14ac:dyDescent="0.25">
      <c r="L2542" s="5"/>
      <c r="M2542" s="5"/>
      <c r="N2542" s="5"/>
      <c r="O2542" s="5"/>
      <c r="P2542" s="5"/>
    </row>
    <row r="2543" spans="12:16" ht="15.75" customHeight="1" x14ac:dyDescent="0.25">
      <c r="L2543" s="5"/>
      <c r="M2543" s="5"/>
      <c r="N2543" s="5"/>
      <c r="O2543" s="5"/>
      <c r="P2543" s="5"/>
    </row>
    <row r="2544" spans="12:16" ht="15.75" customHeight="1" x14ac:dyDescent="0.25">
      <c r="L2544" s="5"/>
      <c r="M2544" s="5"/>
      <c r="N2544" s="5"/>
      <c r="O2544" s="5"/>
      <c r="P2544" s="5"/>
    </row>
    <row r="2545" spans="12:16" ht="15.75" customHeight="1" x14ac:dyDescent="0.25">
      <c r="L2545" s="5"/>
      <c r="M2545" s="5"/>
      <c r="N2545" s="5"/>
      <c r="O2545" s="5"/>
      <c r="P2545" s="5"/>
    </row>
    <row r="2546" spans="12:16" ht="15.75" customHeight="1" x14ac:dyDescent="0.25">
      <c r="L2546" s="5"/>
      <c r="M2546" s="5"/>
      <c r="N2546" s="5"/>
      <c r="O2546" s="5"/>
      <c r="P2546" s="5"/>
    </row>
    <row r="2547" spans="12:16" ht="15.75" customHeight="1" x14ac:dyDescent="0.25">
      <c r="L2547" s="5"/>
      <c r="M2547" s="5"/>
      <c r="N2547" s="5"/>
      <c r="O2547" s="5"/>
      <c r="P2547" s="5"/>
    </row>
    <row r="2548" spans="12:16" ht="15.75" customHeight="1" x14ac:dyDescent="0.25">
      <c r="L2548" s="5"/>
      <c r="M2548" s="5"/>
      <c r="N2548" s="5"/>
      <c r="O2548" s="5"/>
      <c r="P2548" s="5"/>
    </row>
    <row r="2549" spans="12:16" ht="15.75" customHeight="1" x14ac:dyDescent="0.25">
      <c r="L2549" s="5"/>
      <c r="M2549" s="5"/>
      <c r="N2549" s="5"/>
      <c r="O2549" s="5"/>
      <c r="P2549" s="5"/>
    </row>
    <row r="2550" spans="12:16" ht="15.75" customHeight="1" x14ac:dyDescent="0.25">
      <c r="L2550" s="5"/>
      <c r="M2550" s="5"/>
      <c r="N2550" s="5"/>
      <c r="O2550" s="5"/>
      <c r="P2550" s="5"/>
    </row>
    <row r="2551" spans="12:16" ht="15.75" customHeight="1" x14ac:dyDescent="0.25">
      <c r="L2551" s="5"/>
      <c r="M2551" s="5"/>
      <c r="N2551" s="5"/>
      <c r="O2551" s="5"/>
      <c r="P2551" s="5"/>
    </row>
    <row r="2552" spans="12:16" ht="15.75" customHeight="1" x14ac:dyDescent="0.25">
      <c r="L2552" s="5"/>
      <c r="M2552" s="5"/>
      <c r="N2552" s="5"/>
      <c r="O2552" s="5"/>
      <c r="P2552" s="5"/>
    </row>
    <row r="2553" spans="12:16" ht="15.75" customHeight="1" x14ac:dyDescent="0.25">
      <c r="L2553" s="5"/>
      <c r="M2553" s="5"/>
      <c r="N2553" s="5"/>
      <c r="O2553" s="5"/>
      <c r="P2553" s="5"/>
    </row>
    <row r="2554" spans="12:16" ht="15.75" customHeight="1" x14ac:dyDescent="0.25">
      <c r="L2554" s="5"/>
      <c r="M2554" s="5"/>
      <c r="N2554" s="5"/>
      <c r="O2554" s="5"/>
      <c r="P2554" s="5"/>
    </row>
    <row r="2555" spans="12:16" ht="15.75" customHeight="1" x14ac:dyDescent="0.25">
      <c r="L2555" s="5"/>
      <c r="M2555" s="5"/>
      <c r="N2555" s="5"/>
      <c r="O2555" s="5"/>
      <c r="P2555" s="5"/>
    </row>
    <row r="2556" spans="12:16" ht="15.75" customHeight="1" x14ac:dyDescent="0.25">
      <c r="L2556" s="5"/>
      <c r="M2556" s="5"/>
      <c r="N2556" s="5"/>
      <c r="O2556" s="5"/>
      <c r="P2556" s="5"/>
    </row>
    <row r="2557" spans="12:16" ht="15.75" customHeight="1" x14ac:dyDescent="0.25">
      <c r="L2557" s="5"/>
      <c r="M2557" s="5"/>
      <c r="N2557" s="5"/>
      <c r="O2557" s="5"/>
      <c r="P2557" s="5"/>
    </row>
    <row r="2558" spans="12:16" ht="15.75" customHeight="1" x14ac:dyDescent="0.25">
      <c r="L2558" s="5"/>
      <c r="M2558" s="5"/>
      <c r="N2558" s="5"/>
      <c r="O2558" s="5"/>
      <c r="P2558" s="5"/>
    </row>
    <row r="2559" spans="12:16" ht="15.75" customHeight="1" x14ac:dyDescent="0.25">
      <c r="L2559" s="5"/>
      <c r="M2559" s="5"/>
      <c r="N2559" s="5"/>
      <c r="O2559" s="5"/>
      <c r="P2559" s="5"/>
    </row>
    <row r="2560" spans="12:16" ht="15.75" customHeight="1" x14ac:dyDescent="0.25">
      <c r="L2560" s="5"/>
      <c r="M2560" s="5"/>
      <c r="N2560" s="5"/>
      <c r="O2560" s="5"/>
      <c r="P2560" s="5"/>
    </row>
    <row r="2561" spans="12:16" ht="15.75" customHeight="1" x14ac:dyDescent="0.25">
      <c r="L2561" s="5"/>
      <c r="M2561" s="5"/>
      <c r="N2561" s="5"/>
      <c r="O2561" s="5"/>
      <c r="P2561" s="5"/>
    </row>
    <row r="2562" spans="12:16" ht="15.75" customHeight="1" x14ac:dyDescent="0.25">
      <c r="L2562" s="5"/>
      <c r="M2562" s="5"/>
      <c r="N2562" s="5"/>
      <c r="O2562" s="5"/>
      <c r="P2562" s="5"/>
    </row>
    <row r="2563" spans="12:16" ht="15.75" customHeight="1" x14ac:dyDescent="0.25">
      <c r="L2563" s="5"/>
      <c r="M2563" s="5"/>
      <c r="N2563" s="5"/>
      <c r="O2563" s="5"/>
      <c r="P2563" s="5"/>
    </row>
    <row r="2564" spans="12:16" ht="15.75" customHeight="1" x14ac:dyDescent="0.25">
      <c r="L2564" s="5"/>
      <c r="M2564" s="5"/>
      <c r="N2564" s="5"/>
      <c r="O2564" s="5"/>
      <c r="P2564" s="5"/>
    </row>
    <row r="2565" spans="12:16" ht="15.75" customHeight="1" x14ac:dyDescent="0.25">
      <c r="L2565" s="5"/>
      <c r="M2565" s="5"/>
      <c r="N2565" s="5"/>
      <c r="O2565" s="5"/>
      <c r="P2565" s="5"/>
    </row>
    <row r="2566" spans="12:16" ht="15.75" customHeight="1" x14ac:dyDescent="0.25">
      <c r="L2566" s="5"/>
      <c r="M2566" s="5"/>
      <c r="N2566" s="5"/>
      <c r="O2566" s="5"/>
      <c r="P2566" s="5"/>
    </row>
    <row r="2567" spans="12:16" ht="15.75" customHeight="1" x14ac:dyDescent="0.25">
      <c r="L2567" s="5"/>
      <c r="M2567" s="5"/>
      <c r="N2567" s="5"/>
      <c r="O2567" s="5"/>
      <c r="P2567" s="5"/>
    </row>
    <row r="2568" spans="12:16" ht="15.75" customHeight="1" x14ac:dyDescent="0.25">
      <c r="L2568" s="5"/>
      <c r="M2568" s="5"/>
      <c r="N2568" s="5"/>
      <c r="O2568" s="5"/>
      <c r="P2568" s="5"/>
    </row>
    <row r="2569" spans="12:16" ht="15.75" customHeight="1" x14ac:dyDescent="0.25">
      <c r="L2569" s="5"/>
      <c r="M2569" s="5"/>
      <c r="N2569" s="5"/>
      <c r="O2569" s="5"/>
      <c r="P2569" s="5"/>
    </row>
    <row r="2570" spans="12:16" ht="15.75" customHeight="1" x14ac:dyDescent="0.25">
      <c r="L2570" s="5"/>
      <c r="M2570" s="5"/>
      <c r="N2570" s="5"/>
      <c r="O2570" s="5"/>
      <c r="P2570" s="5"/>
    </row>
    <row r="2571" spans="12:16" ht="15.75" customHeight="1" x14ac:dyDescent="0.25">
      <c r="L2571" s="5"/>
      <c r="M2571" s="5"/>
      <c r="N2571" s="5"/>
      <c r="O2571" s="5"/>
      <c r="P2571" s="5"/>
    </row>
    <row r="2572" spans="12:16" ht="15.75" customHeight="1" x14ac:dyDescent="0.25">
      <c r="L2572" s="5"/>
      <c r="M2572" s="5"/>
      <c r="N2572" s="5"/>
      <c r="O2572" s="5"/>
      <c r="P2572" s="5"/>
    </row>
    <row r="2573" spans="12:16" ht="15.75" customHeight="1" x14ac:dyDescent="0.25">
      <c r="L2573" s="5"/>
      <c r="M2573" s="5"/>
      <c r="N2573" s="5"/>
      <c r="O2573" s="5"/>
      <c r="P2573" s="5"/>
    </row>
    <row r="2574" spans="12:16" ht="15.75" customHeight="1" x14ac:dyDescent="0.25">
      <c r="L2574" s="5"/>
      <c r="M2574" s="5"/>
      <c r="N2574" s="5"/>
      <c r="O2574" s="5"/>
      <c r="P2574" s="5"/>
    </row>
    <row r="2575" spans="12:16" ht="15.75" customHeight="1" x14ac:dyDescent="0.25">
      <c r="L2575" s="5"/>
      <c r="M2575" s="5"/>
      <c r="N2575" s="5"/>
      <c r="O2575" s="5"/>
      <c r="P2575" s="5"/>
    </row>
    <row r="2576" spans="12:16" ht="15.75" customHeight="1" x14ac:dyDescent="0.25">
      <c r="L2576" s="5"/>
      <c r="M2576" s="5"/>
      <c r="N2576" s="5"/>
      <c r="O2576" s="5"/>
      <c r="P2576" s="5"/>
    </row>
    <row r="2577" spans="12:16" ht="15.75" customHeight="1" x14ac:dyDescent="0.25">
      <c r="L2577" s="5"/>
      <c r="M2577" s="5"/>
      <c r="N2577" s="5"/>
      <c r="O2577" s="5"/>
      <c r="P2577" s="5"/>
    </row>
    <row r="2578" spans="12:16" ht="15.75" customHeight="1" x14ac:dyDescent="0.25">
      <c r="L2578" s="5"/>
      <c r="M2578" s="5"/>
      <c r="N2578" s="5"/>
      <c r="O2578" s="5"/>
      <c r="P2578" s="5"/>
    </row>
    <row r="2579" spans="12:16" ht="15.75" customHeight="1" x14ac:dyDescent="0.25">
      <c r="L2579" s="5"/>
      <c r="M2579" s="5"/>
      <c r="N2579" s="5"/>
      <c r="O2579" s="5"/>
      <c r="P2579" s="5"/>
    </row>
    <row r="2580" spans="12:16" ht="15.75" customHeight="1" x14ac:dyDescent="0.25">
      <c r="L2580" s="5"/>
      <c r="M2580" s="5"/>
      <c r="N2580" s="5"/>
      <c r="O2580" s="5"/>
      <c r="P2580" s="5"/>
    </row>
    <row r="2581" spans="12:16" ht="15.75" customHeight="1" x14ac:dyDescent="0.25">
      <c r="L2581" s="5"/>
      <c r="M2581" s="5"/>
      <c r="N2581" s="5"/>
      <c r="O2581" s="5"/>
      <c r="P2581" s="5"/>
    </row>
    <row r="2582" spans="12:16" ht="15.75" customHeight="1" x14ac:dyDescent="0.25">
      <c r="L2582" s="5"/>
      <c r="M2582" s="5"/>
      <c r="N2582" s="5"/>
      <c r="O2582" s="5"/>
      <c r="P2582" s="5"/>
    </row>
    <row r="2583" spans="12:16" ht="15.75" customHeight="1" x14ac:dyDescent="0.25">
      <c r="L2583" s="5"/>
      <c r="M2583" s="5"/>
      <c r="N2583" s="5"/>
      <c r="O2583" s="5"/>
      <c r="P2583" s="5"/>
    </row>
    <row r="2584" spans="12:16" ht="15.75" customHeight="1" x14ac:dyDescent="0.25">
      <c r="L2584" s="5"/>
      <c r="M2584" s="5"/>
      <c r="N2584" s="5"/>
      <c r="O2584" s="5"/>
      <c r="P2584" s="5"/>
    </row>
    <row r="2585" spans="12:16" ht="15.75" customHeight="1" x14ac:dyDescent="0.25">
      <c r="L2585" s="5"/>
      <c r="M2585" s="5"/>
      <c r="N2585" s="5"/>
      <c r="O2585" s="5"/>
      <c r="P2585" s="5"/>
    </row>
    <row r="2586" spans="12:16" ht="15.75" customHeight="1" x14ac:dyDescent="0.25">
      <c r="L2586" s="5"/>
      <c r="M2586" s="5"/>
      <c r="N2586" s="5"/>
      <c r="O2586" s="5"/>
      <c r="P2586" s="5"/>
    </row>
    <row r="2587" spans="12:16" ht="15.75" customHeight="1" x14ac:dyDescent="0.25">
      <c r="L2587" s="5"/>
      <c r="M2587" s="5"/>
      <c r="N2587" s="5"/>
      <c r="O2587" s="5"/>
      <c r="P2587" s="5"/>
    </row>
    <row r="2588" spans="12:16" ht="15.75" customHeight="1" x14ac:dyDescent="0.25">
      <c r="L2588" s="5"/>
      <c r="M2588" s="5"/>
      <c r="N2588" s="5"/>
      <c r="O2588" s="5"/>
      <c r="P2588" s="5"/>
    </row>
    <row r="2589" spans="12:16" ht="15.75" customHeight="1" x14ac:dyDescent="0.25">
      <c r="L2589" s="5"/>
      <c r="M2589" s="5"/>
      <c r="N2589" s="5"/>
      <c r="O2589" s="5"/>
      <c r="P2589" s="5"/>
    </row>
    <row r="2590" spans="12:16" ht="15.75" customHeight="1" x14ac:dyDescent="0.25">
      <c r="L2590" s="5"/>
      <c r="M2590" s="5"/>
      <c r="N2590" s="5"/>
      <c r="O2590" s="5"/>
      <c r="P2590" s="5"/>
    </row>
    <row r="2591" spans="12:16" ht="15.75" customHeight="1" x14ac:dyDescent="0.25">
      <c r="L2591" s="5"/>
      <c r="M2591" s="5"/>
      <c r="N2591" s="5"/>
      <c r="O2591" s="5"/>
      <c r="P2591" s="5"/>
    </row>
    <row r="2592" spans="12:16" ht="15.75" customHeight="1" x14ac:dyDescent="0.25">
      <c r="L2592" s="5"/>
      <c r="M2592" s="5"/>
      <c r="N2592" s="5"/>
      <c r="O2592" s="5"/>
      <c r="P2592" s="5"/>
    </row>
    <row r="2593" spans="12:16" ht="15.75" customHeight="1" x14ac:dyDescent="0.25">
      <c r="L2593" s="5"/>
      <c r="M2593" s="5"/>
      <c r="N2593" s="5"/>
      <c r="O2593" s="5"/>
      <c r="P2593" s="5"/>
    </row>
    <row r="2594" spans="12:16" ht="15.75" customHeight="1" x14ac:dyDescent="0.25">
      <c r="L2594" s="5"/>
      <c r="M2594" s="5"/>
      <c r="N2594" s="5"/>
      <c r="O2594" s="5"/>
      <c r="P2594" s="5"/>
    </row>
    <row r="2595" spans="12:16" ht="15.75" customHeight="1" x14ac:dyDescent="0.25">
      <c r="L2595" s="5"/>
      <c r="M2595" s="5"/>
      <c r="N2595" s="5"/>
      <c r="O2595" s="5"/>
      <c r="P2595" s="5"/>
    </row>
    <row r="2596" spans="12:16" ht="15.75" customHeight="1" x14ac:dyDescent="0.25">
      <c r="L2596" s="5"/>
      <c r="M2596" s="5"/>
      <c r="N2596" s="5"/>
      <c r="O2596" s="5"/>
      <c r="P2596" s="5"/>
    </row>
    <row r="2597" spans="12:16" ht="15.75" customHeight="1" x14ac:dyDescent="0.25">
      <c r="L2597" s="5"/>
      <c r="M2597" s="5"/>
      <c r="N2597" s="5"/>
      <c r="O2597" s="5"/>
      <c r="P2597" s="5"/>
    </row>
    <row r="2598" spans="12:16" ht="15.75" customHeight="1" x14ac:dyDescent="0.25">
      <c r="L2598" s="5"/>
      <c r="M2598" s="5"/>
      <c r="N2598" s="5"/>
      <c r="O2598" s="5"/>
      <c r="P2598" s="5"/>
    </row>
    <row r="2599" spans="12:16" ht="15.75" customHeight="1" x14ac:dyDescent="0.25">
      <c r="L2599" s="5"/>
      <c r="M2599" s="5"/>
      <c r="N2599" s="5"/>
      <c r="O2599" s="5"/>
      <c r="P2599" s="5"/>
    </row>
    <row r="2600" spans="12:16" ht="15.75" customHeight="1" x14ac:dyDescent="0.25">
      <c r="L2600" s="5"/>
      <c r="M2600" s="5"/>
      <c r="N2600" s="5"/>
      <c r="O2600" s="5"/>
      <c r="P2600" s="5"/>
    </row>
    <row r="2601" spans="12:16" ht="15.75" customHeight="1" x14ac:dyDescent="0.25">
      <c r="L2601" s="5"/>
      <c r="M2601" s="5"/>
      <c r="N2601" s="5"/>
      <c r="O2601" s="5"/>
      <c r="P2601" s="5"/>
    </row>
    <row r="2602" spans="12:16" ht="15.75" customHeight="1" x14ac:dyDescent="0.25">
      <c r="L2602" s="5"/>
      <c r="M2602" s="5"/>
      <c r="N2602" s="5"/>
      <c r="O2602" s="5"/>
      <c r="P2602" s="5"/>
    </row>
    <row r="2603" spans="12:16" ht="15.75" customHeight="1" x14ac:dyDescent="0.25">
      <c r="L2603" s="5"/>
      <c r="M2603" s="5"/>
      <c r="N2603" s="5"/>
      <c r="O2603" s="5"/>
      <c r="P2603" s="5"/>
    </row>
    <row r="2604" spans="12:16" ht="15.75" customHeight="1" x14ac:dyDescent="0.25">
      <c r="L2604" s="5"/>
      <c r="M2604" s="5"/>
      <c r="N2604" s="5"/>
      <c r="O2604" s="5"/>
      <c r="P2604" s="5"/>
    </row>
    <row r="2605" spans="12:16" ht="15.75" customHeight="1" x14ac:dyDescent="0.25">
      <c r="L2605" s="5"/>
      <c r="M2605" s="5"/>
      <c r="N2605" s="5"/>
      <c r="O2605" s="5"/>
      <c r="P2605" s="5"/>
    </row>
    <row r="2606" spans="12:16" ht="15.75" customHeight="1" x14ac:dyDescent="0.25">
      <c r="L2606" s="5"/>
      <c r="M2606" s="5"/>
      <c r="N2606" s="5"/>
      <c r="O2606" s="5"/>
      <c r="P2606" s="5"/>
    </row>
    <row r="2607" spans="12:16" ht="15.75" customHeight="1" x14ac:dyDescent="0.25">
      <c r="L2607" s="5"/>
      <c r="M2607" s="5"/>
      <c r="N2607" s="5"/>
      <c r="O2607" s="5"/>
      <c r="P2607" s="5"/>
    </row>
    <row r="2608" spans="12:16" ht="15.75" customHeight="1" x14ac:dyDescent="0.25">
      <c r="L2608" s="5"/>
      <c r="M2608" s="5"/>
      <c r="N2608" s="5"/>
      <c r="O2608" s="5"/>
      <c r="P2608" s="5"/>
    </row>
    <row r="2609" spans="12:16" ht="15.75" customHeight="1" x14ac:dyDescent="0.25">
      <c r="L2609" s="5"/>
      <c r="M2609" s="5"/>
      <c r="N2609" s="5"/>
      <c r="O2609" s="5"/>
      <c r="P2609" s="5"/>
    </row>
    <row r="2610" spans="12:16" ht="15.75" customHeight="1" x14ac:dyDescent="0.25">
      <c r="L2610" s="5"/>
      <c r="M2610" s="5"/>
      <c r="N2610" s="5"/>
      <c r="O2610" s="5"/>
      <c r="P2610" s="5"/>
    </row>
    <row r="2611" spans="12:16" ht="15.75" customHeight="1" x14ac:dyDescent="0.25">
      <c r="L2611" s="5"/>
      <c r="M2611" s="5"/>
      <c r="N2611" s="5"/>
      <c r="O2611" s="5"/>
      <c r="P2611" s="5"/>
    </row>
    <row r="2612" spans="12:16" ht="15.75" customHeight="1" x14ac:dyDescent="0.25">
      <c r="L2612" s="5"/>
      <c r="M2612" s="5"/>
      <c r="N2612" s="5"/>
      <c r="O2612" s="5"/>
      <c r="P2612" s="5"/>
    </row>
    <row r="2613" spans="12:16" ht="15.75" customHeight="1" x14ac:dyDescent="0.25">
      <c r="L2613" s="5"/>
      <c r="M2613" s="5"/>
      <c r="N2613" s="5"/>
      <c r="O2613" s="5"/>
      <c r="P2613" s="5"/>
    </row>
    <row r="2614" spans="12:16" ht="15.75" customHeight="1" x14ac:dyDescent="0.25">
      <c r="L2614" s="5"/>
      <c r="M2614" s="5"/>
      <c r="N2614" s="5"/>
      <c r="O2614" s="5"/>
      <c r="P2614" s="5"/>
    </row>
    <row r="2615" spans="12:16" ht="15.75" customHeight="1" x14ac:dyDescent="0.25">
      <c r="L2615" s="5"/>
      <c r="M2615" s="5"/>
      <c r="N2615" s="5"/>
      <c r="O2615" s="5"/>
      <c r="P2615" s="5"/>
    </row>
    <row r="2616" spans="12:16" ht="15.75" customHeight="1" x14ac:dyDescent="0.25">
      <c r="L2616" s="5"/>
      <c r="M2616" s="5"/>
      <c r="N2616" s="5"/>
      <c r="O2616" s="5"/>
      <c r="P2616" s="5"/>
    </row>
    <row r="2617" spans="12:16" ht="15.75" customHeight="1" x14ac:dyDescent="0.25">
      <c r="L2617" s="5"/>
      <c r="M2617" s="5"/>
      <c r="N2617" s="5"/>
      <c r="O2617" s="5"/>
      <c r="P2617" s="5"/>
    </row>
    <row r="2618" spans="12:16" ht="15.75" customHeight="1" x14ac:dyDescent="0.25">
      <c r="L2618" s="5"/>
      <c r="M2618" s="5"/>
      <c r="N2618" s="5"/>
      <c r="O2618" s="5"/>
      <c r="P2618" s="5"/>
    </row>
    <row r="2619" spans="12:16" ht="15.75" customHeight="1" x14ac:dyDescent="0.25">
      <c r="L2619" s="5"/>
      <c r="M2619" s="5"/>
      <c r="N2619" s="5"/>
      <c r="O2619" s="5"/>
      <c r="P2619" s="5"/>
    </row>
    <row r="2620" spans="12:16" ht="15.75" customHeight="1" x14ac:dyDescent="0.25">
      <c r="L2620" s="5"/>
      <c r="M2620" s="5"/>
      <c r="N2620" s="5"/>
      <c r="O2620" s="5"/>
      <c r="P2620" s="5"/>
    </row>
    <row r="2621" spans="12:16" ht="15.75" customHeight="1" x14ac:dyDescent="0.25">
      <c r="L2621" s="5"/>
      <c r="M2621" s="5"/>
      <c r="N2621" s="5"/>
      <c r="O2621" s="5"/>
      <c r="P2621" s="5"/>
    </row>
    <row r="2622" spans="12:16" ht="15.75" customHeight="1" x14ac:dyDescent="0.25">
      <c r="L2622" s="5"/>
      <c r="M2622" s="5"/>
      <c r="N2622" s="5"/>
      <c r="O2622" s="5"/>
      <c r="P2622" s="5"/>
    </row>
    <row r="2623" spans="12:16" ht="15.75" customHeight="1" x14ac:dyDescent="0.25">
      <c r="L2623" s="5"/>
      <c r="M2623" s="5"/>
      <c r="N2623" s="5"/>
      <c r="O2623" s="5"/>
      <c r="P2623" s="5"/>
    </row>
    <row r="2624" spans="12:16" ht="15.75" customHeight="1" x14ac:dyDescent="0.25">
      <c r="L2624" s="5"/>
      <c r="M2624" s="5"/>
      <c r="N2624" s="5"/>
      <c r="O2624" s="5"/>
      <c r="P2624" s="5"/>
    </row>
    <row r="2625" spans="12:16" ht="15.75" customHeight="1" x14ac:dyDescent="0.25">
      <c r="L2625" s="5"/>
      <c r="M2625" s="5"/>
      <c r="N2625" s="5"/>
      <c r="O2625" s="5"/>
      <c r="P2625" s="5"/>
    </row>
    <row r="2626" spans="12:16" ht="15.75" customHeight="1" x14ac:dyDescent="0.25">
      <c r="L2626" s="5"/>
      <c r="M2626" s="5"/>
      <c r="N2626" s="5"/>
      <c r="O2626" s="5"/>
      <c r="P2626" s="5"/>
    </row>
    <row r="2627" spans="12:16" ht="15.75" customHeight="1" x14ac:dyDescent="0.25">
      <c r="L2627" s="5"/>
      <c r="M2627" s="5"/>
      <c r="N2627" s="5"/>
      <c r="O2627" s="5"/>
      <c r="P2627" s="5"/>
    </row>
    <row r="2628" spans="12:16" ht="15.75" customHeight="1" x14ac:dyDescent="0.25">
      <c r="L2628" s="5"/>
      <c r="M2628" s="5"/>
      <c r="N2628" s="5"/>
      <c r="O2628" s="5"/>
      <c r="P2628" s="5"/>
    </row>
    <row r="2629" spans="12:16" ht="15.75" customHeight="1" x14ac:dyDescent="0.25">
      <c r="L2629" s="5"/>
      <c r="M2629" s="5"/>
      <c r="N2629" s="5"/>
      <c r="O2629" s="5"/>
      <c r="P2629" s="5"/>
    </row>
    <row r="2630" spans="12:16" ht="15.75" customHeight="1" x14ac:dyDescent="0.25">
      <c r="L2630" s="5"/>
      <c r="M2630" s="5"/>
      <c r="N2630" s="5"/>
      <c r="O2630" s="5"/>
      <c r="P2630" s="5"/>
    </row>
    <row r="2631" spans="12:16" ht="15.75" customHeight="1" x14ac:dyDescent="0.25">
      <c r="L2631" s="5"/>
      <c r="M2631" s="5"/>
      <c r="N2631" s="5"/>
      <c r="O2631" s="5"/>
      <c r="P2631" s="5"/>
    </row>
    <row r="2632" spans="12:16" ht="15.75" customHeight="1" x14ac:dyDescent="0.25">
      <c r="L2632" s="5"/>
      <c r="M2632" s="5"/>
      <c r="N2632" s="5"/>
      <c r="O2632" s="5"/>
      <c r="P2632" s="5"/>
    </row>
    <row r="2633" spans="12:16" ht="15.75" customHeight="1" x14ac:dyDescent="0.25">
      <c r="L2633" s="5"/>
      <c r="M2633" s="5"/>
      <c r="N2633" s="5"/>
      <c r="O2633" s="5"/>
      <c r="P2633" s="5"/>
    </row>
    <row r="2634" spans="12:16" ht="15.75" customHeight="1" x14ac:dyDescent="0.25">
      <c r="L2634" s="5"/>
      <c r="M2634" s="5"/>
      <c r="N2634" s="5"/>
      <c r="O2634" s="5"/>
      <c r="P2634" s="5"/>
    </row>
    <row r="2635" spans="12:16" ht="15.75" customHeight="1" x14ac:dyDescent="0.25">
      <c r="L2635" s="5"/>
      <c r="M2635" s="5"/>
      <c r="N2635" s="5"/>
      <c r="O2635" s="5"/>
      <c r="P2635" s="5"/>
    </row>
    <row r="2636" spans="12:16" ht="15.75" customHeight="1" x14ac:dyDescent="0.25">
      <c r="L2636" s="5"/>
      <c r="M2636" s="5"/>
      <c r="N2636" s="5"/>
      <c r="O2636" s="5"/>
      <c r="P2636" s="5"/>
    </row>
    <row r="2637" spans="12:16" ht="15.75" customHeight="1" x14ac:dyDescent="0.25">
      <c r="L2637" s="5"/>
      <c r="M2637" s="5"/>
      <c r="N2637" s="5"/>
      <c r="O2637" s="5"/>
      <c r="P2637" s="5"/>
    </row>
    <row r="2638" spans="12:16" ht="15.75" customHeight="1" x14ac:dyDescent="0.25">
      <c r="L2638" s="5"/>
      <c r="M2638" s="5"/>
      <c r="N2638" s="5"/>
      <c r="O2638" s="5"/>
      <c r="P2638" s="5"/>
    </row>
    <row r="2639" spans="12:16" ht="15.75" customHeight="1" x14ac:dyDescent="0.25">
      <c r="L2639" s="5"/>
      <c r="M2639" s="5"/>
      <c r="N2639" s="5"/>
      <c r="O2639" s="5"/>
      <c r="P2639" s="5"/>
    </row>
    <row r="2640" spans="12:16" ht="15.75" customHeight="1" x14ac:dyDescent="0.25">
      <c r="L2640" s="5"/>
      <c r="M2640" s="5"/>
      <c r="N2640" s="5"/>
      <c r="O2640" s="5"/>
      <c r="P2640" s="5"/>
    </row>
    <row r="2641" spans="12:16" ht="15.75" customHeight="1" x14ac:dyDescent="0.25">
      <c r="L2641" s="5"/>
      <c r="M2641" s="5"/>
      <c r="N2641" s="5"/>
      <c r="O2641" s="5"/>
      <c r="P2641" s="5"/>
    </row>
    <row r="2642" spans="12:16" ht="15.75" customHeight="1" x14ac:dyDescent="0.25">
      <c r="L2642" s="5"/>
      <c r="M2642" s="5"/>
      <c r="N2642" s="5"/>
      <c r="O2642" s="5"/>
      <c r="P2642" s="5"/>
    </row>
    <row r="2643" spans="12:16" ht="15.75" customHeight="1" x14ac:dyDescent="0.25">
      <c r="L2643" s="5"/>
      <c r="M2643" s="5"/>
      <c r="N2643" s="5"/>
      <c r="O2643" s="5"/>
      <c r="P2643" s="5"/>
    </row>
    <row r="2644" spans="12:16" ht="15.75" customHeight="1" x14ac:dyDescent="0.25">
      <c r="L2644" s="5"/>
      <c r="M2644" s="5"/>
      <c r="N2644" s="5"/>
      <c r="O2644" s="5"/>
      <c r="P2644" s="5"/>
    </row>
    <row r="2645" spans="12:16" ht="15.75" customHeight="1" x14ac:dyDescent="0.25">
      <c r="L2645" s="5"/>
      <c r="M2645" s="5"/>
      <c r="N2645" s="5"/>
      <c r="O2645" s="5"/>
      <c r="P2645" s="5"/>
    </row>
    <row r="2646" spans="12:16" ht="15.75" customHeight="1" x14ac:dyDescent="0.25">
      <c r="L2646" s="5"/>
      <c r="M2646" s="5"/>
      <c r="N2646" s="5"/>
      <c r="O2646" s="5"/>
      <c r="P2646" s="5"/>
    </row>
    <row r="2647" spans="12:16" ht="15.75" customHeight="1" x14ac:dyDescent="0.25">
      <c r="L2647" s="5"/>
      <c r="M2647" s="5"/>
      <c r="N2647" s="5"/>
      <c r="O2647" s="5"/>
      <c r="P2647" s="5"/>
    </row>
    <row r="2648" spans="12:16" ht="15.75" customHeight="1" x14ac:dyDescent="0.25">
      <c r="L2648" s="5"/>
      <c r="M2648" s="5"/>
      <c r="N2648" s="5"/>
      <c r="O2648" s="5"/>
      <c r="P2648" s="5"/>
    </row>
    <row r="2649" spans="12:16" ht="15.75" customHeight="1" x14ac:dyDescent="0.25">
      <c r="L2649" s="5"/>
      <c r="M2649" s="5"/>
      <c r="N2649" s="5"/>
      <c r="O2649" s="5"/>
      <c r="P2649" s="5"/>
    </row>
    <row r="2650" spans="12:16" ht="15.75" customHeight="1" x14ac:dyDescent="0.25">
      <c r="L2650" s="5"/>
      <c r="M2650" s="5"/>
      <c r="N2650" s="5"/>
      <c r="O2650" s="5"/>
      <c r="P2650" s="5"/>
    </row>
    <row r="2651" spans="12:16" ht="15.75" customHeight="1" x14ac:dyDescent="0.25">
      <c r="L2651" s="5"/>
      <c r="M2651" s="5"/>
      <c r="N2651" s="5"/>
      <c r="O2651" s="5"/>
      <c r="P2651" s="5"/>
    </row>
    <row r="2652" spans="12:16" ht="15.75" customHeight="1" x14ac:dyDescent="0.25">
      <c r="L2652" s="5"/>
      <c r="M2652" s="5"/>
      <c r="N2652" s="5"/>
      <c r="O2652" s="5"/>
      <c r="P2652" s="5"/>
    </row>
    <row r="2653" spans="12:16" ht="15.75" customHeight="1" x14ac:dyDescent="0.25">
      <c r="L2653" s="5"/>
      <c r="M2653" s="5"/>
      <c r="N2653" s="5"/>
      <c r="O2653" s="5"/>
      <c r="P2653" s="5"/>
    </row>
    <row r="2654" spans="12:16" ht="15.75" customHeight="1" x14ac:dyDescent="0.25">
      <c r="L2654" s="5"/>
      <c r="M2654" s="5"/>
      <c r="N2654" s="5"/>
      <c r="O2654" s="5"/>
      <c r="P2654" s="5"/>
    </row>
    <row r="2655" spans="12:16" ht="15.75" customHeight="1" x14ac:dyDescent="0.25">
      <c r="L2655" s="5"/>
      <c r="M2655" s="5"/>
      <c r="N2655" s="5"/>
      <c r="O2655" s="5"/>
      <c r="P2655" s="5"/>
    </row>
    <row r="2656" spans="12:16" ht="15.75" customHeight="1" x14ac:dyDescent="0.25">
      <c r="L2656" s="5"/>
      <c r="M2656" s="5"/>
      <c r="N2656" s="5"/>
      <c r="O2656" s="5"/>
      <c r="P2656" s="5"/>
    </row>
    <row r="2657" spans="12:16" ht="15.75" customHeight="1" x14ac:dyDescent="0.25">
      <c r="L2657" s="5"/>
      <c r="M2657" s="5"/>
      <c r="N2657" s="5"/>
      <c r="O2657" s="5"/>
      <c r="P2657" s="5"/>
    </row>
    <row r="2658" spans="12:16" ht="15.75" customHeight="1" x14ac:dyDescent="0.25">
      <c r="L2658" s="5"/>
      <c r="M2658" s="5"/>
      <c r="N2658" s="5"/>
      <c r="O2658" s="5"/>
      <c r="P2658" s="5"/>
    </row>
    <row r="2659" spans="12:16" ht="15.75" customHeight="1" x14ac:dyDescent="0.25">
      <c r="L2659" s="5"/>
      <c r="M2659" s="5"/>
      <c r="N2659" s="5"/>
      <c r="O2659" s="5"/>
      <c r="P2659" s="5"/>
    </row>
    <row r="2660" spans="12:16" ht="15.75" customHeight="1" x14ac:dyDescent="0.25">
      <c r="L2660" s="5"/>
      <c r="M2660" s="5"/>
      <c r="N2660" s="5"/>
      <c r="O2660" s="5"/>
      <c r="P2660" s="5"/>
    </row>
    <row r="2661" spans="12:16" ht="15.75" customHeight="1" x14ac:dyDescent="0.25">
      <c r="L2661" s="5"/>
      <c r="M2661" s="5"/>
      <c r="N2661" s="5"/>
      <c r="O2661" s="5"/>
      <c r="P2661" s="5"/>
    </row>
    <row r="2662" spans="12:16" ht="15.75" customHeight="1" x14ac:dyDescent="0.25">
      <c r="L2662" s="5"/>
      <c r="M2662" s="5"/>
      <c r="N2662" s="5"/>
      <c r="O2662" s="5"/>
      <c r="P2662" s="5"/>
    </row>
    <row r="2663" spans="12:16" ht="15.75" customHeight="1" x14ac:dyDescent="0.25">
      <c r="L2663" s="5"/>
      <c r="M2663" s="5"/>
      <c r="N2663" s="5"/>
      <c r="O2663" s="5"/>
      <c r="P2663" s="5"/>
    </row>
    <row r="2664" spans="12:16" ht="15.75" customHeight="1" x14ac:dyDescent="0.25">
      <c r="L2664" s="5"/>
      <c r="M2664" s="5"/>
      <c r="N2664" s="5"/>
      <c r="O2664" s="5"/>
      <c r="P2664" s="5"/>
    </row>
    <row r="2665" spans="12:16" ht="15.75" customHeight="1" x14ac:dyDescent="0.25">
      <c r="L2665" s="5"/>
      <c r="M2665" s="5"/>
      <c r="N2665" s="5"/>
      <c r="O2665" s="5"/>
      <c r="P2665" s="5"/>
    </row>
    <row r="2666" spans="12:16" ht="15.75" customHeight="1" x14ac:dyDescent="0.25">
      <c r="L2666" s="5"/>
      <c r="M2666" s="5"/>
      <c r="N2666" s="5"/>
      <c r="O2666" s="5"/>
      <c r="P2666" s="5"/>
    </row>
    <row r="2667" spans="12:16" ht="15.75" customHeight="1" x14ac:dyDescent="0.25">
      <c r="L2667" s="5"/>
      <c r="M2667" s="5"/>
      <c r="N2667" s="5"/>
      <c r="O2667" s="5"/>
      <c r="P2667" s="5"/>
    </row>
    <row r="2668" spans="12:16" ht="15.75" customHeight="1" x14ac:dyDescent="0.25">
      <c r="L2668" s="5"/>
      <c r="M2668" s="5"/>
      <c r="N2668" s="5"/>
      <c r="O2668" s="5"/>
      <c r="P2668" s="5"/>
    </row>
    <row r="2669" spans="12:16" ht="15.75" customHeight="1" x14ac:dyDescent="0.25">
      <c r="L2669" s="5"/>
      <c r="M2669" s="5"/>
      <c r="N2669" s="5"/>
      <c r="O2669" s="5"/>
      <c r="P2669" s="5"/>
    </row>
    <row r="2670" spans="12:16" ht="15.75" customHeight="1" x14ac:dyDescent="0.25">
      <c r="L2670" s="5"/>
      <c r="M2670" s="5"/>
      <c r="N2670" s="5"/>
      <c r="O2670" s="5"/>
      <c r="P2670" s="5"/>
    </row>
    <row r="2671" spans="12:16" ht="15.75" customHeight="1" x14ac:dyDescent="0.25">
      <c r="L2671" s="5"/>
      <c r="M2671" s="5"/>
      <c r="N2671" s="5"/>
      <c r="O2671" s="5"/>
      <c r="P2671" s="5"/>
    </row>
    <row r="2672" spans="12:16" ht="15.75" customHeight="1" x14ac:dyDescent="0.25">
      <c r="L2672" s="5"/>
      <c r="M2672" s="5"/>
      <c r="N2672" s="5"/>
      <c r="O2672" s="5"/>
      <c r="P2672" s="5"/>
    </row>
    <row r="2673" spans="12:16" ht="15.75" customHeight="1" x14ac:dyDescent="0.25">
      <c r="L2673" s="5"/>
      <c r="M2673" s="5"/>
      <c r="N2673" s="5"/>
      <c r="O2673" s="5"/>
      <c r="P2673" s="5"/>
    </row>
    <row r="2674" spans="12:16" ht="15.75" customHeight="1" x14ac:dyDescent="0.25">
      <c r="L2674" s="5"/>
      <c r="M2674" s="5"/>
      <c r="N2674" s="5"/>
      <c r="O2674" s="5"/>
      <c r="P2674" s="5"/>
    </row>
    <row r="2675" spans="12:16" ht="15.75" customHeight="1" x14ac:dyDescent="0.25">
      <c r="L2675" s="5"/>
      <c r="M2675" s="5"/>
      <c r="N2675" s="5"/>
      <c r="O2675" s="5"/>
      <c r="P2675" s="5"/>
    </row>
    <row r="2676" spans="12:16" ht="15.75" customHeight="1" x14ac:dyDescent="0.25">
      <c r="L2676" s="5"/>
      <c r="M2676" s="5"/>
      <c r="N2676" s="5"/>
      <c r="O2676" s="5"/>
      <c r="P2676" s="5"/>
    </row>
    <row r="2677" spans="12:16" ht="15.75" customHeight="1" x14ac:dyDescent="0.25">
      <c r="L2677" s="5"/>
      <c r="M2677" s="5"/>
      <c r="N2677" s="5"/>
      <c r="O2677" s="5"/>
      <c r="P2677" s="5"/>
    </row>
    <row r="2678" spans="12:16" ht="15.75" customHeight="1" x14ac:dyDescent="0.25">
      <c r="L2678" s="5"/>
      <c r="M2678" s="5"/>
      <c r="N2678" s="5"/>
      <c r="O2678" s="5"/>
      <c r="P2678" s="5"/>
    </row>
    <row r="2679" spans="12:16" ht="15.75" customHeight="1" x14ac:dyDescent="0.25">
      <c r="L2679" s="5"/>
      <c r="M2679" s="5"/>
      <c r="N2679" s="5"/>
      <c r="O2679" s="5"/>
      <c r="P2679" s="5"/>
    </row>
    <row r="2680" spans="12:16" ht="15.75" customHeight="1" x14ac:dyDescent="0.25">
      <c r="L2680" s="5"/>
      <c r="M2680" s="5"/>
      <c r="N2680" s="5"/>
      <c r="O2680" s="5"/>
      <c r="P2680" s="5"/>
    </row>
    <row r="2681" spans="12:16" ht="15.75" customHeight="1" x14ac:dyDescent="0.25">
      <c r="L2681" s="5"/>
      <c r="M2681" s="5"/>
      <c r="N2681" s="5"/>
      <c r="O2681" s="5"/>
      <c r="P2681" s="5"/>
    </row>
    <row r="2682" spans="12:16" ht="15.75" customHeight="1" x14ac:dyDescent="0.25">
      <c r="L2682" s="5"/>
      <c r="M2682" s="5"/>
      <c r="N2682" s="5"/>
      <c r="O2682" s="5"/>
      <c r="P2682" s="5"/>
    </row>
    <row r="2683" spans="12:16" ht="15.75" customHeight="1" x14ac:dyDescent="0.25">
      <c r="L2683" s="5"/>
      <c r="M2683" s="5"/>
      <c r="N2683" s="5"/>
      <c r="O2683" s="5"/>
      <c r="P2683" s="5"/>
    </row>
    <row r="2684" spans="12:16" ht="15.75" customHeight="1" x14ac:dyDescent="0.25">
      <c r="L2684" s="5"/>
      <c r="M2684" s="5"/>
      <c r="N2684" s="5"/>
      <c r="O2684" s="5"/>
      <c r="P2684" s="5"/>
    </row>
    <row r="2685" spans="12:16" ht="15.75" customHeight="1" x14ac:dyDescent="0.25">
      <c r="L2685" s="5"/>
      <c r="M2685" s="5"/>
      <c r="N2685" s="5"/>
      <c r="O2685" s="5"/>
      <c r="P2685" s="5"/>
    </row>
    <row r="2686" spans="12:16" ht="15.75" customHeight="1" x14ac:dyDescent="0.25">
      <c r="L2686" s="5"/>
      <c r="M2686" s="5"/>
      <c r="N2686" s="5"/>
      <c r="O2686" s="5"/>
      <c r="P2686" s="5"/>
    </row>
    <row r="2687" spans="12:16" ht="15.75" customHeight="1" x14ac:dyDescent="0.25">
      <c r="L2687" s="5"/>
      <c r="M2687" s="5"/>
      <c r="N2687" s="5"/>
      <c r="O2687" s="5"/>
      <c r="P2687" s="5"/>
    </row>
    <row r="2688" spans="12:16" ht="15.75" customHeight="1" x14ac:dyDescent="0.25">
      <c r="L2688" s="5"/>
      <c r="M2688" s="5"/>
      <c r="N2688" s="5"/>
      <c r="O2688" s="5"/>
      <c r="P2688" s="5"/>
    </row>
    <row r="2689" spans="12:16" ht="15.75" customHeight="1" x14ac:dyDescent="0.25">
      <c r="L2689" s="5"/>
      <c r="M2689" s="5"/>
      <c r="N2689" s="5"/>
      <c r="O2689" s="5"/>
      <c r="P2689" s="5"/>
    </row>
    <row r="2690" spans="12:16" ht="15.75" customHeight="1" x14ac:dyDescent="0.25">
      <c r="L2690" s="5"/>
      <c r="M2690" s="5"/>
      <c r="N2690" s="5"/>
      <c r="O2690" s="5"/>
      <c r="P2690" s="5"/>
    </row>
    <row r="2691" spans="12:16" ht="15.75" customHeight="1" x14ac:dyDescent="0.25">
      <c r="L2691" s="5"/>
      <c r="M2691" s="5"/>
      <c r="N2691" s="5"/>
      <c r="O2691" s="5"/>
      <c r="P2691" s="5"/>
    </row>
    <row r="2692" spans="12:16" ht="15.75" customHeight="1" x14ac:dyDescent="0.25">
      <c r="L2692" s="5"/>
      <c r="M2692" s="5"/>
      <c r="N2692" s="5"/>
      <c r="O2692" s="5"/>
      <c r="P2692" s="5"/>
    </row>
    <row r="2693" spans="12:16" ht="15.75" customHeight="1" x14ac:dyDescent="0.25">
      <c r="L2693" s="5"/>
      <c r="M2693" s="5"/>
      <c r="N2693" s="5"/>
      <c r="O2693" s="5"/>
      <c r="P2693" s="5"/>
    </row>
    <row r="2694" spans="12:16" ht="15.75" customHeight="1" x14ac:dyDescent="0.25">
      <c r="L2694" s="5"/>
      <c r="M2694" s="5"/>
      <c r="N2694" s="5"/>
      <c r="O2694" s="5"/>
      <c r="P2694" s="5"/>
    </row>
    <row r="2695" spans="12:16" ht="15.75" customHeight="1" x14ac:dyDescent="0.25">
      <c r="L2695" s="5"/>
      <c r="M2695" s="5"/>
      <c r="N2695" s="5"/>
      <c r="O2695" s="5"/>
      <c r="P2695" s="5"/>
    </row>
    <row r="2696" spans="12:16" ht="15.75" customHeight="1" x14ac:dyDescent="0.25">
      <c r="L2696" s="5"/>
      <c r="M2696" s="5"/>
      <c r="N2696" s="5"/>
      <c r="O2696" s="5"/>
      <c r="P2696" s="5"/>
    </row>
    <row r="2697" spans="12:16" ht="15.75" customHeight="1" x14ac:dyDescent="0.25">
      <c r="L2697" s="5"/>
      <c r="M2697" s="5"/>
      <c r="N2697" s="5"/>
      <c r="O2697" s="5"/>
      <c r="P2697" s="5"/>
    </row>
    <row r="2698" spans="12:16" ht="15.75" customHeight="1" x14ac:dyDescent="0.25">
      <c r="L2698" s="5"/>
      <c r="M2698" s="5"/>
      <c r="N2698" s="5"/>
      <c r="O2698" s="5"/>
      <c r="P2698" s="5"/>
    </row>
    <row r="2699" spans="12:16" ht="15.75" customHeight="1" x14ac:dyDescent="0.25">
      <c r="L2699" s="5"/>
      <c r="M2699" s="5"/>
      <c r="N2699" s="5"/>
      <c r="O2699" s="5"/>
      <c r="P2699" s="5"/>
    </row>
    <row r="2700" spans="12:16" ht="15.75" customHeight="1" x14ac:dyDescent="0.25">
      <c r="L2700" s="5"/>
      <c r="M2700" s="5"/>
      <c r="N2700" s="5"/>
      <c r="O2700" s="5"/>
      <c r="P2700" s="5"/>
    </row>
    <row r="2701" spans="12:16" ht="15.75" customHeight="1" x14ac:dyDescent="0.25">
      <c r="L2701" s="5"/>
      <c r="M2701" s="5"/>
      <c r="N2701" s="5"/>
      <c r="O2701" s="5"/>
      <c r="P2701" s="5"/>
    </row>
    <row r="2702" spans="12:16" ht="15.75" customHeight="1" x14ac:dyDescent="0.25">
      <c r="L2702" s="5"/>
      <c r="M2702" s="5"/>
      <c r="N2702" s="5"/>
      <c r="O2702" s="5"/>
      <c r="P2702" s="5"/>
    </row>
    <row r="2703" spans="12:16" ht="15.75" customHeight="1" x14ac:dyDescent="0.25">
      <c r="L2703" s="5"/>
      <c r="M2703" s="5"/>
      <c r="N2703" s="5"/>
      <c r="O2703" s="5"/>
      <c r="P2703" s="5"/>
    </row>
    <row r="2704" spans="12:16" ht="15.75" customHeight="1" x14ac:dyDescent="0.25">
      <c r="L2704" s="5"/>
      <c r="M2704" s="5"/>
      <c r="N2704" s="5"/>
      <c r="O2704" s="5"/>
      <c r="P2704" s="5"/>
    </row>
    <row r="2705" spans="12:16" ht="15.75" customHeight="1" x14ac:dyDescent="0.25">
      <c r="L2705" s="5"/>
      <c r="M2705" s="5"/>
      <c r="N2705" s="5"/>
      <c r="O2705" s="5"/>
      <c r="P2705" s="5"/>
    </row>
    <row r="2706" spans="12:16" ht="15.75" customHeight="1" x14ac:dyDescent="0.25">
      <c r="L2706" s="5"/>
      <c r="M2706" s="5"/>
      <c r="N2706" s="5"/>
      <c r="O2706" s="5"/>
      <c r="P2706" s="5"/>
    </row>
    <row r="2707" spans="12:16" ht="15.75" customHeight="1" x14ac:dyDescent="0.25">
      <c r="L2707" s="5"/>
      <c r="M2707" s="5"/>
      <c r="N2707" s="5"/>
      <c r="O2707" s="5"/>
      <c r="P2707" s="5"/>
    </row>
    <row r="2708" spans="12:16" ht="15.75" customHeight="1" x14ac:dyDescent="0.25">
      <c r="L2708" s="5"/>
      <c r="M2708" s="5"/>
      <c r="N2708" s="5"/>
      <c r="O2708" s="5"/>
      <c r="P2708" s="5"/>
    </row>
    <row r="2709" spans="12:16" ht="15.75" customHeight="1" x14ac:dyDescent="0.25">
      <c r="L2709" s="5"/>
      <c r="M2709" s="5"/>
      <c r="N2709" s="5"/>
      <c r="O2709" s="5"/>
      <c r="P2709" s="5"/>
    </row>
    <row r="2710" spans="12:16" ht="15.75" customHeight="1" x14ac:dyDescent="0.25">
      <c r="L2710" s="5"/>
      <c r="M2710" s="5"/>
      <c r="N2710" s="5"/>
      <c r="O2710" s="5"/>
      <c r="P2710" s="5"/>
    </row>
    <row r="2711" spans="12:16" ht="15.75" customHeight="1" x14ac:dyDescent="0.25">
      <c r="L2711" s="5"/>
      <c r="M2711" s="5"/>
      <c r="N2711" s="5"/>
      <c r="O2711" s="5"/>
      <c r="P2711" s="5"/>
    </row>
    <row r="2712" spans="12:16" ht="15.75" customHeight="1" x14ac:dyDescent="0.25">
      <c r="L2712" s="5"/>
      <c r="M2712" s="5"/>
      <c r="N2712" s="5"/>
      <c r="O2712" s="5"/>
      <c r="P2712" s="5"/>
    </row>
    <row r="2713" spans="12:16" ht="15.75" customHeight="1" x14ac:dyDescent="0.25">
      <c r="L2713" s="5"/>
      <c r="M2713" s="5"/>
      <c r="N2713" s="5"/>
      <c r="O2713" s="5"/>
      <c r="P2713" s="5"/>
    </row>
    <row r="2714" spans="12:16" ht="15.75" customHeight="1" x14ac:dyDescent="0.25">
      <c r="L2714" s="5"/>
      <c r="M2714" s="5"/>
      <c r="N2714" s="5"/>
      <c r="O2714" s="5"/>
      <c r="P2714" s="5"/>
    </row>
    <row r="2715" spans="12:16" ht="15.75" customHeight="1" x14ac:dyDescent="0.25">
      <c r="L2715" s="5"/>
      <c r="M2715" s="5"/>
      <c r="N2715" s="5"/>
      <c r="O2715" s="5"/>
      <c r="P2715" s="5"/>
    </row>
    <row r="2716" spans="12:16" ht="15.75" customHeight="1" x14ac:dyDescent="0.25">
      <c r="L2716" s="5"/>
      <c r="M2716" s="5"/>
      <c r="N2716" s="5"/>
      <c r="O2716" s="5"/>
      <c r="P2716" s="5"/>
    </row>
    <row r="2717" spans="12:16" ht="15.75" customHeight="1" x14ac:dyDescent="0.25">
      <c r="L2717" s="5"/>
      <c r="M2717" s="5"/>
      <c r="N2717" s="5"/>
      <c r="O2717" s="5"/>
      <c r="P2717" s="5"/>
    </row>
    <row r="2718" spans="12:16" ht="15.75" customHeight="1" x14ac:dyDescent="0.25">
      <c r="L2718" s="5"/>
      <c r="M2718" s="5"/>
      <c r="N2718" s="5"/>
      <c r="O2718" s="5"/>
      <c r="P2718" s="5"/>
    </row>
    <row r="2719" spans="12:16" ht="15.75" customHeight="1" x14ac:dyDescent="0.25">
      <c r="L2719" s="5"/>
      <c r="M2719" s="5"/>
      <c r="N2719" s="5"/>
      <c r="O2719" s="5"/>
      <c r="P2719" s="5"/>
    </row>
    <row r="2720" spans="12:16" ht="15.75" customHeight="1" x14ac:dyDescent="0.25">
      <c r="L2720" s="5"/>
      <c r="M2720" s="5"/>
      <c r="N2720" s="5"/>
      <c r="O2720" s="5"/>
      <c r="P2720" s="5"/>
    </row>
    <row r="2721" spans="12:16" ht="15.75" customHeight="1" x14ac:dyDescent="0.25">
      <c r="L2721" s="5"/>
      <c r="M2721" s="5"/>
      <c r="N2721" s="5"/>
      <c r="O2721" s="5"/>
      <c r="P2721" s="5"/>
    </row>
    <row r="2722" spans="12:16" ht="15.75" customHeight="1" x14ac:dyDescent="0.25">
      <c r="L2722" s="5"/>
      <c r="M2722" s="5"/>
      <c r="N2722" s="5"/>
      <c r="O2722" s="5"/>
      <c r="P2722" s="5"/>
    </row>
    <row r="2723" spans="12:16" ht="15.75" customHeight="1" x14ac:dyDescent="0.25">
      <c r="L2723" s="5"/>
      <c r="M2723" s="5"/>
      <c r="N2723" s="5"/>
      <c r="O2723" s="5"/>
      <c r="P2723" s="5"/>
    </row>
    <row r="2724" spans="12:16" ht="15.75" customHeight="1" x14ac:dyDescent="0.25">
      <c r="L2724" s="5"/>
      <c r="M2724" s="5"/>
      <c r="N2724" s="5"/>
      <c r="O2724" s="5"/>
      <c r="P2724" s="5"/>
    </row>
    <row r="2725" spans="12:16" ht="15.75" customHeight="1" x14ac:dyDescent="0.25">
      <c r="L2725" s="5"/>
      <c r="M2725" s="5"/>
      <c r="N2725" s="5"/>
      <c r="O2725" s="5"/>
      <c r="P2725" s="5"/>
    </row>
    <row r="2726" spans="12:16" ht="15.75" customHeight="1" x14ac:dyDescent="0.25">
      <c r="L2726" s="5"/>
      <c r="M2726" s="5"/>
      <c r="N2726" s="5"/>
      <c r="O2726" s="5"/>
      <c r="P2726" s="5"/>
    </row>
    <row r="2727" spans="12:16" ht="15.75" customHeight="1" x14ac:dyDescent="0.25">
      <c r="L2727" s="5"/>
      <c r="M2727" s="5"/>
      <c r="N2727" s="5"/>
      <c r="O2727" s="5"/>
      <c r="P2727" s="5"/>
    </row>
    <row r="2728" spans="12:16" ht="15.75" customHeight="1" x14ac:dyDescent="0.25">
      <c r="L2728" s="5"/>
      <c r="M2728" s="5"/>
      <c r="N2728" s="5"/>
      <c r="O2728" s="5"/>
      <c r="P2728" s="5"/>
    </row>
    <row r="2729" spans="12:16" ht="15.75" customHeight="1" x14ac:dyDescent="0.25">
      <c r="L2729" s="5"/>
      <c r="M2729" s="5"/>
      <c r="N2729" s="5"/>
      <c r="O2729" s="5"/>
      <c r="P2729" s="5"/>
    </row>
    <row r="2730" spans="12:16" ht="15.75" customHeight="1" x14ac:dyDescent="0.25">
      <c r="L2730" s="5"/>
      <c r="M2730" s="5"/>
      <c r="N2730" s="5"/>
      <c r="O2730" s="5"/>
      <c r="P2730" s="5"/>
    </row>
    <row r="2731" spans="12:16" ht="15.75" customHeight="1" x14ac:dyDescent="0.25">
      <c r="L2731" s="5"/>
      <c r="M2731" s="5"/>
      <c r="N2731" s="5"/>
      <c r="O2731" s="5"/>
      <c r="P2731" s="5"/>
    </row>
    <row r="2732" spans="12:16" ht="15.75" customHeight="1" x14ac:dyDescent="0.25">
      <c r="L2732" s="5"/>
      <c r="M2732" s="5"/>
      <c r="N2732" s="5"/>
      <c r="O2732" s="5"/>
      <c r="P2732" s="5"/>
    </row>
    <row r="2733" spans="12:16" ht="15.75" customHeight="1" x14ac:dyDescent="0.25">
      <c r="L2733" s="5"/>
      <c r="M2733" s="5"/>
      <c r="N2733" s="5"/>
      <c r="O2733" s="5"/>
      <c r="P2733" s="5"/>
    </row>
    <row r="2734" spans="12:16" ht="15.75" customHeight="1" x14ac:dyDescent="0.25">
      <c r="L2734" s="5"/>
      <c r="M2734" s="5"/>
      <c r="N2734" s="5"/>
      <c r="O2734" s="5"/>
      <c r="P2734" s="5"/>
    </row>
    <row r="2735" spans="12:16" ht="15.75" customHeight="1" x14ac:dyDescent="0.25">
      <c r="L2735" s="5"/>
      <c r="M2735" s="5"/>
      <c r="N2735" s="5"/>
      <c r="O2735" s="5"/>
      <c r="P2735" s="5"/>
    </row>
    <row r="2736" spans="12:16" ht="15.75" customHeight="1" x14ac:dyDescent="0.25">
      <c r="L2736" s="5"/>
      <c r="M2736" s="5"/>
      <c r="N2736" s="5"/>
      <c r="O2736" s="5"/>
      <c r="P2736" s="5"/>
    </row>
    <row r="2737" spans="12:16" ht="15.75" customHeight="1" x14ac:dyDescent="0.25">
      <c r="L2737" s="5"/>
      <c r="M2737" s="5"/>
      <c r="N2737" s="5"/>
      <c r="O2737" s="5"/>
      <c r="P2737" s="5"/>
    </row>
    <row r="2738" spans="12:16" ht="15.75" customHeight="1" x14ac:dyDescent="0.25">
      <c r="L2738" s="5"/>
      <c r="M2738" s="5"/>
      <c r="N2738" s="5"/>
      <c r="O2738" s="5"/>
      <c r="P2738" s="5"/>
    </row>
    <row r="2739" spans="12:16" ht="15.75" customHeight="1" x14ac:dyDescent="0.25">
      <c r="L2739" s="5"/>
      <c r="M2739" s="5"/>
      <c r="N2739" s="5"/>
      <c r="O2739" s="5"/>
      <c r="P2739" s="5"/>
    </row>
    <row r="2740" spans="12:16" ht="15.75" customHeight="1" x14ac:dyDescent="0.25">
      <c r="L2740" s="5"/>
      <c r="M2740" s="5"/>
      <c r="N2740" s="5"/>
      <c r="O2740" s="5"/>
      <c r="P2740" s="5"/>
    </row>
    <row r="2741" spans="12:16" ht="15.75" customHeight="1" x14ac:dyDescent="0.25">
      <c r="L2741" s="5"/>
      <c r="M2741" s="5"/>
      <c r="N2741" s="5"/>
      <c r="O2741" s="5"/>
      <c r="P2741" s="5"/>
    </row>
    <row r="2742" spans="12:16" ht="15.75" customHeight="1" x14ac:dyDescent="0.25">
      <c r="L2742" s="5"/>
      <c r="M2742" s="5"/>
      <c r="N2742" s="5"/>
      <c r="O2742" s="5"/>
      <c r="P2742" s="5"/>
    </row>
    <row r="2743" spans="12:16" ht="15.75" customHeight="1" x14ac:dyDescent="0.25">
      <c r="L2743" s="5"/>
      <c r="M2743" s="5"/>
      <c r="N2743" s="5"/>
      <c r="O2743" s="5"/>
      <c r="P2743" s="5"/>
    </row>
    <row r="2744" spans="12:16" ht="15.75" customHeight="1" x14ac:dyDescent="0.25">
      <c r="L2744" s="5"/>
      <c r="M2744" s="5"/>
      <c r="N2744" s="5"/>
      <c r="O2744" s="5"/>
      <c r="P2744" s="5"/>
    </row>
    <row r="2745" spans="12:16" ht="15.75" customHeight="1" x14ac:dyDescent="0.25">
      <c r="L2745" s="5"/>
      <c r="M2745" s="5"/>
      <c r="N2745" s="5"/>
      <c r="O2745" s="5"/>
      <c r="P2745" s="5"/>
    </row>
    <row r="2746" spans="12:16" ht="15.75" customHeight="1" x14ac:dyDescent="0.25">
      <c r="L2746" s="5"/>
      <c r="M2746" s="5"/>
      <c r="N2746" s="5"/>
      <c r="O2746" s="5"/>
      <c r="P2746" s="5"/>
    </row>
    <row r="2747" spans="12:16" ht="15.75" customHeight="1" x14ac:dyDescent="0.25">
      <c r="L2747" s="5"/>
      <c r="M2747" s="5"/>
      <c r="N2747" s="5"/>
      <c r="O2747" s="5"/>
      <c r="P2747" s="5"/>
    </row>
    <row r="2748" spans="12:16" ht="15.75" customHeight="1" x14ac:dyDescent="0.25">
      <c r="L2748" s="5"/>
      <c r="M2748" s="5"/>
      <c r="N2748" s="5"/>
      <c r="O2748" s="5"/>
      <c r="P2748" s="5"/>
    </row>
    <row r="2749" spans="12:16" ht="15.75" customHeight="1" x14ac:dyDescent="0.25">
      <c r="L2749" s="5"/>
      <c r="M2749" s="5"/>
      <c r="N2749" s="5"/>
      <c r="O2749" s="5"/>
      <c r="P2749" s="5"/>
    </row>
    <row r="2750" spans="12:16" ht="15.75" customHeight="1" x14ac:dyDescent="0.25">
      <c r="L2750" s="5"/>
      <c r="M2750" s="5"/>
      <c r="N2750" s="5"/>
      <c r="O2750" s="5"/>
      <c r="P2750" s="5"/>
    </row>
    <row r="2751" spans="12:16" ht="15.75" customHeight="1" x14ac:dyDescent="0.25">
      <c r="L2751" s="5"/>
      <c r="M2751" s="5"/>
      <c r="N2751" s="5"/>
      <c r="O2751" s="5"/>
      <c r="P2751" s="5"/>
    </row>
    <row r="2752" spans="12:16" ht="15.75" customHeight="1" x14ac:dyDescent="0.25">
      <c r="L2752" s="5"/>
      <c r="M2752" s="5"/>
      <c r="N2752" s="5"/>
      <c r="O2752" s="5"/>
      <c r="P2752" s="5"/>
    </row>
    <row r="2753" spans="12:16" ht="15.75" customHeight="1" x14ac:dyDescent="0.25">
      <c r="L2753" s="5"/>
      <c r="M2753" s="5"/>
      <c r="N2753" s="5"/>
      <c r="O2753" s="5"/>
      <c r="P2753" s="5"/>
    </row>
    <row r="2754" spans="12:16" ht="15.75" customHeight="1" x14ac:dyDescent="0.25">
      <c r="L2754" s="5"/>
      <c r="M2754" s="5"/>
      <c r="N2754" s="5"/>
      <c r="O2754" s="5"/>
      <c r="P2754" s="5"/>
    </row>
    <row r="2755" spans="12:16" ht="15.75" customHeight="1" x14ac:dyDescent="0.25">
      <c r="L2755" s="5"/>
      <c r="M2755" s="5"/>
      <c r="N2755" s="5"/>
      <c r="O2755" s="5"/>
      <c r="P2755" s="5"/>
    </row>
    <row r="2756" spans="12:16" ht="15.75" customHeight="1" x14ac:dyDescent="0.25">
      <c r="L2756" s="5"/>
      <c r="M2756" s="5"/>
      <c r="N2756" s="5"/>
      <c r="O2756" s="5"/>
      <c r="P2756" s="5"/>
    </row>
    <row r="2757" spans="12:16" ht="15.75" customHeight="1" x14ac:dyDescent="0.25">
      <c r="L2757" s="5"/>
      <c r="M2757" s="5"/>
      <c r="N2757" s="5"/>
      <c r="O2757" s="5"/>
      <c r="P2757" s="5"/>
    </row>
    <row r="2758" spans="12:16" ht="15.75" customHeight="1" x14ac:dyDescent="0.25">
      <c r="L2758" s="5"/>
      <c r="M2758" s="5"/>
      <c r="N2758" s="5"/>
      <c r="O2758" s="5"/>
      <c r="P2758" s="5"/>
    </row>
    <row r="2759" spans="12:16" ht="15.75" customHeight="1" x14ac:dyDescent="0.25">
      <c r="L2759" s="5"/>
      <c r="M2759" s="5"/>
      <c r="N2759" s="5"/>
      <c r="O2759" s="5"/>
      <c r="P2759" s="5"/>
    </row>
    <row r="2760" spans="12:16" ht="15.75" customHeight="1" x14ac:dyDescent="0.25">
      <c r="L2760" s="5"/>
      <c r="M2760" s="5"/>
      <c r="N2760" s="5"/>
      <c r="O2760" s="5"/>
      <c r="P2760" s="5"/>
    </row>
    <row r="2761" spans="12:16" ht="15.75" customHeight="1" x14ac:dyDescent="0.25">
      <c r="L2761" s="5"/>
      <c r="M2761" s="5"/>
      <c r="N2761" s="5"/>
      <c r="O2761" s="5"/>
      <c r="P2761" s="5"/>
    </row>
    <row r="2762" spans="12:16" ht="15.75" customHeight="1" x14ac:dyDescent="0.25">
      <c r="L2762" s="5"/>
      <c r="M2762" s="5"/>
      <c r="N2762" s="5"/>
      <c r="O2762" s="5"/>
      <c r="P2762" s="5"/>
    </row>
    <row r="2763" spans="12:16" ht="15.75" customHeight="1" x14ac:dyDescent="0.25">
      <c r="L2763" s="5"/>
      <c r="M2763" s="5"/>
      <c r="N2763" s="5"/>
      <c r="O2763" s="5"/>
      <c r="P2763" s="5"/>
    </row>
    <row r="2764" spans="12:16" ht="15.75" customHeight="1" x14ac:dyDescent="0.25">
      <c r="L2764" s="5"/>
      <c r="M2764" s="5"/>
      <c r="N2764" s="5"/>
      <c r="O2764" s="5"/>
      <c r="P2764" s="5"/>
    </row>
    <row r="2765" spans="12:16" ht="15.75" customHeight="1" x14ac:dyDescent="0.25">
      <c r="L2765" s="5"/>
      <c r="M2765" s="5"/>
      <c r="N2765" s="5"/>
      <c r="O2765" s="5"/>
      <c r="P2765" s="5"/>
    </row>
    <row r="2766" spans="12:16" ht="15.75" customHeight="1" x14ac:dyDescent="0.25">
      <c r="L2766" s="5"/>
      <c r="M2766" s="5"/>
      <c r="N2766" s="5"/>
      <c r="O2766" s="5"/>
      <c r="P2766" s="5"/>
    </row>
    <row r="2767" spans="12:16" ht="15.75" customHeight="1" x14ac:dyDescent="0.25">
      <c r="L2767" s="5"/>
      <c r="M2767" s="5"/>
      <c r="N2767" s="5"/>
      <c r="O2767" s="5"/>
      <c r="P2767" s="5"/>
    </row>
    <row r="2768" spans="12:16" ht="15.75" customHeight="1" x14ac:dyDescent="0.25">
      <c r="L2768" s="5"/>
      <c r="M2768" s="5"/>
      <c r="N2768" s="5"/>
      <c r="O2768" s="5"/>
      <c r="P2768" s="5"/>
    </row>
    <row r="2769" spans="12:16" ht="15.75" customHeight="1" x14ac:dyDescent="0.25">
      <c r="L2769" s="5"/>
      <c r="M2769" s="5"/>
      <c r="N2769" s="5"/>
      <c r="O2769" s="5"/>
      <c r="P2769" s="5"/>
    </row>
    <row r="2770" spans="12:16" ht="15.75" customHeight="1" x14ac:dyDescent="0.25">
      <c r="L2770" s="5"/>
      <c r="M2770" s="5"/>
      <c r="N2770" s="5"/>
      <c r="O2770" s="5"/>
      <c r="P2770" s="5"/>
    </row>
    <row r="2771" spans="12:16" ht="15.75" customHeight="1" x14ac:dyDescent="0.25">
      <c r="L2771" s="5"/>
      <c r="M2771" s="5"/>
      <c r="N2771" s="5"/>
      <c r="O2771" s="5"/>
      <c r="P2771" s="5"/>
    </row>
    <row r="2772" spans="12:16" ht="15.75" customHeight="1" x14ac:dyDescent="0.25">
      <c r="L2772" s="5"/>
      <c r="M2772" s="5"/>
      <c r="N2772" s="5"/>
      <c r="O2772" s="5"/>
      <c r="P2772" s="5"/>
    </row>
    <row r="2773" spans="12:16" ht="15.75" customHeight="1" x14ac:dyDescent="0.25">
      <c r="L2773" s="5"/>
      <c r="M2773" s="5"/>
      <c r="N2773" s="5"/>
      <c r="O2773" s="5"/>
      <c r="P2773" s="5"/>
    </row>
    <row r="2774" spans="12:16" ht="15.75" customHeight="1" x14ac:dyDescent="0.25">
      <c r="L2774" s="5"/>
      <c r="M2774" s="5"/>
      <c r="N2774" s="5"/>
      <c r="O2774" s="5"/>
      <c r="P2774" s="5"/>
    </row>
    <row r="2775" spans="12:16" ht="15.75" customHeight="1" x14ac:dyDescent="0.25">
      <c r="L2775" s="5"/>
      <c r="M2775" s="5"/>
      <c r="N2775" s="5"/>
      <c r="O2775" s="5"/>
      <c r="P2775" s="5"/>
    </row>
    <row r="2776" spans="12:16" ht="15.75" customHeight="1" x14ac:dyDescent="0.25">
      <c r="L2776" s="5"/>
      <c r="M2776" s="5"/>
      <c r="N2776" s="5"/>
      <c r="O2776" s="5"/>
      <c r="P2776" s="5"/>
    </row>
    <row r="2777" spans="12:16" ht="15.75" customHeight="1" x14ac:dyDescent="0.25">
      <c r="L2777" s="5"/>
      <c r="M2777" s="5"/>
      <c r="N2777" s="5"/>
      <c r="O2777" s="5"/>
      <c r="P2777" s="5"/>
    </row>
    <row r="2778" spans="12:16" ht="15.75" customHeight="1" x14ac:dyDescent="0.25">
      <c r="L2778" s="5"/>
      <c r="M2778" s="5"/>
      <c r="N2778" s="5"/>
      <c r="O2778" s="5"/>
      <c r="P2778" s="5"/>
    </row>
    <row r="2779" spans="12:16" ht="15.75" customHeight="1" x14ac:dyDescent="0.25">
      <c r="L2779" s="5"/>
      <c r="M2779" s="5"/>
      <c r="N2779" s="5"/>
      <c r="O2779" s="5"/>
      <c r="P2779" s="5"/>
    </row>
    <row r="2780" spans="12:16" ht="15.75" customHeight="1" x14ac:dyDescent="0.25">
      <c r="L2780" s="5"/>
      <c r="M2780" s="5"/>
      <c r="N2780" s="5"/>
      <c r="O2780" s="5"/>
      <c r="P2780" s="5"/>
    </row>
    <row r="2781" spans="12:16" ht="15.75" customHeight="1" x14ac:dyDescent="0.25">
      <c r="L2781" s="5"/>
      <c r="M2781" s="5"/>
      <c r="N2781" s="5"/>
      <c r="O2781" s="5"/>
      <c r="P2781" s="5"/>
    </row>
    <row r="2782" spans="12:16" ht="15.75" customHeight="1" x14ac:dyDescent="0.25">
      <c r="L2782" s="5"/>
      <c r="M2782" s="5"/>
      <c r="N2782" s="5"/>
      <c r="O2782" s="5"/>
      <c r="P2782" s="5"/>
    </row>
    <row r="2783" spans="12:16" ht="15.75" customHeight="1" x14ac:dyDescent="0.25">
      <c r="L2783" s="5"/>
      <c r="M2783" s="5"/>
      <c r="N2783" s="5"/>
      <c r="O2783" s="5"/>
      <c r="P2783" s="5"/>
    </row>
    <row r="2784" spans="12:16" ht="15.75" customHeight="1" x14ac:dyDescent="0.25">
      <c r="L2784" s="5"/>
      <c r="M2784" s="5"/>
      <c r="N2784" s="5"/>
      <c r="O2784" s="5"/>
      <c r="P2784" s="5"/>
    </row>
    <row r="2785" spans="12:16" ht="15.75" customHeight="1" x14ac:dyDescent="0.25">
      <c r="L2785" s="5"/>
      <c r="M2785" s="5"/>
      <c r="N2785" s="5"/>
      <c r="O2785" s="5"/>
      <c r="P2785" s="5"/>
    </row>
    <row r="2786" spans="12:16" ht="15.75" customHeight="1" x14ac:dyDescent="0.25">
      <c r="L2786" s="5"/>
      <c r="M2786" s="5"/>
      <c r="N2786" s="5"/>
      <c r="O2786" s="5"/>
      <c r="P2786" s="5"/>
    </row>
    <row r="2787" spans="12:16" ht="15.75" customHeight="1" x14ac:dyDescent="0.25">
      <c r="L2787" s="5"/>
      <c r="M2787" s="5"/>
      <c r="N2787" s="5"/>
      <c r="O2787" s="5"/>
      <c r="P2787" s="5"/>
    </row>
    <row r="2788" spans="12:16" ht="15.75" customHeight="1" x14ac:dyDescent="0.25">
      <c r="L2788" s="5"/>
      <c r="M2788" s="5"/>
      <c r="N2788" s="5"/>
      <c r="O2788" s="5"/>
      <c r="P2788" s="5"/>
    </row>
    <row r="2789" spans="12:16" ht="15.75" customHeight="1" x14ac:dyDescent="0.25">
      <c r="L2789" s="5"/>
      <c r="M2789" s="5"/>
      <c r="N2789" s="5"/>
      <c r="O2789" s="5"/>
      <c r="P2789" s="5"/>
    </row>
    <row r="2790" spans="12:16" ht="15.75" customHeight="1" x14ac:dyDescent="0.25">
      <c r="L2790" s="5"/>
      <c r="M2790" s="5"/>
      <c r="N2790" s="5"/>
      <c r="O2790" s="5"/>
      <c r="P2790" s="5"/>
    </row>
    <row r="2791" spans="12:16" ht="15.75" customHeight="1" x14ac:dyDescent="0.25">
      <c r="L2791" s="5"/>
      <c r="M2791" s="5"/>
      <c r="N2791" s="5"/>
      <c r="O2791" s="5"/>
      <c r="P2791" s="5"/>
    </row>
    <row r="2792" spans="12:16" ht="15.75" customHeight="1" x14ac:dyDescent="0.25">
      <c r="L2792" s="5"/>
      <c r="M2792" s="5"/>
      <c r="N2792" s="5"/>
      <c r="O2792" s="5"/>
      <c r="P2792" s="5"/>
    </row>
    <row r="2793" spans="12:16" ht="15.75" customHeight="1" x14ac:dyDescent="0.25">
      <c r="L2793" s="5"/>
      <c r="M2793" s="5"/>
      <c r="N2793" s="5"/>
      <c r="O2793" s="5"/>
      <c r="P2793" s="5"/>
    </row>
    <row r="2794" spans="12:16" ht="15.75" customHeight="1" x14ac:dyDescent="0.25">
      <c r="L2794" s="5"/>
      <c r="M2794" s="5"/>
      <c r="N2794" s="5"/>
      <c r="O2794" s="5"/>
      <c r="P2794" s="5"/>
    </row>
    <row r="2795" spans="12:16" ht="15.75" customHeight="1" x14ac:dyDescent="0.25">
      <c r="L2795" s="5"/>
      <c r="M2795" s="5"/>
      <c r="N2795" s="5"/>
      <c r="O2795" s="5"/>
      <c r="P2795" s="5"/>
    </row>
    <row r="2796" spans="12:16" ht="15.75" customHeight="1" x14ac:dyDescent="0.25">
      <c r="L2796" s="5"/>
      <c r="M2796" s="5"/>
      <c r="N2796" s="5"/>
      <c r="O2796" s="5"/>
      <c r="P2796" s="5"/>
    </row>
    <row r="2797" spans="12:16" ht="15.75" customHeight="1" x14ac:dyDescent="0.25">
      <c r="L2797" s="5"/>
      <c r="M2797" s="5"/>
      <c r="N2797" s="5"/>
      <c r="O2797" s="5"/>
      <c r="P2797" s="5"/>
    </row>
    <row r="2798" spans="12:16" ht="15.75" customHeight="1" x14ac:dyDescent="0.25">
      <c r="L2798" s="5"/>
      <c r="M2798" s="5"/>
      <c r="N2798" s="5"/>
      <c r="O2798" s="5"/>
      <c r="P2798" s="5"/>
    </row>
    <row r="2799" spans="12:16" ht="15.75" customHeight="1" x14ac:dyDescent="0.25">
      <c r="L2799" s="5"/>
      <c r="M2799" s="5"/>
      <c r="N2799" s="5"/>
      <c r="O2799" s="5"/>
      <c r="P2799" s="5"/>
    </row>
    <row r="2800" spans="12:16" ht="15.75" customHeight="1" x14ac:dyDescent="0.25">
      <c r="L2800" s="5"/>
      <c r="M2800" s="5"/>
      <c r="N2800" s="5"/>
      <c r="O2800" s="5"/>
      <c r="P2800" s="5"/>
    </row>
    <row r="2801" spans="12:16" ht="15.75" customHeight="1" x14ac:dyDescent="0.25">
      <c r="L2801" s="5"/>
      <c r="M2801" s="5"/>
      <c r="N2801" s="5"/>
      <c r="O2801" s="5"/>
      <c r="P2801" s="5"/>
    </row>
    <row r="2802" spans="12:16" ht="15.75" customHeight="1" x14ac:dyDescent="0.25">
      <c r="L2802" s="5"/>
      <c r="M2802" s="5"/>
      <c r="N2802" s="5"/>
      <c r="O2802" s="5"/>
      <c r="P2802" s="5"/>
    </row>
    <row r="2803" spans="12:16" ht="15.75" customHeight="1" x14ac:dyDescent="0.25">
      <c r="L2803" s="5"/>
      <c r="M2803" s="5"/>
      <c r="N2803" s="5"/>
      <c r="O2803" s="5"/>
      <c r="P2803" s="5"/>
    </row>
    <row r="2804" spans="12:16" ht="15.75" customHeight="1" x14ac:dyDescent="0.25">
      <c r="L2804" s="5"/>
      <c r="M2804" s="5"/>
      <c r="N2804" s="5"/>
      <c r="O2804" s="5"/>
      <c r="P2804" s="5"/>
    </row>
    <row r="2805" spans="12:16" ht="15.75" customHeight="1" x14ac:dyDescent="0.25">
      <c r="L2805" s="5"/>
      <c r="M2805" s="5"/>
      <c r="N2805" s="5"/>
      <c r="O2805" s="5"/>
      <c r="P2805" s="5"/>
    </row>
    <row r="2806" spans="12:16" ht="15.75" customHeight="1" x14ac:dyDescent="0.25">
      <c r="L2806" s="5"/>
      <c r="M2806" s="5"/>
      <c r="N2806" s="5"/>
      <c r="O2806" s="5"/>
      <c r="P2806" s="5"/>
    </row>
    <row r="2807" spans="12:16" ht="15.75" customHeight="1" x14ac:dyDescent="0.25">
      <c r="L2807" s="5"/>
      <c r="M2807" s="5"/>
      <c r="N2807" s="5"/>
      <c r="O2807" s="5"/>
      <c r="P2807" s="5"/>
    </row>
    <row r="2808" spans="12:16" ht="15.75" customHeight="1" x14ac:dyDescent="0.25">
      <c r="L2808" s="5"/>
      <c r="M2808" s="5"/>
      <c r="N2808" s="5"/>
      <c r="O2808" s="5"/>
      <c r="P2808" s="5"/>
    </row>
    <row r="2809" spans="12:16" ht="15.75" customHeight="1" x14ac:dyDescent="0.25">
      <c r="L2809" s="5"/>
      <c r="M2809" s="5"/>
      <c r="N2809" s="5"/>
      <c r="O2809" s="5"/>
      <c r="P2809" s="5"/>
    </row>
    <row r="2810" spans="12:16" ht="15.75" customHeight="1" x14ac:dyDescent="0.25">
      <c r="L2810" s="5"/>
      <c r="M2810" s="5"/>
      <c r="N2810" s="5"/>
      <c r="O2810" s="5"/>
      <c r="P2810" s="5"/>
    </row>
    <row r="2811" spans="12:16" ht="15.75" customHeight="1" x14ac:dyDescent="0.25">
      <c r="L2811" s="5"/>
      <c r="M2811" s="5"/>
      <c r="N2811" s="5"/>
      <c r="O2811" s="5"/>
      <c r="P2811" s="5"/>
    </row>
    <row r="2812" spans="12:16" ht="15.75" customHeight="1" x14ac:dyDescent="0.25">
      <c r="L2812" s="5"/>
      <c r="M2812" s="5"/>
      <c r="N2812" s="5"/>
      <c r="O2812" s="5"/>
      <c r="P2812" s="5"/>
    </row>
    <row r="2813" spans="12:16" ht="15.75" customHeight="1" x14ac:dyDescent="0.25">
      <c r="L2813" s="5"/>
      <c r="M2813" s="5"/>
      <c r="N2813" s="5"/>
      <c r="O2813" s="5"/>
      <c r="P2813" s="5"/>
    </row>
    <row r="2814" spans="12:16" ht="15.75" customHeight="1" x14ac:dyDescent="0.25">
      <c r="L2814" s="5"/>
      <c r="M2814" s="5"/>
      <c r="N2814" s="5"/>
      <c r="O2814" s="5"/>
      <c r="P2814" s="5"/>
    </row>
    <row r="2815" spans="12:16" ht="15.75" customHeight="1" x14ac:dyDescent="0.25">
      <c r="L2815" s="5"/>
      <c r="M2815" s="5"/>
      <c r="N2815" s="5"/>
      <c r="O2815" s="5"/>
      <c r="P2815" s="5"/>
    </row>
    <row r="2816" spans="12:16" ht="15.75" customHeight="1" x14ac:dyDescent="0.25">
      <c r="L2816" s="5"/>
      <c r="M2816" s="5"/>
      <c r="N2816" s="5"/>
      <c r="O2816" s="5"/>
      <c r="P2816" s="5"/>
    </row>
    <row r="2817" spans="12:16" ht="15.75" customHeight="1" x14ac:dyDescent="0.25">
      <c r="L2817" s="5"/>
      <c r="M2817" s="5"/>
      <c r="N2817" s="5"/>
      <c r="O2817" s="5"/>
      <c r="P2817" s="5"/>
    </row>
    <row r="2818" spans="12:16" ht="15.75" customHeight="1" x14ac:dyDescent="0.25">
      <c r="L2818" s="5"/>
      <c r="M2818" s="5"/>
      <c r="N2818" s="5"/>
      <c r="O2818" s="5"/>
      <c r="P2818" s="5"/>
    </row>
    <row r="2819" spans="12:16" ht="15.75" customHeight="1" x14ac:dyDescent="0.25">
      <c r="L2819" s="5"/>
      <c r="M2819" s="5"/>
      <c r="N2819" s="5"/>
      <c r="O2819" s="5"/>
      <c r="P2819" s="5"/>
    </row>
    <row r="2820" spans="12:16" ht="15.75" customHeight="1" x14ac:dyDescent="0.25">
      <c r="L2820" s="5"/>
      <c r="M2820" s="5"/>
      <c r="N2820" s="5"/>
      <c r="O2820" s="5"/>
      <c r="P2820" s="5"/>
    </row>
    <row r="2821" spans="12:16" ht="15.75" customHeight="1" x14ac:dyDescent="0.25">
      <c r="L2821" s="5"/>
      <c r="M2821" s="5"/>
      <c r="N2821" s="5"/>
      <c r="O2821" s="5"/>
      <c r="P2821" s="5"/>
    </row>
    <row r="2822" spans="12:16" ht="15.75" customHeight="1" x14ac:dyDescent="0.25">
      <c r="L2822" s="5"/>
      <c r="M2822" s="5"/>
      <c r="N2822" s="5"/>
      <c r="O2822" s="5"/>
      <c r="P2822" s="5"/>
    </row>
    <row r="2823" spans="12:16" ht="15.75" customHeight="1" x14ac:dyDescent="0.25">
      <c r="L2823" s="5"/>
      <c r="M2823" s="5"/>
      <c r="N2823" s="5"/>
      <c r="O2823" s="5"/>
      <c r="P2823" s="5"/>
    </row>
    <row r="2824" spans="12:16" ht="15.75" customHeight="1" x14ac:dyDescent="0.25">
      <c r="L2824" s="5"/>
      <c r="M2824" s="5"/>
      <c r="N2824" s="5"/>
      <c r="O2824" s="5"/>
      <c r="P2824" s="5"/>
    </row>
    <row r="2825" spans="12:16" ht="15.75" customHeight="1" x14ac:dyDescent="0.25">
      <c r="L2825" s="5"/>
      <c r="M2825" s="5"/>
      <c r="N2825" s="5"/>
      <c r="O2825" s="5"/>
      <c r="P2825" s="5"/>
    </row>
    <row r="2826" spans="12:16" ht="15.75" customHeight="1" x14ac:dyDescent="0.25">
      <c r="L2826" s="5"/>
      <c r="M2826" s="5"/>
      <c r="N2826" s="5"/>
      <c r="O2826" s="5"/>
      <c r="P2826" s="5"/>
    </row>
    <row r="2827" spans="12:16" ht="15.75" customHeight="1" x14ac:dyDescent="0.25">
      <c r="L2827" s="5"/>
      <c r="M2827" s="5"/>
      <c r="N2827" s="5"/>
      <c r="O2827" s="5"/>
      <c r="P2827" s="5"/>
    </row>
    <row r="2828" spans="12:16" ht="15.75" customHeight="1" x14ac:dyDescent="0.25">
      <c r="L2828" s="5"/>
      <c r="M2828" s="5"/>
      <c r="N2828" s="5"/>
      <c r="O2828" s="5"/>
      <c r="P2828" s="5"/>
    </row>
    <row r="2829" spans="12:16" ht="15.75" customHeight="1" x14ac:dyDescent="0.25">
      <c r="L2829" s="5"/>
      <c r="M2829" s="5"/>
      <c r="N2829" s="5"/>
      <c r="O2829" s="5"/>
      <c r="P2829" s="5"/>
    </row>
    <row r="2830" spans="12:16" ht="15.75" customHeight="1" x14ac:dyDescent="0.25">
      <c r="L2830" s="5"/>
      <c r="M2830" s="5"/>
      <c r="N2830" s="5"/>
      <c r="O2830" s="5"/>
      <c r="P2830" s="5"/>
    </row>
    <row r="2831" spans="12:16" ht="15.75" customHeight="1" x14ac:dyDescent="0.25">
      <c r="L2831" s="5"/>
      <c r="M2831" s="5"/>
      <c r="N2831" s="5"/>
      <c r="O2831" s="5"/>
      <c r="P2831" s="5"/>
    </row>
    <row r="2832" spans="12:16" ht="15.75" customHeight="1" x14ac:dyDescent="0.25">
      <c r="L2832" s="5"/>
      <c r="M2832" s="5"/>
      <c r="N2832" s="5"/>
      <c r="O2832" s="5"/>
      <c r="P2832" s="5"/>
    </row>
    <row r="2833" spans="12:16" ht="15.75" customHeight="1" x14ac:dyDescent="0.25">
      <c r="L2833" s="5"/>
      <c r="M2833" s="5"/>
      <c r="N2833" s="5"/>
      <c r="O2833" s="5"/>
      <c r="P2833" s="5"/>
    </row>
    <row r="2834" spans="12:16" ht="15.75" customHeight="1" x14ac:dyDescent="0.25">
      <c r="L2834" s="5"/>
      <c r="M2834" s="5"/>
      <c r="N2834" s="5"/>
      <c r="O2834" s="5"/>
      <c r="P2834" s="5"/>
    </row>
    <row r="2835" spans="12:16" ht="15.75" customHeight="1" x14ac:dyDescent="0.25">
      <c r="L2835" s="5"/>
      <c r="M2835" s="5"/>
      <c r="N2835" s="5"/>
      <c r="O2835" s="5"/>
      <c r="P2835" s="5"/>
    </row>
    <row r="2836" spans="12:16" ht="15.75" customHeight="1" x14ac:dyDescent="0.25">
      <c r="L2836" s="5"/>
      <c r="M2836" s="5"/>
      <c r="N2836" s="5"/>
      <c r="O2836" s="5"/>
      <c r="P2836" s="5"/>
    </row>
    <row r="2837" spans="12:16" ht="15.75" customHeight="1" x14ac:dyDescent="0.25">
      <c r="L2837" s="5"/>
      <c r="M2837" s="5"/>
      <c r="N2837" s="5"/>
      <c r="O2837" s="5"/>
      <c r="P2837" s="5"/>
    </row>
    <row r="2838" spans="12:16" ht="15.75" customHeight="1" x14ac:dyDescent="0.25">
      <c r="L2838" s="5"/>
      <c r="M2838" s="5"/>
      <c r="N2838" s="5"/>
      <c r="O2838" s="5"/>
      <c r="P2838" s="5"/>
    </row>
    <row r="2839" spans="12:16" ht="15.75" customHeight="1" x14ac:dyDescent="0.25">
      <c r="L2839" s="5"/>
      <c r="M2839" s="5"/>
      <c r="N2839" s="5"/>
      <c r="O2839" s="5"/>
      <c r="P2839" s="5"/>
    </row>
    <row r="2840" spans="12:16" ht="15.75" customHeight="1" x14ac:dyDescent="0.25">
      <c r="L2840" s="5"/>
      <c r="M2840" s="5"/>
      <c r="N2840" s="5"/>
      <c r="O2840" s="5"/>
      <c r="P2840" s="5"/>
    </row>
    <row r="2841" spans="12:16" ht="15.75" customHeight="1" x14ac:dyDescent="0.25">
      <c r="L2841" s="5"/>
      <c r="M2841" s="5"/>
      <c r="N2841" s="5"/>
      <c r="O2841" s="5"/>
      <c r="P2841" s="5"/>
    </row>
    <row r="2842" spans="12:16" ht="15.75" customHeight="1" x14ac:dyDescent="0.25">
      <c r="L2842" s="5"/>
      <c r="M2842" s="5"/>
      <c r="N2842" s="5"/>
      <c r="O2842" s="5"/>
      <c r="P2842" s="5"/>
    </row>
    <row r="2843" spans="12:16" ht="15.75" customHeight="1" x14ac:dyDescent="0.25">
      <c r="L2843" s="5"/>
      <c r="M2843" s="5"/>
      <c r="N2843" s="5"/>
      <c r="O2843" s="5"/>
      <c r="P2843" s="5"/>
    </row>
    <row r="2844" spans="12:16" ht="15.75" customHeight="1" x14ac:dyDescent="0.25">
      <c r="L2844" s="5"/>
      <c r="M2844" s="5"/>
      <c r="N2844" s="5"/>
      <c r="O2844" s="5"/>
      <c r="P2844" s="5"/>
    </row>
    <row r="2845" spans="12:16" ht="15.75" customHeight="1" x14ac:dyDescent="0.25">
      <c r="L2845" s="5"/>
      <c r="M2845" s="5"/>
      <c r="N2845" s="5"/>
      <c r="O2845" s="5"/>
      <c r="P2845" s="5"/>
    </row>
    <row r="2846" spans="12:16" ht="15.75" customHeight="1" x14ac:dyDescent="0.25">
      <c r="L2846" s="5"/>
      <c r="M2846" s="5"/>
      <c r="N2846" s="5"/>
      <c r="O2846" s="5"/>
      <c r="P2846" s="5"/>
    </row>
    <row r="2847" spans="12:16" ht="15.75" customHeight="1" x14ac:dyDescent="0.25">
      <c r="L2847" s="5"/>
      <c r="M2847" s="5"/>
      <c r="N2847" s="5"/>
      <c r="O2847" s="5"/>
      <c r="P2847" s="5"/>
    </row>
    <row r="2848" spans="12:16" ht="15.75" customHeight="1" x14ac:dyDescent="0.25">
      <c r="L2848" s="5"/>
      <c r="M2848" s="5"/>
      <c r="N2848" s="5"/>
      <c r="O2848" s="5"/>
      <c r="P2848" s="5"/>
    </row>
    <row r="2849" spans="12:16" ht="15.75" customHeight="1" x14ac:dyDescent="0.25">
      <c r="L2849" s="5"/>
      <c r="M2849" s="5"/>
      <c r="N2849" s="5"/>
      <c r="O2849" s="5"/>
      <c r="P2849" s="5"/>
    </row>
    <row r="2850" spans="12:16" ht="15.75" customHeight="1" x14ac:dyDescent="0.25">
      <c r="L2850" s="5"/>
      <c r="M2850" s="5"/>
      <c r="N2850" s="5"/>
      <c r="O2850" s="5"/>
      <c r="P2850" s="5"/>
    </row>
    <row r="2851" spans="12:16" ht="15.75" customHeight="1" x14ac:dyDescent="0.25">
      <c r="L2851" s="5"/>
      <c r="M2851" s="5"/>
      <c r="N2851" s="5"/>
      <c r="O2851" s="5"/>
      <c r="P2851" s="5"/>
    </row>
    <row r="2852" spans="12:16" ht="15.75" customHeight="1" x14ac:dyDescent="0.25">
      <c r="L2852" s="5"/>
      <c r="M2852" s="5"/>
      <c r="N2852" s="5"/>
      <c r="O2852" s="5"/>
      <c r="P2852" s="5"/>
    </row>
    <row r="2853" spans="12:16" ht="15.75" customHeight="1" x14ac:dyDescent="0.25">
      <c r="L2853" s="5"/>
      <c r="M2853" s="5"/>
      <c r="N2853" s="5"/>
      <c r="O2853" s="5"/>
      <c r="P2853" s="5"/>
    </row>
    <row r="2854" spans="12:16" ht="15.75" customHeight="1" x14ac:dyDescent="0.25">
      <c r="L2854" s="5"/>
      <c r="M2854" s="5"/>
      <c r="N2854" s="5"/>
      <c r="O2854" s="5"/>
      <c r="P2854" s="5"/>
    </row>
    <row r="2855" spans="12:16" ht="15.75" customHeight="1" x14ac:dyDescent="0.25">
      <c r="L2855" s="5"/>
      <c r="M2855" s="5"/>
      <c r="N2855" s="5"/>
      <c r="O2855" s="5"/>
      <c r="P2855" s="5"/>
    </row>
    <row r="2856" spans="12:16" ht="15.75" customHeight="1" x14ac:dyDescent="0.25">
      <c r="L2856" s="5"/>
      <c r="M2856" s="5"/>
      <c r="N2856" s="5"/>
      <c r="O2856" s="5"/>
      <c r="P2856" s="5"/>
    </row>
    <row r="2857" spans="12:16" ht="15.75" customHeight="1" x14ac:dyDescent="0.25">
      <c r="L2857" s="5"/>
      <c r="M2857" s="5"/>
      <c r="N2857" s="5"/>
      <c r="O2857" s="5"/>
      <c r="P2857" s="5"/>
    </row>
    <row r="2858" spans="12:16" ht="15.75" customHeight="1" x14ac:dyDescent="0.25">
      <c r="L2858" s="5"/>
      <c r="M2858" s="5"/>
      <c r="N2858" s="5"/>
      <c r="O2858" s="5"/>
      <c r="P2858" s="5"/>
    </row>
    <row r="2859" spans="12:16" ht="15.75" customHeight="1" x14ac:dyDescent="0.25">
      <c r="L2859" s="5"/>
      <c r="M2859" s="5"/>
      <c r="N2859" s="5"/>
      <c r="O2859" s="5"/>
      <c r="P2859" s="5"/>
    </row>
    <row r="2860" spans="12:16" ht="15.75" customHeight="1" x14ac:dyDescent="0.25">
      <c r="L2860" s="5"/>
      <c r="M2860" s="5"/>
      <c r="N2860" s="5"/>
      <c r="O2860" s="5"/>
      <c r="P2860" s="5"/>
    </row>
    <row r="2861" spans="12:16" ht="15.75" customHeight="1" x14ac:dyDescent="0.25">
      <c r="L2861" s="5"/>
      <c r="M2861" s="5"/>
      <c r="N2861" s="5"/>
      <c r="O2861" s="5"/>
      <c r="P2861" s="5"/>
    </row>
    <row r="2862" spans="12:16" ht="15.75" customHeight="1" x14ac:dyDescent="0.25">
      <c r="L2862" s="5"/>
      <c r="M2862" s="5"/>
      <c r="N2862" s="5"/>
      <c r="O2862" s="5"/>
      <c r="P2862" s="5"/>
    </row>
    <row r="2863" spans="12:16" ht="15.75" customHeight="1" x14ac:dyDescent="0.25">
      <c r="L2863" s="5"/>
      <c r="M2863" s="5"/>
      <c r="N2863" s="5"/>
      <c r="O2863" s="5"/>
      <c r="P2863" s="5"/>
    </row>
    <row r="2864" spans="12:16" ht="15.75" customHeight="1" x14ac:dyDescent="0.25">
      <c r="L2864" s="5"/>
      <c r="M2864" s="5"/>
      <c r="N2864" s="5"/>
      <c r="O2864" s="5"/>
      <c r="P2864" s="5"/>
    </row>
    <row r="2865" spans="12:16" ht="15.75" customHeight="1" x14ac:dyDescent="0.25">
      <c r="L2865" s="5"/>
      <c r="M2865" s="5"/>
      <c r="N2865" s="5"/>
      <c r="O2865" s="5"/>
      <c r="P2865" s="5"/>
    </row>
    <row r="2866" spans="12:16" ht="15.75" customHeight="1" x14ac:dyDescent="0.25">
      <c r="L2866" s="5"/>
      <c r="M2866" s="5"/>
      <c r="N2866" s="5"/>
      <c r="O2866" s="5"/>
      <c r="P2866" s="5"/>
    </row>
    <row r="2867" spans="12:16" ht="15.75" customHeight="1" x14ac:dyDescent="0.25">
      <c r="L2867" s="5"/>
      <c r="M2867" s="5"/>
      <c r="N2867" s="5"/>
      <c r="O2867" s="5"/>
      <c r="P2867" s="5"/>
    </row>
    <row r="2868" spans="12:16" ht="15.75" customHeight="1" x14ac:dyDescent="0.25">
      <c r="L2868" s="5"/>
      <c r="M2868" s="5"/>
      <c r="N2868" s="5"/>
      <c r="O2868" s="5"/>
      <c r="P2868" s="5"/>
    </row>
    <row r="2869" spans="12:16" ht="15.75" customHeight="1" x14ac:dyDescent="0.25">
      <c r="L2869" s="5"/>
      <c r="M2869" s="5"/>
      <c r="N2869" s="5"/>
      <c r="O2869" s="5"/>
      <c r="P2869" s="5"/>
    </row>
    <row r="2870" spans="12:16" ht="15.75" customHeight="1" x14ac:dyDescent="0.25">
      <c r="L2870" s="5"/>
      <c r="M2870" s="5"/>
      <c r="N2870" s="5"/>
      <c r="O2870" s="5"/>
      <c r="P2870" s="5"/>
    </row>
    <row r="2871" spans="12:16" ht="15.75" customHeight="1" x14ac:dyDescent="0.25">
      <c r="L2871" s="5"/>
      <c r="M2871" s="5"/>
      <c r="N2871" s="5"/>
      <c r="O2871" s="5"/>
      <c r="P2871" s="5"/>
    </row>
    <row r="2872" spans="12:16" ht="15.75" customHeight="1" x14ac:dyDescent="0.25">
      <c r="L2872" s="5"/>
      <c r="M2872" s="5"/>
      <c r="N2872" s="5"/>
      <c r="O2872" s="5"/>
      <c r="P2872" s="5"/>
    </row>
    <row r="2873" spans="12:16" ht="15.75" customHeight="1" x14ac:dyDescent="0.25">
      <c r="L2873" s="5"/>
      <c r="M2873" s="5"/>
      <c r="N2873" s="5"/>
      <c r="O2873" s="5"/>
      <c r="P2873" s="5"/>
    </row>
    <row r="2874" spans="12:16" ht="15.75" customHeight="1" x14ac:dyDescent="0.25">
      <c r="L2874" s="5"/>
      <c r="M2874" s="5"/>
      <c r="N2874" s="5"/>
      <c r="O2874" s="5"/>
      <c r="P2874" s="5"/>
    </row>
    <row r="2875" spans="12:16" ht="15.75" customHeight="1" x14ac:dyDescent="0.25">
      <c r="L2875" s="5"/>
      <c r="M2875" s="5"/>
      <c r="N2875" s="5"/>
      <c r="O2875" s="5"/>
      <c r="P2875" s="5"/>
    </row>
    <row r="2876" spans="12:16" ht="15.75" customHeight="1" x14ac:dyDescent="0.25">
      <c r="L2876" s="5"/>
      <c r="M2876" s="5"/>
      <c r="N2876" s="5"/>
      <c r="O2876" s="5"/>
      <c r="P2876" s="5"/>
    </row>
    <row r="2877" spans="12:16" ht="15.75" customHeight="1" x14ac:dyDescent="0.25">
      <c r="L2877" s="5"/>
      <c r="M2877" s="5"/>
      <c r="N2877" s="5"/>
      <c r="O2877" s="5"/>
      <c r="P2877" s="5"/>
    </row>
    <row r="2878" spans="12:16" ht="15.75" customHeight="1" x14ac:dyDescent="0.25">
      <c r="L2878" s="5"/>
      <c r="M2878" s="5"/>
      <c r="N2878" s="5"/>
      <c r="O2878" s="5"/>
      <c r="P2878" s="5"/>
    </row>
    <row r="2879" spans="12:16" ht="15.75" customHeight="1" x14ac:dyDescent="0.25">
      <c r="L2879" s="5"/>
      <c r="M2879" s="5"/>
      <c r="N2879" s="5"/>
      <c r="O2879" s="5"/>
      <c r="P2879" s="5"/>
    </row>
    <row r="2880" spans="12:16" ht="15.75" customHeight="1" x14ac:dyDescent="0.25">
      <c r="L2880" s="5"/>
      <c r="M2880" s="5"/>
      <c r="N2880" s="5"/>
      <c r="O2880" s="5"/>
      <c r="P2880" s="5"/>
    </row>
    <row r="2881" spans="12:16" ht="15.75" customHeight="1" x14ac:dyDescent="0.25">
      <c r="L2881" s="5"/>
      <c r="M2881" s="5"/>
      <c r="N2881" s="5"/>
      <c r="O2881" s="5"/>
      <c r="P2881" s="5"/>
    </row>
    <row r="2882" spans="12:16" ht="15.75" customHeight="1" x14ac:dyDescent="0.25">
      <c r="L2882" s="5"/>
      <c r="M2882" s="5"/>
      <c r="N2882" s="5"/>
      <c r="O2882" s="5"/>
      <c r="P2882" s="5"/>
    </row>
    <row r="2883" spans="12:16" ht="15.75" customHeight="1" x14ac:dyDescent="0.25">
      <c r="L2883" s="5"/>
      <c r="M2883" s="5"/>
      <c r="N2883" s="5"/>
      <c r="O2883" s="5"/>
      <c r="P2883" s="5"/>
    </row>
    <row r="2884" spans="12:16" ht="15.75" customHeight="1" x14ac:dyDescent="0.25">
      <c r="L2884" s="5"/>
      <c r="M2884" s="5"/>
      <c r="N2884" s="5"/>
      <c r="O2884" s="5"/>
      <c r="P2884" s="5"/>
    </row>
    <row r="2885" spans="12:16" ht="15.75" customHeight="1" x14ac:dyDescent="0.25">
      <c r="L2885" s="5"/>
      <c r="M2885" s="5"/>
      <c r="N2885" s="5"/>
      <c r="O2885" s="5"/>
      <c r="P2885" s="5"/>
    </row>
    <row r="2886" spans="12:16" ht="15.75" customHeight="1" x14ac:dyDescent="0.25">
      <c r="L2886" s="5"/>
      <c r="M2886" s="5"/>
      <c r="N2886" s="5"/>
      <c r="O2886" s="5"/>
      <c r="P2886" s="5"/>
    </row>
    <row r="2887" spans="12:16" ht="15.75" customHeight="1" x14ac:dyDescent="0.25">
      <c r="L2887" s="5"/>
      <c r="M2887" s="5"/>
      <c r="N2887" s="5"/>
      <c r="O2887" s="5"/>
      <c r="P2887" s="5"/>
    </row>
    <row r="2888" spans="12:16" ht="15.75" customHeight="1" x14ac:dyDescent="0.25">
      <c r="L2888" s="5"/>
      <c r="M2888" s="5"/>
      <c r="N2888" s="5"/>
      <c r="O2888" s="5"/>
      <c r="P2888" s="5"/>
    </row>
    <row r="2889" spans="12:16" ht="15.75" customHeight="1" x14ac:dyDescent="0.25">
      <c r="L2889" s="5"/>
      <c r="M2889" s="5"/>
      <c r="N2889" s="5"/>
      <c r="O2889" s="5"/>
      <c r="P2889" s="5"/>
    </row>
    <row r="2890" spans="12:16" ht="15.75" customHeight="1" x14ac:dyDescent="0.25">
      <c r="L2890" s="5"/>
      <c r="M2890" s="5"/>
      <c r="N2890" s="5"/>
      <c r="O2890" s="5"/>
      <c r="P2890" s="5"/>
    </row>
    <row r="2891" spans="12:16" ht="15.75" customHeight="1" x14ac:dyDescent="0.25">
      <c r="L2891" s="5"/>
      <c r="M2891" s="5"/>
      <c r="N2891" s="5"/>
      <c r="O2891" s="5"/>
      <c r="P2891" s="5"/>
    </row>
    <row r="2892" spans="12:16" ht="15.75" customHeight="1" x14ac:dyDescent="0.25">
      <c r="L2892" s="5"/>
      <c r="M2892" s="5"/>
      <c r="N2892" s="5"/>
      <c r="O2892" s="5"/>
      <c r="P2892" s="5"/>
    </row>
    <row r="2893" spans="12:16" ht="15.75" customHeight="1" x14ac:dyDescent="0.25">
      <c r="L2893" s="5"/>
      <c r="M2893" s="5"/>
      <c r="N2893" s="5"/>
      <c r="O2893" s="5"/>
      <c r="P2893" s="5"/>
    </row>
    <row r="2894" spans="12:16" ht="15.75" customHeight="1" x14ac:dyDescent="0.25">
      <c r="L2894" s="5"/>
      <c r="M2894" s="5"/>
      <c r="N2894" s="5"/>
      <c r="O2894" s="5"/>
      <c r="P2894" s="5"/>
    </row>
    <row r="2895" spans="12:16" ht="15.75" customHeight="1" x14ac:dyDescent="0.25">
      <c r="L2895" s="5"/>
      <c r="M2895" s="5"/>
      <c r="N2895" s="5"/>
      <c r="O2895" s="5"/>
      <c r="P2895" s="5"/>
    </row>
    <row r="2896" spans="12:16" ht="15.75" customHeight="1" x14ac:dyDescent="0.25">
      <c r="L2896" s="5"/>
      <c r="M2896" s="5"/>
      <c r="N2896" s="5"/>
      <c r="O2896" s="5"/>
      <c r="P2896" s="5"/>
    </row>
    <row r="2897" spans="12:16" ht="15.75" customHeight="1" x14ac:dyDescent="0.25">
      <c r="L2897" s="5"/>
      <c r="M2897" s="5"/>
      <c r="N2897" s="5"/>
      <c r="O2897" s="5"/>
      <c r="P2897" s="5"/>
    </row>
    <row r="2898" spans="12:16" ht="15.75" customHeight="1" x14ac:dyDescent="0.25">
      <c r="L2898" s="5"/>
      <c r="M2898" s="5"/>
      <c r="N2898" s="5"/>
      <c r="O2898" s="5"/>
      <c r="P2898" s="5"/>
    </row>
    <row r="2899" spans="12:16" ht="15.75" customHeight="1" x14ac:dyDescent="0.25">
      <c r="L2899" s="5"/>
      <c r="M2899" s="5"/>
      <c r="N2899" s="5"/>
      <c r="O2899" s="5"/>
      <c r="P2899" s="5"/>
    </row>
    <row r="2900" spans="12:16" ht="15.75" customHeight="1" x14ac:dyDescent="0.25">
      <c r="L2900" s="5"/>
      <c r="M2900" s="5"/>
      <c r="N2900" s="5"/>
      <c r="O2900" s="5"/>
      <c r="P2900" s="5"/>
    </row>
    <row r="2901" spans="12:16" ht="15.75" customHeight="1" x14ac:dyDescent="0.25">
      <c r="L2901" s="5"/>
      <c r="M2901" s="5"/>
      <c r="N2901" s="5"/>
      <c r="O2901" s="5"/>
      <c r="P2901" s="5"/>
    </row>
    <row r="2902" spans="12:16" ht="15.75" customHeight="1" x14ac:dyDescent="0.25">
      <c r="L2902" s="5"/>
      <c r="M2902" s="5"/>
      <c r="N2902" s="5"/>
      <c r="O2902" s="5"/>
      <c r="P2902" s="5"/>
    </row>
    <row r="2903" spans="12:16" ht="15.75" customHeight="1" x14ac:dyDescent="0.25">
      <c r="L2903" s="5"/>
      <c r="M2903" s="5"/>
      <c r="N2903" s="5"/>
      <c r="O2903" s="5"/>
      <c r="P2903" s="5"/>
    </row>
    <row r="2904" spans="12:16" ht="15.75" customHeight="1" x14ac:dyDescent="0.25">
      <c r="L2904" s="5"/>
      <c r="M2904" s="5"/>
      <c r="N2904" s="5"/>
      <c r="O2904" s="5"/>
      <c r="P2904" s="5"/>
    </row>
    <row r="2905" spans="12:16" ht="15.75" customHeight="1" x14ac:dyDescent="0.25">
      <c r="L2905" s="5"/>
      <c r="M2905" s="5"/>
      <c r="N2905" s="5"/>
      <c r="O2905" s="5"/>
      <c r="P2905" s="5"/>
    </row>
    <row r="2906" spans="12:16" ht="15.75" customHeight="1" x14ac:dyDescent="0.25">
      <c r="L2906" s="5"/>
      <c r="M2906" s="5"/>
      <c r="N2906" s="5"/>
      <c r="O2906" s="5"/>
      <c r="P2906" s="5"/>
    </row>
    <row r="2907" spans="12:16" ht="15.75" customHeight="1" x14ac:dyDescent="0.25">
      <c r="L2907" s="5"/>
      <c r="M2907" s="5"/>
      <c r="N2907" s="5"/>
      <c r="O2907" s="5"/>
      <c r="P2907" s="5"/>
    </row>
    <row r="2908" spans="12:16" ht="15.75" customHeight="1" x14ac:dyDescent="0.25">
      <c r="L2908" s="5"/>
      <c r="M2908" s="5"/>
      <c r="N2908" s="5"/>
      <c r="O2908" s="5"/>
      <c r="P2908" s="5"/>
    </row>
    <row r="2909" spans="12:16" ht="15.75" customHeight="1" x14ac:dyDescent="0.25">
      <c r="L2909" s="5"/>
      <c r="M2909" s="5"/>
      <c r="N2909" s="5"/>
      <c r="O2909" s="5"/>
      <c r="P2909" s="5"/>
    </row>
    <row r="2910" spans="12:16" ht="15.75" customHeight="1" x14ac:dyDescent="0.25">
      <c r="L2910" s="5"/>
      <c r="M2910" s="5"/>
      <c r="N2910" s="5"/>
      <c r="O2910" s="5"/>
      <c r="P2910" s="5"/>
    </row>
    <row r="2911" spans="12:16" ht="15.75" customHeight="1" x14ac:dyDescent="0.25">
      <c r="L2911" s="5"/>
      <c r="M2911" s="5"/>
      <c r="N2911" s="5"/>
      <c r="O2911" s="5"/>
      <c r="P2911" s="5"/>
    </row>
    <row r="2912" spans="12:16" ht="15.75" customHeight="1" x14ac:dyDescent="0.25">
      <c r="L2912" s="5"/>
      <c r="M2912" s="5"/>
      <c r="N2912" s="5"/>
      <c r="O2912" s="5"/>
      <c r="P2912" s="5"/>
    </row>
    <row r="2913" spans="12:16" ht="15.75" customHeight="1" x14ac:dyDescent="0.25">
      <c r="L2913" s="5"/>
      <c r="M2913" s="5"/>
      <c r="N2913" s="5"/>
      <c r="O2913" s="5"/>
      <c r="P2913" s="5"/>
    </row>
    <row r="2914" spans="12:16" ht="15.75" customHeight="1" x14ac:dyDescent="0.25">
      <c r="L2914" s="5"/>
      <c r="M2914" s="5"/>
      <c r="N2914" s="5"/>
      <c r="O2914" s="5"/>
      <c r="P2914" s="5"/>
    </row>
    <row r="2915" spans="12:16" ht="15.75" customHeight="1" x14ac:dyDescent="0.25">
      <c r="L2915" s="5"/>
      <c r="M2915" s="5"/>
      <c r="N2915" s="5"/>
      <c r="O2915" s="5"/>
      <c r="P2915" s="5"/>
    </row>
    <row r="2916" spans="12:16" ht="15.75" customHeight="1" x14ac:dyDescent="0.25">
      <c r="L2916" s="5"/>
      <c r="M2916" s="5"/>
      <c r="N2916" s="5"/>
      <c r="O2916" s="5"/>
      <c r="P2916" s="5"/>
    </row>
    <row r="2917" spans="12:16" ht="15.75" customHeight="1" x14ac:dyDescent="0.25">
      <c r="L2917" s="5"/>
      <c r="M2917" s="5"/>
      <c r="N2917" s="5"/>
      <c r="O2917" s="5"/>
      <c r="P2917" s="5"/>
    </row>
    <row r="2918" spans="12:16" ht="15.75" customHeight="1" x14ac:dyDescent="0.25">
      <c r="L2918" s="5"/>
      <c r="M2918" s="5"/>
      <c r="N2918" s="5"/>
      <c r="O2918" s="5"/>
      <c r="P2918" s="5"/>
    </row>
    <row r="2919" spans="12:16" ht="15.75" customHeight="1" x14ac:dyDescent="0.25">
      <c r="L2919" s="5"/>
      <c r="M2919" s="5"/>
      <c r="N2919" s="5"/>
      <c r="O2919" s="5"/>
      <c r="P2919" s="5"/>
    </row>
    <row r="2920" spans="12:16" ht="15.75" customHeight="1" x14ac:dyDescent="0.25">
      <c r="L2920" s="5"/>
      <c r="M2920" s="5"/>
      <c r="N2920" s="5"/>
      <c r="O2920" s="5"/>
      <c r="P2920" s="5"/>
    </row>
    <row r="2921" spans="12:16" ht="15.75" customHeight="1" x14ac:dyDescent="0.25">
      <c r="L2921" s="5"/>
      <c r="M2921" s="5"/>
      <c r="N2921" s="5"/>
      <c r="O2921" s="5"/>
      <c r="P2921" s="5"/>
    </row>
    <row r="2922" spans="12:16" ht="15.75" customHeight="1" x14ac:dyDescent="0.25">
      <c r="L2922" s="5"/>
      <c r="M2922" s="5"/>
      <c r="N2922" s="5"/>
      <c r="O2922" s="5"/>
      <c r="P2922" s="5"/>
    </row>
    <row r="2923" spans="12:16" ht="15.75" customHeight="1" x14ac:dyDescent="0.25">
      <c r="L2923" s="5"/>
      <c r="M2923" s="5"/>
      <c r="N2923" s="5"/>
      <c r="O2923" s="5"/>
      <c r="P2923" s="5"/>
    </row>
    <row r="2924" spans="12:16" ht="15.75" customHeight="1" x14ac:dyDescent="0.25">
      <c r="L2924" s="5"/>
      <c r="M2924" s="5"/>
      <c r="N2924" s="5"/>
      <c r="O2924" s="5"/>
      <c r="P2924" s="5"/>
    </row>
    <row r="2925" spans="12:16" ht="15.75" customHeight="1" x14ac:dyDescent="0.25">
      <c r="L2925" s="5"/>
      <c r="M2925" s="5"/>
      <c r="N2925" s="5"/>
      <c r="O2925" s="5"/>
      <c r="P2925" s="5"/>
    </row>
    <row r="2926" spans="12:16" ht="15.75" customHeight="1" x14ac:dyDescent="0.25">
      <c r="L2926" s="5"/>
      <c r="M2926" s="5"/>
      <c r="N2926" s="5"/>
      <c r="O2926" s="5"/>
      <c r="P2926" s="5"/>
    </row>
    <row r="2927" spans="12:16" ht="15.75" customHeight="1" x14ac:dyDescent="0.25">
      <c r="L2927" s="5"/>
      <c r="M2927" s="5"/>
      <c r="N2927" s="5"/>
      <c r="O2927" s="5"/>
      <c r="P2927" s="5"/>
    </row>
    <row r="2928" spans="12:16" ht="15.75" customHeight="1" x14ac:dyDescent="0.25">
      <c r="L2928" s="5"/>
      <c r="M2928" s="5"/>
      <c r="N2928" s="5"/>
      <c r="O2928" s="5"/>
      <c r="P2928" s="5"/>
    </row>
    <row r="2929" spans="12:16" ht="15.75" customHeight="1" x14ac:dyDescent="0.25">
      <c r="L2929" s="5"/>
      <c r="M2929" s="5"/>
      <c r="N2929" s="5"/>
      <c r="O2929" s="5"/>
      <c r="P2929" s="5"/>
    </row>
    <row r="2930" spans="12:16" ht="15.75" customHeight="1" x14ac:dyDescent="0.25">
      <c r="L2930" s="5"/>
      <c r="M2930" s="5"/>
      <c r="N2930" s="5"/>
      <c r="O2930" s="5"/>
      <c r="P2930" s="5"/>
    </row>
    <row r="2931" spans="12:16" ht="15.75" customHeight="1" x14ac:dyDescent="0.25">
      <c r="L2931" s="5"/>
      <c r="M2931" s="5"/>
      <c r="N2931" s="5"/>
      <c r="O2931" s="5"/>
      <c r="P2931" s="5"/>
    </row>
    <row r="2932" spans="12:16" ht="15.75" customHeight="1" x14ac:dyDescent="0.25">
      <c r="L2932" s="5"/>
      <c r="M2932" s="5"/>
      <c r="N2932" s="5"/>
      <c r="O2932" s="5"/>
      <c r="P2932" s="5"/>
    </row>
    <row r="2933" spans="12:16" ht="15.75" customHeight="1" x14ac:dyDescent="0.25">
      <c r="L2933" s="5"/>
      <c r="M2933" s="5"/>
      <c r="N2933" s="5"/>
      <c r="O2933" s="5"/>
      <c r="P2933" s="5"/>
    </row>
    <row r="2934" spans="12:16" ht="15.75" customHeight="1" x14ac:dyDescent="0.25">
      <c r="L2934" s="5"/>
      <c r="M2934" s="5"/>
      <c r="N2934" s="5"/>
      <c r="O2934" s="5"/>
      <c r="P2934" s="5"/>
    </row>
    <row r="2935" spans="12:16" ht="15.75" customHeight="1" x14ac:dyDescent="0.25">
      <c r="L2935" s="5"/>
      <c r="M2935" s="5"/>
      <c r="N2935" s="5"/>
      <c r="O2935" s="5"/>
      <c r="P2935" s="5"/>
    </row>
    <row r="2936" spans="12:16" ht="15.75" customHeight="1" x14ac:dyDescent="0.25">
      <c r="L2936" s="5"/>
      <c r="M2936" s="5"/>
      <c r="N2936" s="5"/>
      <c r="O2936" s="5"/>
      <c r="P2936" s="5"/>
    </row>
    <row r="2937" spans="12:16" ht="15.75" customHeight="1" x14ac:dyDescent="0.25">
      <c r="L2937" s="5"/>
      <c r="M2937" s="5"/>
      <c r="N2937" s="5"/>
      <c r="O2937" s="5"/>
      <c r="P2937" s="5"/>
    </row>
    <row r="2938" spans="12:16" ht="15.75" customHeight="1" x14ac:dyDescent="0.25">
      <c r="L2938" s="5"/>
      <c r="M2938" s="5"/>
      <c r="N2938" s="5"/>
      <c r="O2938" s="5"/>
      <c r="P2938" s="5"/>
    </row>
    <row r="2939" spans="12:16" ht="15.75" customHeight="1" x14ac:dyDescent="0.25">
      <c r="L2939" s="5"/>
      <c r="M2939" s="5"/>
      <c r="N2939" s="5"/>
      <c r="O2939" s="5"/>
      <c r="P2939" s="5"/>
    </row>
    <row r="2940" spans="12:16" ht="15.75" customHeight="1" x14ac:dyDescent="0.25">
      <c r="L2940" s="5"/>
      <c r="M2940" s="5"/>
      <c r="N2940" s="5"/>
      <c r="O2940" s="5"/>
      <c r="P2940" s="5"/>
    </row>
    <row r="2941" spans="12:16" ht="15.75" customHeight="1" x14ac:dyDescent="0.25">
      <c r="L2941" s="5"/>
      <c r="M2941" s="5"/>
      <c r="N2941" s="5"/>
      <c r="O2941" s="5"/>
      <c r="P2941" s="5"/>
    </row>
    <row r="2942" spans="12:16" ht="15.75" customHeight="1" x14ac:dyDescent="0.25">
      <c r="L2942" s="5"/>
      <c r="M2942" s="5"/>
      <c r="N2942" s="5"/>
      <c r="O2942" s="5"/>
      <c r="P2942" s="5"/>
    </row>
    <row r="2943" spans="12:16" ht="15.75" customHeight="1" x14ac:dyDescent="0.25">
      <c r="L2943" s="5"/>
      <c r="M2943" s="5"/>
      <c r="N2943" s="5"/>
      <c r="O2943" s="5"/>
      <c r="P2943" s="5"/>
    </row>
    <row r="2944" spans="12:16" ht="15.75" customHeight="1" x14ac:dyDescent="0.25">
      <c r="L2944" s="5"/>
      <c r="M2944" s="5"/>
      <c r="N2944" s="5"/>
      <c r="O2944" s="5"/>
      <c r="P2944" s="5"/>
    </row>
    <row r="2945" spans="12:16" ht="15.75" customHeight="1" x14ac:dyDescent="0.25">
      <c r="L2945" s="5"/>
      <c r="M2945" s="5"/>
      <c r="N2945" s="5"/>
      <c r="O2945" s="5"/>
      <c r="P2945" s="5"/>
    </row>
    <row r="2946" spans="12:16" ht="15.75" customHeight="1" x14ac:dyDescent="0.25">
      <c r="L2946" s="5"/>
      <c r="M2946" s="5"/>
      <c r="N2946" s="5"/>
      <c r="O2946" s="5"/>
      <c r="P2946" s="5"/>
    </row>
    <row r="2947" spans="12:16" ht="15.75" customHeight="1" x14ac:dyDescent="0.25">
      <c r="L2947" s="5"/>
      <c r="M2947" s="5"/>
      <c r="N2947" s="5"/>
      <c r="O2947" s="5"/>
      <c r="P2947" s="5"/>
    </row>
    <row r="2948" spans="12:16" ht="15.75" customHeight="1" x14ac:dyDescent="0.25">
      <c r="L2948" s="5"/>
      <c r="M2948" s="5"/>
      <c r="N2948" s="5"/>
      <c r="O2948" s="5"/>
      <c r="P2948" s="5"/>
    </row>
    <row r="2949" spans="12:16" ht="15.75" customHeight="1" x14ac:dyDescent="0.25">
      <c r="L2949" s="5"/>
      <c r="M2949" s="5"/>
      <c r="N2949" s="5"/>
      <c r="O2949" s="5"/>
      <c r="P2949" s="5"/>
    </row>
    <row r="2950" spans="12:16" ht="15.75" customHeight="1" x14ac:dyDescent="0.25">
      <c r="L2950" s="5"/>
      <c r="M2950" s="5"/>
      <c r="N2950" s="5"/>
      <c r="O2950" s="5"/>
      <c r="P2950" s="5"/>
    </row>
    <row r="2951" spans="12:16" ht="15.75" customHeight="1" x14ac:dyDescent="0.25">
      <c r="L2951" s="5"/>
      <c r="M2951" s="5"/>
      <c r="N2951" s="5"/>
      <c r="O2951" s="5"/>
      <c r="P2951" s="5"/>
    </row>
    <row r="2952" spans="12:16" ht="15.75" customHeight="1" x14ac:dyDescent="0.25">
      <c r="L2952" s="5"/>
      <c r="M2952" s="5"/>
      <c r="N2952" s="5"/>
      <c r="O2952" s="5"/>
      <c r="P2952" s="5"/>
    </row>
    <row r="2953" spans="12:16" ht="15.75" customHeight="1" x14ac:dyDescent="0.25">
      <c r="L2953" s="5"/>
      <c r="M2953" s="5"/>
      <c r="N2953" s="5"/>
      <c r="O2953" s="5"/>
      <c r="P2953" s="5"/>
    </row>
    <row r="2954" spans="12:16" ht="15.75" customHeight="1" x14ac:dyDescent="0.25">
      <c r="L2954" s="5"/>
      <c r="M2954" s="5"/>
      <c r="N2954" s="5"/>
      <c r="O2954" s="5"/>
      <c r="P2954" s="5"/>
    </row>
    <row r="2955" spans="12:16" ht="15.75" customHeight="1" x14ac:dyDescent="0.25">
      <c r="L2955" s="5"/>
      <c r="M2955" s="5"/>
      <c r="N2955" s="5"/>
      <c r="O2955" s="5"/>
      <c r="P2955" s="5"/>
    </row>
    <row r="2956" spans="12:16" ht="15.75" customHeight="1" x14ac:dyDescent="0.25">
      <c r="L2956" s="5"/>
      <c r="M2956" s="5"/>
      <c r="N2956" s="5"/>
      <c r="O2956" s="5"/>
      <c r="P2956" s="5"/>
    </row>
    <row r="2957" spans="12:16" ht="15.75" customHeight="1" x14ac:dyDescent="0.25">
      <c r="L2957" s="5"/>
      <c r="M2957" s="5"/>
      <c r="N2957" s="5"/>
      <c r="O2957" s="5"/>
      <c r="P2957" s="5"/>
    </row>
    <row r="2958" spans="12:16" ht="15.75" customHeight="1" x14ac:dyDescent="0.25">
      <c r="L2958" s="5"/>
      <c r="M2958" s="5"/>
      <c r="N2958" s="5"/>
      <c r="O2958" s="5"/>
      <c r="P2958" s="5"/>
    </row>
    <row r="2959" spans="12:16" ht="15.75" customHeight="1" x14ac:dyDescent="0.25">
      <c r="L2959" s="5"/>
      <c r="M2959" s="5"/>
      <c r="N2959" s="5"/>
      <c r="O2959" s="5"/>
      <c r="P2959" s="5"/>
    </row>
    <row r="2960" spans="12:16" ht="15.75" customHeight="1" x14ac:dyDescent="0.25">
      <c r="L2960" s="5"/>
      <c r="M2960" s="5"/>
      <c r="N2960" s="5"/>
      <c r="O2960" s="5"/>
      <c r="P2960" s="5"/>
    </row>
    <row r="2961" spans="12:16" ht="15.75" customHeight="1" x14ac:dyDescent="0.25">
      <c r="L2961" s="5"/>
      <c r="M2961" s="5"/>
      <c r="N2961" s="5"/>
      <c r="O2961" s="5"/>
      <c r="P2961" s="5"/>
    </row>
    <row r="2962" spans="12:16" ht="15.75" customHeight="1" x14ac:dyDescent="0.25">
      <c r="L2962" s="5"/>
      <c r="M2962" s="5"/>
      <c r="N2962" s="5"/>
      <c r="O2962" s="5"/>
      <c r="P2962" s="5"/>
    </row>
    <row r="2963" spans="12:16" ht="15.75" customHeight="1" x14ac:dyDescent="0.25">
      <c r="L2963" s="5"/>
      <c r="M2963" s="5"/>
      <c r="N2963" s="5"/>
      <c r="O2963" s="5"/>
      <c r="P2963" s="5"/>
    </row>
    <row r="2964" spans="12:16" ht="15.75" customHeight="1" x14ac:dyDescent="0.25">
      <c r="L2964" s="5"/>
      <c r="M2964" s="5"/>
      <c r="N2964" s="5"/>
      <c r="O2964" s="5"/>
      <c r="P2964" s="5"/>
    </row>
    <row r="2965" spans="12:16" ht="15.75" customHeight="1" x14ac:dyDescent="0.25">
      <c r="L2965" s="5"/>
      <c r="M2965" s="5"/>
      <c r="N2965" s="5"/>
      <c r="O2965" s="5"/>
      <c r="P2965" s="5"/>
    </row>
    <row r="2966" spans="12:16" ht="15.75" customHeight="1" x14ac:dyDescent="0.25">
      <c r="L2966" s="5"/>
      <c r="M2966" s="5"/>
      <c r="N2966" s="5"/>
      <c r="O2966" s="5"/>
      <c r="P2966" s="5"/>
    </row>
    <row r="2967" spans="12:16" ht="15.75" customHeight="1" x14ac:dyDescent="0.25">
      <c r="L2967" s="5"/>
      <c r="M2967" s="5"/>
      <c r="N2967" s="5"/>
      <c r="O2967" s="5"/>
      <c r="P2967" s="5"/>
    </row>
    <row r="2968" spans="12:16" ht="15.75" customHeight="1" x14ac:dyDescent="0.25">
      <c r="L2968" s="5"/>
      <c r="M2968" s="5"/>
      <c r="N2968" s="5"/>
      <c r="O2968" s="5"/>
      <c r="P2968" s="5"/>
    </row>
    <row r="2969" spans="12:16" ht="15.75" customHeight="1" x14ac:dyDescent="0.25">
      <c r="L2969" s="5"/>
      <c r="M2969" s="5"/>
      <c r="N2969" s="5"/>
      <c r="O2969" s="5"/>
      <c r="P2969" s="5"/>
    </row>
    <row r="2970" spans="12:16" ht="15.75" customHeight="1" x14ac:dyDescent="0.25">
      <c r="L2970" s="5"/>
      <c r="M2970" s="5"/>
      <c r="N2970" s="5"/>
      <c r="O2970" s="5"/>
      <c r="P2970" s="5"/>
    </row>
    <row r="2971" spans="12:16" ht="15.75" customHeight="1" x14ac:dyDescent="0.25">
      <c r="L2971" s="5"/>
      <c r="M2971" s="5"/>
      <c r="N2971" s="5"/>
      <c r="O2971" s="5"/>
      <c r="P2971" s="5"/>
    </row>
    <row r="2972" spans="12:16" ht="15.75" customHeight="1" x14ac:dyDescent="0.25">
      <c r="L2972" s="5"/>
      <c r="M2972" s="5"/>
      <c r="N2972" s="5"/>
      <c r="O2972" s="5"/>
      <c r="P2972" s="5"/>
    </row>
    <row r="2973" spans="12:16" ht="15.75" customHeight="1" x14ac:dyDescent="0.25">
      <c r="L2973" s="5"/>
      <c r="M2973" s="5"/>
      <c r="N2973" s="5"/>
      <c r="O2973" s="5"/>
      <c r="P2973" s="5"/>
    </row>
    <row r="2974" spans="12:16" ht="15.75" customHeight="1" x14ac:dyDescent="0.25">
      <c r="L2974" s="5"/>
      <c r="M2974" s="5"/>
      <c r="N2974" s="5"/>
      <c r="O2974" s="5"/>
      <c r="P2974" s="5"/>
    </row>
    <row r="2975" spans="12:16" ht="15.75" customHeight="1" x14ac:dyDescent="0.25">
      <c r="L2975" s="5"/>
      <c r="M2975" s="5"/>
      <c r="N2975" s="5"/>
      <c r="O2975" s="5"/>
      <c r="P2975" s="5"/>
    </row>
    <row r="2976" spans="12:16" ht="15.75" customHeight="1" x14ac:dyDescent="0.25">
      <c r="L2976" s="5"/>
      <c r="M2976" s="5"/>
      <c r="N2976" s="5"/>
      <c r="O2976" s="5"/>
      <c r="P2976" s="5"/>
    </row>
    <row r="2977" spans="12:16" ht="15.75" customHeight="1" x14ac:dyDescent="0.25">
      <c r="L2977" s="5"/>
      <c r="M2977" s="5"/>
      <c r="N2977" s="5"/>
      <c r="O2977" s="5"/>
      <c r="P2977" s="5"/>
    </row>
    <row r="2978" spans="12:16" ht="15.75" customHeight="1" x14ac:dyDescent="0.25">
      <c r="L2978" s="5"/>
      <c r="M2978" s="5"/>
      <c r="N2978" s="5"/>
      <c r="O2978" s="5"/>
      <c r="P2978" s="5"/>
    </row>
    <row r="2979" spans="12:16" ht="15.75" customHeight="1" x14ac:dyDescent="0.25">
      <c r="L2979" s="5"/>
      <c r="M2979" s="5"/>
      <c r="N2979" s="5"/>
      <c r="O2979" s="5"/>
      <c r="P2979" s="5"/>
    </row>
    <row r="2980" spans="12:16" ht="15.75" customHeight="1" x14ac:dyDescent="0.25">
      <c r="L2980" s="5"/>
      <c r="M2980" s="5"/>
      <c r="N2980" s="5"/>
      <c r="O2980" s="5"/>
      <c r="P2980" s="5"/>
    </row>
    <row r="2981" spans="12:16" ht="15.75" customHeight="1" x14ac:dyDescent="0.25">
      <c r="L2981" s="5"/>
      <c r="M2981" s="5"/>
      <c r="N2981" s="5"/>
      <c r="O2981" s="5"/>
      <c r="P2981" s="5"/>
    </row>
    <row r="2982" spans="12:16" ht="15.75" customHeight="1" x14ac:dyDescent="0.25">
      <c r="L2982" s="5"/>
      <c r="M2982" s="5"/>
      <c r="N2982" s="5"/>
      <c r="O2982" s="5"/>
      <c r="P2982" s="5"/>
    </row>
    <row r="2983" spans="12:16" ht="15.75" customHeight="1" x14ac:dyDescent="0.25">
      <c r="L2983" s="5"/>
      <c r="M2983" s="5"/>
      <c r="N2983" s="5"/>
      <c r="O2983" s="5"/>
      <c r="P2983" s="5"/>
    </row>
    <row r="2984" spans="12:16" ht="15.75" customHeight="1" x14ac:dyDescent="0.25">
      <c r="L2984" s="5"/>
      <c r="M2984" s="5"/>
      <c r="N2984" s="5"/>
      <c r="O2984" s="5"/>
      <c r="P2984" s="5"/>
    </row>
    <row r="2985" spans="12:16" ht="15.75" customHeight="1" x14ac:dyDescent="0.25">
      <c r="L2985" s="5"/>
      <c r="M2985" s="5"/>
      <c r="N2985" s="5"/>
      <c r="O2985" s="5"/>
      <c r="P2985" s="5"/>
    </row>
    <row r="2986" spans="12:16" ht="15.75" customHeight="1" x14ac:dyDescent="0.25">
      <c r="L2986" s="5"/>
      <c r="M2986" s="5"/>
      <c r="N2986" s="5"/>
      <c r="O2986" s="5"/>
      <c r="P2986" s="5"/>
    </row>
    <row r="2987" spans="12:16" ht="15.75" customHeight="1" x14ac:dyDescent="0.25">
      <c r="L2987" s="5"/>
      <c r="M2987" s="5"/>
      <c r="N2987" s="5"/>
      <c r="O2987" s="5"/>
      <c r="P2987" s="5"/>
    </row>
    <row r="2988" spans="12:16" ht="15.75" customHeight="1" x14ac:dyDescent="0.25">
      <c r="L2988" s="5"/>
      <c r="M2988" s="5"/>
      <c r="N2988" s="5"/>
      <c r="O2988" s="5"/>
      <c r="P2988" s="5"/>
    </row>
    <row r="2989" spans="12:16" ht="15.75" customHeight="1" x14ac:dyDescent="0.25">
      <c r="L2989" s="5"/>
      <c r="M2989" s="5"/>
      <c r="N2989" s="5"/>
      <c r="O2989" s="5"/>
      <c r="P2989" s="5"/>
    </row>
    <row r="2990" spans="12:16" ht="15.75" customHeight="1" x14ac:dyDescent="0.25">
      <c r="L2990" s="5"/>
      <c r="M2990" s="5"/>
      <c r="N2990" s="5"/>
      <c r="O2990" s="5"/>
      <c r="P2990" s="5"/>
    </row>
    <row r="2991" spans="12:16" ht="15.75" customHeight="1" x14ac:dyDescent="0.25">
      <c r="L2991" s="5"/>
      <c r="M2991" s="5"/>
      <c r="N2991" s="5"/>
      <c r="O2991" s="5"/>
      <c r="P2991" s="5"/>
    </row>
    <row r="2992" spans="12:16" ht="15.75" customHeight="1" x14ac:dyDescent="0.25">
      <c r="L2992" s="5"/>
      <c r="M2992" s="5"/>
      <c r="N2992" s="5"/>
      <c r="O2992" s="5"/>
      <c r="P2992" s="5"/>
    </row>
    <row r="2993" spans="12:16" ht="15.75" customHeight="1" x14ac:dyDescent="0.25">
      <c r="L2993" s="5"/>
      <c r="M2993" s="5"/>
      <c r="N2993" s="5"/>
      <c r="O2993" s="5"/>
      <c r="P2993" s="5"/>
    </row>
    <row r="2994" spans="12:16" ht="15.75" customHeight="1" x14ac:dyDescent="0.25">
      <c r="L2994" s="5"/>
      <c r="M2994" s="5"/>
      <c r="N2994" s="5"/>
      <c r="O2994" s="5"/>
      <c r="P2994" s="5"/>
    </row>
    <row r="2995" spans="12:16" ht="15.75" customHeight="1" x14ac:dyDescent="0.25">
      <c r="L2995" s="5"/>
      <c r="M2995" s="5"/>
      <c r="N2995" s="5"/>
      <c r="O2995" s="5"/>
      <c r="P2995" s="5"/>
    </row>
    <row r="2996" spans="12:16" ht="15.75" customHeight="1" x14ac:dyDescent="0.25">
      <c r="L2996" s="5"/>
      <c r="M2996" s="5"/>
      <c r="N2996" s="5"/>
      <c r="O2996" s="5"/>
      <c r="P2996" s="5"/>
    </row>
    <row r="2997" spans="12:16" ht="15.75" customHeight="1" x14ac:dyDescent="0.25">
      <c r="L2997" s="5"/>
      <c r="M2997" s="5"/>
      <c r="N2997" s="5"/>
      <c r="O2997" s="5"/>
      <c r="P2997" s="5"/>
    </row>
    <row r="2998" spans="12:16" ht="15.75" customHeight="1" x14ac:dyDescent="0.25">
      <c r="L2998" s="5"/>
      <c r="M2998" s="5"/>
      <c r="N2998" s="5"/>
      <c r="O2998" s="5"/>
      <c r="P2998" s="5"/>
    </row>
    <row r="2999" spans="12:16" ht="15.75" customHeight="1" x14ac:dyDescent="0.25">
      <c r="L2999" s="5"/>
      <c r="M2999" s="5"/>
      <c r="N2999" s="5"/>
      <c r="O2999" s="5"/>
      <c r="P2999" s="5"/>
    </row>
    <row r="3000" spans="12:16" ht="15.75" customHeight="1" x14ac:dyDescent="0.25">
      <c r="L3000" s="5"/>
      <c r="M3000" s="5"/>
      <c r="N3000" s="5"/>
      <c r="O3000" s="5"/>
      <c r="P3000" s="5"/>
    </row>
    <row r="3001" spans="12:16" ht="15.75" customHeight="1" x14ac:dyDescent="0.25">
      <c r="L3001" s="5"/>
      <c r="M3001" s="5"/>
      <c r="N3001" s="5"/>
      <c r="O3001" s="5"/>
      <c r="P3001" s="5"/>
    </row>
    <row r="3002" spans="12:16" ht="15.75" customHeight="1" x14ac:dyDescent="0.25">
      <c r="L3002" s="5"/>
      <c r="M3002" s="5"/>
      <c r="N3002" s="5"/>
      <c r="O3002" s="5"/>
      <c r="P3002" s="5"/>
    </row>
    <row r="3003" spans="12:16" ht="15.75" customHeight="1" x14ac:dyDescent="0.25">
      <c r="L3003" s="5"/>
      <c r="M3003" s="5"/>
      <c r="N3003" s="5"/>
      <c r="O3003" s="5"/>
      <c r="P3003" s="5"/>
    </row>
    <row r="3004" spans="12:16" ht="15.75" customHeight="1" x14ac:dyDescent="0.25">
      <c r="L3004" s="5"/>
      <c r="M3004" s="5"/>
      <c r="N3004" s="5"/>
      <c r="O3004" s="5"/>
      <c r="P3004" s="5"/>
    </row>
    <row r="3005" spans="12:16" ht="15.75" customHeight="1" x14ac:dyDescent="0.25">
      <c r="L3005" s="5"/>
      <c r="M3005" s="5"/>
      <c r="N3005" s="5"/>
      <c r="O3005" s="5"/>
      <c r="P3005" s="5"/>
    </row>
    <row r="3006" spans="12:16" ht="15.75" customHeight="1" x14ac:dyDescent="0.25">
      <c r="L3006" s="5"/>
      <c r="M3006" s="5"/>
      <c r="N3006" s="5"/>
      <c r="O3006" s="5"/>
      <c r="P3006" s="5"/>
    </row>
    <row r="3007" spans="12:16" ht="15.75" customHeight="1" x14ac:dyDescent="0.25">
      <c r="L3007" s="5"/>
      <c r="M3007" s="5"/>
      <c r="N3007" s="5"/>
      <c r="O3007" s="5"/>
      <c r="P3007" s="5"/>
    </row>
    <row r="3008" spans="12:16" ht="15.75" customHeight="1" x14ac:dyDescent="0.25">
      <c r="L3008" s="5"/>
      <c r="M3008" s="5"/>
      <c r="N3008" s="5"/>
      <c r="O3008" s="5"/>
      <c r="P3008" s="5"/>
    </row>
    <row r="3009" spans="12:16" ht="15.75" customHeight="1" x14ac:dyDescent="0.25">
      <c r="L3009" s="5"/>
      <c r="M3009" s="5"/>
      <c r="N3009" s="5"/>
      <c r="O3009" s="5"/>
      <c r="P3009" s="5"/>
    </row>
    <row r="3010" spans="12:16" ht="15.75" customHeight="1" x14ac:dyDescent="0.25">
      <c r="L3010" s="5"/>
      <c r="M3010" s="5"/>
      <c r="N3010" s="5"/>
      <c r="O3010" s="5"/>
      <c r="P3010" s="5"/>
    </row>
    <row r="3011" spans="12:16" ht="15.75" customHeight="1" x14ac:dyDescent="0.25">
      <c r="L3011" s="5"/>
      <c r="M3011" s="5"/>
      <c r="N3011" s="5"/>
      <c r="O3011" s="5"/>
      <c r="P3011" s="5"/>
    </row>
    <row r="3012" spans="12:16" ht="15.75" customHeight="1" x14ac:dyDescent="0.25">
      <c r="L3012" s="5"/>
      <c r="M3012" s="5"/>
      <c r="N3012" s="5"/>
      <c r="O3012" s="5"/>
      <c r="P3012" s="5"/>
    </row>
    <row r="3013" spans="12:16" ht="15.75" customHeight="1" x14ac:dyDescent="0.25">
      <c r="L3013" s="5"/>
      <c r="M3013" s="5"/>
      <c r="N3013" s="5"/>
      <c r="O3013" s="5"/>
      <c r="P3013" s="5"/>
    </row>
    <row r="3014" spans="12:16" ht="15.75" customHeight="1" x14ac:dyDescent="0.25">
      <c r="L3014" s="5"/>
      <c r="M3014" s="5"/>
      <c r="N3014" s="5"/>
      <c r="O3014" s="5"/>
      <c r="P3014" s="5"/>
    </row>
    <row r="3015" spans="12:16" ht="15.75" customHeight="1" x14ac:dyDescent="0.25">
      <c r="L3015" s="5"/>
      <c r="M3015" s="5"/>
      <c r="N3015" s="5"/>
      <c r="O3015" s="5"/>
      <c r="P3015" s="5"/>
    </row>
    <row r="3016" spans="12:16" ht="15.75" customHeight="1" x14ac:dyDescent="0.25">
      <c r="L3016" s="5"/>
      <c r="M3016" s="5"/>
      <c r="N3016" s="5"/>
      <c r="O3016" s="5"/>
      <c r="P3016" s="5"/>
    </row>
    <row r="3017" spans="12:16" ht="15.75" customHeight="1" x14ac:dyDescent="0.25">
      <c r="L3017" s="5"/>
      <c r="M3017" s="5"/>
      <c r="N3017" s="5"/>
      <c r="O3017" s="5"/>
      <c r="P3017" s="5"/>
    </row>
    <row r="3018" spans="12:16" ht="15.75" customHeight="1" x14ac:dyDescent="0.25">
      <c r="L3018" s="5"/>
      <c r="M3018" s="5"/>
      <c r="N3018" s="5"/>
      <c r="O3018" s="5"/>
      <c r="P3018" s="5"/>
    </row>
    <row r="3019" spans="12:16" ht="15.75" customHeight="1" x14ac:dyDescent="0.25">
      <c r="L3019" s="5"/>
      <c r="M3019" s="5"/>
      <c r="N3019" s="5"/>
      <c r="O3019" s="5"/>
      <c r="P3019" s="5"/>
    </row>
    <row r="3020" spans="12:16" ht="15.75" customHeight="1" x14ac:dyDescent="0.25">
      <c r="L3020" s="5"/>
      <c r="M3020" s="5"/>
      <c r="N3020" s="5"/>
      <c r="O3020" s="5"/>
      <c r="P3020" s="5"/>
    </row>
    <row r="3021" spans="12:16" ht="15.75" customHeight="1" x14ac:dyDescent="0.25">
      <c r="L3021" s="5"/>
      <c r="M3021" s="5"/>
      <c r="N3021" s="5"/>
      <c r="O3021" s="5"/>
      <c r="P3021" s="5"/>
    </row>
    <row r="3022" spans="12:16" ht="15.75" customHeight="1" x14ac:dyDescent="0.25">
      <c r="L3022" s="5"/>
      <c r="M3022" s="5"/>
      <c r="N3022" s="5"/>
      <c r="O3022" s="5"/>
      <c r="P3022" s="5"/>
    </row>
    <row r="3023" spans="12:16" ht="15.75" customHeight="1" x14ac:dyDescent="0.25">
      <c r="L3023" s="5"/>
      <c r="M3023" s="5"/>
      <c r="N3023" s="5"/>
      <c r="O3023" s="5"/>
      <c r="P3023" s="5"/>
    </row>
    <row r="3024" spans="12:16" ht="15.75" customHeight="1" x14ac:dyDescent="0.25">
      <c r="L3024" s="5"/>
      <c r="M3024" s="5"/>
      <c r="N3024" s="5"/>
      <c r="O3024" s="5"/>
      <c r="P3024" s="5"/>
    </row>
    <row r="3025" spans="12:16" ht="15.75" customHeight="1" x14ac:dyDescent="0.25">
      <c r="L3025" s="5"/>
      <c r="M3025" s="5"/>
      <c r="N3025" s="5"/>
      <c r="O3025" s="5"/>
      <c r="P3025" s="5"/>
    </row>
    <row r="3026" spans="12:16" ht="15.75" customHeight="1" x14ac:dyDescent="0.25">
      <c r="L3026" s="5"/>
      <c r="M3026" s="5"/>
      <c r="N3026" s="5"/>
      <c r="O3026" s="5"/>
      <c r="P3026" s="5"/>
    </row>
    <row r="3027" spans="12:16" ht="15.75" customHeight="1" x14ac:dyDescent="0.25">
      <c r="L3027" s="5"/>
      <c r="M3027" s="5"/>
      <c r="N3027" s="5"/>
      <c r="O3027" s="5"/>
      <c r="P3027" s="5"/>
    </row>
    <row r="3028" spans="12:16" ht="15.75" customHeight="1" x14ac:dyDescent="0.25">
      <c r="L3028" s="5"/>
      <c r="M3028" s="5"/>
      <c r="N3028" s="5"/>
      <c r="O3028" s="5"/>
      <c r="P3028" s="5"/>
    </row>
    <row r="3029" spans="12:16" ht="15.75" customHeight="1" x14ac:dyDescent="0.25">
      <c r="L3029" s="5"/>
      <c r="M3029" s="5"/>
      <c r="N3029" s="5"/>
      <c r="O3029" s="5"/>
      <c r="P3029" s="5"/>
    </row>
    <row r="3030" spans="12:16" ht="15.75" customHeight="1" x14ac:dyDescent="0.25">
      <c r="L3030" s="5"/>
      <c r="M3030" s="5"/>
      <c r="N3030" s="5"/>
      <c r="O3030" s="5"/>
      <c r="P3030" s="5"/>
    </row>
    <row r="3031" spans="12:16" ht="15.75" customHeight="1" x14ac:dyDescent="0.25">
      <c r="L3031" s="5"/>
      <c r="M3031" s="5"/>
      <c r="N3031" s="5"/>
      <c r="O3031" s="5"/>
      <c r="P3031" s="5"/>
    </row>
    <row r="3032" spans="12:16" ht="15.75" customHeight="1" x14ac:dyDescent="0.25">
      <c r="L3032" s="5"/>
      <c r="M3032" s="5"/>
      <c r="N3032" s="5"/>
      <c r="O3032" s="5"/>
      <c r="P3032" s="5"/>
    </row>
    <row r="3033" spans="12:16" ht="15.75" customHeight="1" x14ac:dyDescent="0.25">
      <c r="L3033" s="5"/>
      <c r="M3033" s="5"/>
      <c r="N3033" s="5"/>
      <c r="O3033" s="5"/>
      <c r="P3033" s="5"/>
    </row>
    <row r="3034" spans="12:16" ht="15.75" customHeight="1" x14ac:dyDescent="0.25">
      <c r="L3034" s="5"/>
      <c r="M3034" s="5"/>
      <c r="N3034" s="5"/>
      <c r="O3034" s="5"/>
      <c r="P3034" s="5"/>
    </row>
    <row r="3035" spans="12:16" ht="15.75" customHeight="1" x14ac:dyDescent="0.25">
      <c r="L3035" s="5"/>
      <c r="M3035" s="5"/>
      <c r="N3035" s="5"/>
      <c r="O3035" s="5"/>
      <c r="P3035" s="5"/>
    </row>
    <row r="3036" spans="12:16" ht="15.75" customHeight="1" x14ac:dyDescent="0.25">
      <c r="L3036" s="5"/>
      <c r="M3036" s="5"/>
      <c r="N3036" s="5"/>
      <c r="O3036" s="5"/>
      <c r="P3036" s="5"/>
    </row>
    <row r="3037" spans="12:16" ht="15.75" customHeight="1" x14ac:dyDescent="0.25">
      <c r="L3037" s="5"/>
      <c r="M3037" s="5"/>
      <c r="N3037" s="5"/>
      <c r="O3037" s="5"/>
      <c r="P3037" s="5"/>
    </row>
    <row r="3038" spans="12:16" ht="15.75" customHeight="1" x14ac:dyDescent="0.25">
      <c r="L3038" s="5"/>
      <c r="M3038" s="5"/>
      <c r="N3038" s="5"/>
      <c r="O3038" s="5"/>
      <c r="P3038" s="5"/>
    </row>
    <row r="3039" spans="12:16" ht="15.75" customHeight="1" x14ac:dyDescent="0.25">
      <c r="L3039" s="5"/>
      <c r="M3039" s="5"/>
      <c r="N3039" s="5"/>
      <c r="O3039" s="5"/>
      <c r="P3039" s="5"/>
    </row>
    <row r="3040" spans="12:16" ht="15.75" customHeight="1" x14ac:dyDescent="0.25">
      <c r="L3040" s="5"/>
      <c r="M3040" s="5"/>
      <c r="N3040" s="5"/>
      <c r="O3040" s="5"/>
      <c r="P3040" s="5"/>
    </row>
    <row r="3041" spans="12:16" ht="15.75" customHeight="1" x14ac:dyDescent="0.25">
      <c r="L3041" s="5"/>
      <c r="M3041" s="5"/>
      <c r="N3041" s="5"/>
      <c r="O3041" s="5"/>
      <c r="P3041" s="5"/>
    </row>
    <row r="3042" spans="12:16" ht="15.75" customHeight="1" x14ac:dyDescent="0.25">
      <c r="L3042" s="5"/>
      <c r="M3042" s="5"/>
      <c r="N3042" s="5"/>
      <c r="O3042" s="5"/>
      <c r="P3042" s="5"/>
    </row>
    <row r="3043" spans="12:16" ht="15.75" customHeight="1" x14ac:dyDescent="0.25">
      <c r="L3043" s="5"/>
      <c r="M3043" s="5"/>
      <c r="N3043" s="5"/>
      <c r="O3043" s="5"/>
      <c r="P3043" s="5"/>
    </row>
    <row r="3044" spans="12:16" ht="15.75" customHeight="1" x14ac:dyDescent="0.25">
      <c r="L3044" s="5"/>
      <c r="M3044" s="5"/>
      <c r="N3044" s="5"/>
      <c r="O3044" s="5"/>
      <c r="P3044" s="5"/>
    </row>
    <row r="3045" spans="12:16" ht="15.75" customHeight="1" x14ac:dyDescent="0.25">
      <c r="L3045" s="5"/>
      <c r="M3045" s="5"/>
      <c r="N3045" s="5"/>
      <c r="O3045" s="5"/>
      <c r="P3045" s="5"/>
    </row>
    <row r="3046" spans="12:16" ht="15.75" customHeight="1" x14ac:dyDescent="0.25">
      <c r="L3046" s="5"/>
      <c r="M3046" s="5"/>
      <c r="N3046" s="5"/>
      <c r="O3046" s="5"/>
      <c r="P3046" s="5"/>
    </row>
    <row r="3047" spans="12:16" ht="15.75" customHeight="1" x14ac:dyDescent="0.25">
      <c r="L3047" s="5"/>
      <c r="M3047" s="5"/>
      <c r="N3047" s="5"/>
      <c r="O3047" s="5"/>
      <c r="P3047" s="5"/>
    </row>
    <row r="3048" spans="12:16" ht="15.75" customHeight="1" x14ac:dyDescent="0.25">
      <c r="L3048" s="5"/>
      <c r="M3048" s="5"/>
      <c r="N3048" s="5"/>
      <c r="O3048" s="5"/>
      <c r="P3048" s="5"/>
    </row>
    <row r="3049" spans="12:16" ht="15.75" customHeight="1" x14ac:dyDescent="0.25">
      <c r="L3049" s="5"/>
      <c r="M3049" s="5"/>
      <c r="N3049" s="5"/>
      <c r="O3049" s="5"/>
      <c r="P3049" s="5"/>
    </row>
    <row r="3050" spans="12:16" ht="15.75" customHeight="1" x14ac:dyDescent="0.25">
      <c r="L3050" s="5"/>
      <c r="M3050" s="5"/>
      <c r="N3050" s="5"/>
      <c r="O3050" s="5"/>
      <c r="P3050" s="5"/>
    </row>
    <row r="3051" spans="12:16" ht="15.75" customHeight="1" x14ac:dyDescent="0.25">
      <c r="L3051" s="5"/>
      <c r="M3051" s="5"/>
      <c r="N3051" s="5"/>
      <c r="O3051" s="5"/>
      <c r="P3051" s="5"/>
    </row>
    <row r="3052" spans="12:16" ht="15.75" customHeight="1" x14ac:dyDescent="0.25">
      <c r="L3052" s="5"/>
      <c r="M3052" s="5"/>
      <c r="N3052" s="5"/>
      <c r="O3052" s="5"/>
      <c r="P3052" s="5"/>
    </row>
    <row r="3053" spans="12:16" ht="15.75" customHeight="1" x14ac:dyDescent="0.25">
      <c r="L3053" s="5"/>
      <c r="M3053" s="5"/>
      <c r="N3053" s="5"/>
      <c r="O3053" s="5"/>
      <c r="P3053" s="5"/>
    </row>
    <row r="3054" spans="12:16" ht="15.75" customHeight="1" x14ac:dyDescent="0.25">
      <c r="L3054" s="5"/>
      <c r="M3054" s="5"/>
      <c r="N3054" s="5"/>
      <c r="O3054" s="5"/>
      <c r="P3054" s="5"/>
    </row>
    <row r="3055" spans="12:16" ht="15.75" customHeight="1" x14ac:dyDescent="0.25">
      <c r="L3055" s="5"/>
      <c r="M3055" s="5"/>
      <c r="N3055" s="5"/>
      <c r="O3055" s="5"/>
      <c r="P3055" s="5"/>
    </row>
    <row r="3056" spans="12:16" ht="15.75" customHeight="1" x14ac:dyDescent="0.25">
      <c r="L3056" s="5"/>
      <c r="M3056" s="5"/>
      <c r="N3056" s="5"/>
      <c r="O3056" s="5"/>
      <c r="P3056" s="5"/>
    </row>
    <row r="3057" spans="12:16" ht="15.75" customHeight="1" x14ac:dyDescent="0.25">
      <c r="L3057" s="5"/>
      <c r="M3057" s="5"/>
      <c r="N3057" s="5"/>
      <c r="O3057" s="5"/>
      <c r="P3057" s="5"/>
    </row>
    <row r="3058" spans="12:16" ht="15.75" customHeight="1" x14ac:dyDescent="0.25">
      <c r="L3058" s="5"/>
      <c r="M3058" s="5"/>
      <c r="N3058" s="5"/>
      <c r="O3058" s="5"/>
      <c r="P3058" s="5"/>
    </row>
    <row r="3059" spans="12:16" ht="15.75" customHeight="1" x14ac:dyDescent="0.25">
      <c r="L3059" s="5"/>
      <c r="M3059" s="5"/>
      <c r="N3059" s="5"/>
      <c r="O3059" s="5"/>
      <c r="P3059" s="5"/>
    </row>
    <row r="3060" spans="12:16" ht="15.75" customHeight="1" x14ac:dyDescent="0.25">
      <c r="L3060" s="5"/>
      <c r="M3060" s="5"/>
      <c r="N3060" s="5"/>
      <c r="O3060" s="5"/>
      <c r="P3060" s="5"/>
    </row>
    <row r="3061" spans="12:16" ht="15.75" customHeight="1" x14ac:dyDescent="0.25">
      <c r="L3061" s="5"/>
      <c r="M3061" s="5"/>
      <c r="N3061" s="5"/>
      <c r="O3061" s="5"/>
      <c r="P3061" s="5"/>
    </row>
    <row r="3062" spans="12:16" ht="15.75" customHeight="1" x14ac:dyDescent="0.25">
      <c r="L3062" s="5"/>
      <c r="M3062" s="5"/>
      <c r="N3062" s="5"/>
      <c r="O3062" s="5"/>
      <c r="P3062" s="5"/>
    </row>
    <row r="3063" spans="12:16" ht="15.75" customHeight="1" x14ac:dyDescent="0.25">
      <c r="L3063" s="5"/>
      <c r="M3063" s="5"/>
      <c r="N3063" s="5"/>
      <c r="O3063" s="5"/>
      <c r="P3063" s="5"/>
    </row>
    <row r="3064" spans="12:16" ht="15.75" customHeight="1" x14ac:dyDescent="0.25">
      <c r="L3064" s="5"/>
      <c r="M3064" s="5"/>
      <c r="N3064" s="5"/>
      <c r="O3064" s="5"/>
      <c r="P3064" s="5"/>
    </row>
    <row r="3065" spans="12:16" ht="15.75" customHeight="1" x14ac:dyDescent="0.25">
      <c r="L3065" s="5"/>
      <c r="M3065" s="5"/>
      <c r="N3065" s="5"/>
      <c r="O3065" s="5"/>
      <c r="P3065" s="5"/>
    </row>
    <row r="3066" spans="12:16" ht="15.75" customHeight="1" x14ac:dyDescent="0.25">
      <c r="L3066" s="5"/>
      <c r="M3066" s="5"/>
      <c r="N3066" s="5"/>
      <c r="O3066" s="5"/>
      <c r="P3066" s="5"/>
    </row>
    <row r="3067" spans="12:16" ht="15.75" customHeight="1" x14ac:dyDescent="0.25">
      <c r="L3067" s="5"/>
      <c r="M3067" s="5"/>
      <c r="N3067" s="5"/>
      <c r="O3067" s="5"/>
      <c r="P3067" s="5"/>
    </row>
    <row r="3068" spans="12:16" ht="15.75" customHeight="1" x14ac:dyDescent="0.25">
      <c r="L3068" s="5"/>
      <c r="M3068" s="5"/>
      <c r="N3068" s="5"/>
      <c r="O3068" s="5"/>
      <c r="P3068" s="5"/>
    </row>
    <row r="3069" spans="12:16" ht="15.75" customHeight="1" x14ac:dyDescent="0.25">
      <c r="L3069" s="5"/>
      <c r="M3069" s="5"/>
      <c r="N3069" s="5"/>
      <c r="O3069" s="5"/>
      <c r="P3069" s="5"/>
    </row>
    <row r="3070" spans="12:16" ht="15.75" customHeight="1" x14ac:dyDescent="0.25">
      <c r="L3070" s="5"/>
      <c r="M3070" s="5"/>
      <c r="N3070" s="5"/>
      <c r="O3070" s="5"/>
      <c r="P3070" s="5"/>
    </row>
    <row r="3071" spans="12:16" ht="15.75" customHeight="1" x14ac:dyDescent="0.25">
      <c r="L3071" s="5"/>
      <c r="M3071" s="5"/>
      <c r="N3071" s="5"/>
      <c r="O3071" s="5"/>
      <c r="P3071" s="5"/>
    </row>
    <row r="3072" spans="12:16" ht="15.75" customHeight="1" x14ac:dyDescent="0.25">
      <c r="L3072" s="5"/>
      <c r="M3072" s="5"/>
      <c r="N3072" s="5"/>
      <c r="O3072" s="5"/>
      <c r="P3072" s="5"/>
    </row>
    <row r="3073" spans="12:16" ht="15.75" customHeight="1" x14ac:dyDescent="0.25">
      <c r="L3073" s="5"/>
      <c r="M3073" s="5"/>
      <c r="N3073" s="5"/>
      <c r="O3073" s="5"/>
      <c r="P3073" s="5"/>
    </row>
    <row r="3074" spans="12:16" ht="15.75" customHeight="1" x14ac:dyDescent="0.25">
      <c r="L3074" s="5"/>
      <c r="M3074" s="5"/>
      <c r="N3074" s="5"/>
      <c r="O3074" s="5"/>
      <c r="P3074" s="5"/>
    </row>
    <row r="3075" spans="12:16" ht="15.75" customHeight="1" x14ac:dyDescent="0.25">
      <c r="L3075" s="5"/>
      <c r="M3075" s="5"/>
      <c r="N3075" s="5"/>
      <c r="O3075" s="5"/>
      <c r="P3075" s="5"/>
    </row>
    <row r="3076" spans="12:16" ht="15.75" customHeight="1" x14ac:dyDescent="0.25">
      <c r="L3076" s="5"/>
      <c r="M3076" s="5"/>
      <c r="N3076" s="5"/>
      <c r="O3076" s="5"/>
      <c r="P3076" s="5"/>
    </row>
    <row r="3077" spans="12:16" ht="15.75" customHeight="1" x14ac:dyDescent="0.25">
      <c r="L3077" s="5"/>
      <c r="M3077" s="5"/>
      <c r="N3077" s="5"/>
      <c r="O3077" s="5"/>
      <c r="P3077" s="5"/>
    </row>
    <row r="3078" spans="12:16" ht="15.75" customHeight="1" x14ac:dyDescent="0.25">
      <c r="L3078" s="5"/>
      <c r="M3078" s="5"/>
      <c r="N3078" s="5"/>
      <c r="O3078" s="5"/>
      <c r="P3078" s="5"/>
    </row>
    <row r="3079" spans="12:16" ht="15.75" customHeight="1" x14ac:dyDescent="0.25">
      <c r="L3079" s="5"/>
      <c r="M3079" s="5"/>
      <c r="N3079" s="5"/>
      <c r="O3079" s="5"/>
      <c r="P3079" s="5"/>
    </row>
    <row r="3080" spans="12:16" ht="15.75" customHeight="1" x14ac:dyDescent="0.25">
      <c r="L3080" s="5"/>
      <c r="M3080" s="5"/>
      <c r="N3080" s="5"/>
      <c r="O3080" s="5"/>
      <c r="P3080" s="5"/>
    </row>
    <row r="3081" spans="12:16" ht="15.75" customHeight="1" x14ac:dyDescent="0.25">
      <c r="L3081" s="5"/>
      <c r="M3081" s="5"/>
      <c r="N3081" s="5"/>
      <c r="O3081" s="5"/>
      <c r="P3081" s="5"/>
    </row>
    <row r="3082" spans="12:16" ht="15.75" customHeight="1" x14ac:dyDescent="0.25">
      <c r="L3082" s="5"/>
      <c r="M3082" s="5"/>
      <c r="N3082" s="5"/>
      <c r="O3082" s="5"/>
      <c r="P3082" s="5"/>
    </row>
    <row r="3083" spans="12:16" ht="15.75" customHeight="1" x14ac:dyDescent="0.25">
      <c r="L3083" s="5"/>
      <c r="M3083" s="5"/>
      <c r="N3083" s="5"/>
      <c r="O3083" s="5"/>
      <c r="P3083" s="5"/>
    </row>
    <row r="3084" spans="12:16" ht="15.75" customHeight="1" x14ac:dyDescent="0.25">
      <c r="L3084" s="5"/>
      <c r="M3084" s="5"/>
      <c r="N3084" s="5"/>
      <c r="O3084" s="5"/>
      <c r="P3084" s="5"/>
    </row>
    <row r="3085" spans="12:16" ht="15.75" customHeight="1" x14ac:dyDescent="0.25">
      <c r="L3085" s="5"/>
      <c r="M3085" s="5"/>
      <c r="N3085" s="5"/>
      <c r="O3085" s="5"/>
      <c r="P3085" s="5"/>
    </row>
    <row r="3086" spans="12:16" ht="15.75" customHeight="1" x14ac:dyDescent="0.25">
      <c r="L3086" s="5"/>
      <c r="M3086" s="5"/>
      <c r="N3086" s="5"/>
      <c r="O3086" s="5"/>
      <c r="P3086" s="5"/>
    </row>
    <row r="3087" spans="12:16" ht="15.75" customHeight="1" x14ac:dyDescent="0.25">
      <c r="L3087" s="5"/>
      <c r="M3087" s="5"/>
      <c r="N3087" s="5"/>
      <c r="O3087" s="5"/>
      <c r="P3087" s="5"/>
    </row>
    <row r="3088" spans="12:16" ht="15.75" customHeight="1" x14ac:dyDescent="0.25">
      <c r="L3088" s="5"/>
      <c r="M3088" s="5"/>
      <c r="N3088" s="5"/>
      <c r="O3088" s="5"/>
      <c r="P3088" s="5"/>
    </row>
    <row r="3089" spans="12:16" ht="15.75" customHeight="1" x14ac:dyDescent="0.25">
      <c r="L3089" s="5"/>
      <c r="M3089" s="5"/>
      <c r="N3089" s="5"/>
      <c r="O3089" s="5"/>
      <c r="P3089" s="5"/>
    </row>
    <row r="3090" spans="12:16" ht="15.75" customHeight="1" x14ac:dyDescent="0.25">
      <c r="L3090" s="5"/>
      <c r="M3090" s="5"/>
      <c r="N3090" s="5"/>
      <c r="O3090" s="5"/>
      <c r="P3090" s="5"/>
    </row>
    <row r="3091" spans="12:16" ht="15.75" customHeight="1" x14ac:dyDescent="0.25">
      <c r="L3091" s="5"/>
      <c r="M3091" s="5"/>
      <c r="N3091" s="5"/>
      <c r="O3091" s="5"/>
      <c r="P3091" s="5"/>
    </row>
    <row r="3092" spans="12:16" ht="15.75" customHeight="1" x14ac:dyDescent="0.25">
      <c r="L3092" s="5"/>
      <c r="M3092" s="5"/>
      <c r="N3092" s="5"/>
      <c r="O3092" s="5"/>
      <c r="P3092" s="5"/>
    </row>
    <row r="3093" spans="12:16" ht="15.75" customHeight="1" x14ac:dyDescent="0.25">
      <c r="L3093" s="5"/>
      <c r="M3093" s="5"/>
      <c r="N3093" s="5"/>
      <c r="O3093" s="5"/>
      <c r="P3093" s="5"/>
    </row>
    <row r="3094" spans="12:16" ht="15.75" customHeight="1" x14ac:dyDescent="0.25">
      <c r="L3094" s="5"/>
      <c r="M3094" s="5"/>
      <c r="N3094" s="5"/>
      <c r="O3094" s="5"/>
      <c r="P3094" s="5"/>
    </row>
    <row r="3095" spans="12:16" ht="15.75" customHeight="1" x14ac:dyDescent="0.25">
      <c r="L3095" s="5"/>
      <c r="M3095" s="5"/>
      <c r="N3095" s="5"/>
      <c r="O3095" s="5"/>
      <c r="P3095" s="5"/>
    </row>
    <row r="3096" spans="12:16" ht="15.75" customHeight="1" x14ac:dyDescent="0.25">
      <c r="L3096" s="5"/>
      <c r="M3096" s="5"/>
      <c r="N3096" s="5"/>
      <c r="O3096" s="5"/>
      <c r="P3096" s="5"/>
    </row>
    <row r="3097" spans="12:16" ht="15.75" customHeight="1" x14ac:dyDescent="0.25">
      <c r="L3097" s="5"/>
      <c r="M3097" s="5"/>
      <c r="N3097" s="5"/>
      <c r="O3097" s="5"/>
      <c r="P3097" s="5"/>
    </row>
    <row r="3098" spans="12:16" ht="15.75" customHeight="1" x14ac:dyDescent="0.25">
      <c r="L3098" s="5"/>
      <c r="M3098" s="5"/>
      <c r="N3098" s="5"/>
      <c r="O3098" s="5"/>
      <c r="P3098" s="5"/>
    </row>
    <row r="3099" spans="12:16" ht="15.75" customHeight="1" x14ac:dyDescent="0.25">
      <c r="L3099" s="5"/>
      <c r="M3099" s="5"/>
      <c r="N3099" s="5"/>
      <c r="O3099" s="5"/>
      <c r="P3099" s="5"/>
    </row>
    <row r="3100" spans="12:16" ht="15.75" customHeight="1" x14ac:dyDescent="0.25">
      <c r="L3100" s="5"/>
      <c r="M3100" s="5"/>
      <c r="N3100" s="5"/>
      <c r="O3100" s="5"/>
      <c r="P3100" s="5"/>
    </row>
    <row r="3101" spans="12:16" ht="15.75" customHeight="1" x14ac:dyDescent="0.25">
      <c r="L3101" s="5"/>
      <c r="M3101" s="5"/>
      <c r="N3101" s="5"/>
      <c r="O3101" s="5"/>
      <c r="P3101" s="5"/>
    </row>
    <row r="3102" spans="12:16" ht="15.75" customHeight="1" x14ac:dyDescent="0.25">
      <c r="L3102" s="5"/>
      <c r="M3102" s="5"/>
      <c r="N3102" s="5"/>
      <c r="O3102" s="5"/>
      <c r="P3102" s="5"/>
    </row>
    <row r="3103" spans="12:16" ht="15.75" customHeight="1" x14ac:dyDescent="0.25">
      <c r="L3103" s="5"/>
      <c r="M3103" s="5"/>
      <c r="N3103" s="5"/>
      <c r="O3103" s="5"/>
      <c r="P3103" s="5"/>
    </row>
    <row r="3104" spans="12:16" ht="15.75" customHeight="1" x14ac:dyDescent="0.25">
      <c r="L3104" s="5"/>
      <c r="M3104" s="5"/>
      <c r="N3104" s="5"/>
      <c r="O3104" s="5"/>
      <c r="P3104" s="5"/>
    </row>
    <row r="3105" spans="12:16" ht="15.75" customHeight="1" x14ac:dyDescent="0.25">
      <c r="L3105" s="5"/>
      <c r="M3105" s="5"/>
      <c r="N3105" s="5"/>
      <c r="O3105" s="5"/>
      <c r="P3105" s="5"/>
    </row>
    <row r="3106" spans="12:16" ht="15.75" customHeight="1" x14ac:dyDescent="0.25">
      <c r="L3106" s="5"/>
      <c r="M3106" s="5"/>
      <c r="N3106" s="5"/>
      <c r="O3106" s="5"/>
      <c r="P3106" s="5"/>
    </row>
    <row r="3107" spans="12:16" ht="15.75" customHeight="1" x14ac:dyDescent="0.25">
      <c r="L3107" s="5"/>
      <c r="M3107" s="5"/>
      <c r="N3107" s="5"/>
      <c r="O3107" s="5"/>
      <c r="P3107" s="5"/>
    </row>
    <row r="3108" spans="12:16" ht="15.75" customHeight="1" x14ac:dyDescent="0.25">
      <c r="L3108" s="5"/>
      <c r="M3108" s="5"/>
      <c r="N3108" s="5"/>
      <c r="O3108" s="5"/>
      <c r="P3108" s="5"/>
    </row>
    <row r="3109" spans="12:16" ht="15.75" customHeight="1" x14ac:dyDescent="0.25">
      <c r="L3109" s="5"/>
      <c r="M3109" s="5"/>
      <c r="N3109" s="5"/>
      <c r="O3109" s="5"/>
      <c r="P3109" s="5"/>
    </row>
    <row r="3110" spans="12:16" ht="15.75" customHeight="1" x14ac:dyDescent="0.25">
      <c r="L3110" s="5"/>
      <c r="M3110" s="5"/>
      <c r="N3110" s="5"/>
      <c r="O3110" s="5"/>
      <c r="P3110" s="5"/>
    </row>
    <row r="3111" spans="12:16" ht="15.75" customHeight="1" x14ac:dyDescent="0.25">
      <c r="L3111" s="5"/>
      <c r="M3111" s="5"/>
      <c r="N3111" s="5"/>
      <c r="O3111" s="5"/>
      <c r="P3111" s="5"/>
    </row>
    <row r="3112" spans="12:16" ht="15.75" customHeight="1" x14ac:dyDescent="0.25">
      <c r="L3112" s="5"/>
      <c r="M3112" s="5"/>
      <c r="N3112" s="5"/>
      <c r="O3112" s="5"/>
      <c r="P3112" s="5"/>
    </row>
    <row r="3113" spans="12:16" ht="15.75" customHeight="1" x14ac:dyDescent="0.25">
      <c r="L3113" s="5"/>
      <c r="M3113" s="5"/>
      <c r="N3113" s="5"/>
      <c r="O3113" s="5"/>
      <c r="P3113" s="5"/>
    </row>
    <row r="3114" spans="12:16" ht="15.75" customHeight="1" x14ac:dyDescent="0.25">
      <c r="L3114" s="5"/>
      <c r="M3114" s="5"/>
      <c r="N3114" s="5"/>
      <c r="O3114" s="5"/>
      <c r="P3114" s="5"/>
    </row>
    <row r="3115" spans="12:16" ht="15.75" customHeight="1" x14ac:dyDescent="0.25">
      <c r="L3115" s="5"/>
      <c r="M3115" s="5"/>
      <c r="N3115" s="5"/>
      <c r="O3115" s="5"/>
      <c r="P3115" s="5"/>
    </row>
    <row r="3116" spans="12:16" ht="15.75" customHeight="1" x14ac:dyDescent="0.25">
      <c r="L3116" s="5"/>
      <c r="M3116" s="5"/>
      <c r="N3116" s="5"/>
      <c r="O3116" s="5"/>
      <c r="P3116" s="5"/>
    </row>
    <row r="3117" spans="12:16" ht="15.75" customHeight="1" x14ac:dyDescent="0.25">
      <c r="L3117" s="5"/>
      <c r="M3117" s="5"/>
      <c r="N3117" s="5"/>
      <c r="O3117" s="5"/>
      <c r="P3117" s="5"/>
    </row>
    <row r="3118" spans="12:16" ht="15.75" customHeight="1" x14ac:dyDescent="0.25">
      <c r="L3118" s="5"/>
      <c r="M3118" s="5"/>
      <c r="N3118" s="5"/>
      <c r="O3118" s="5"/>
      <c r="P3118" s="5"/>
    </row>
    <row r="3119" spans="12:16" ht="15.75" customHeight="1" x14ac:dyDescent="0.25">
      <c r="L3119" s="5"/>
      <c r="M3119" s="5"/>
      <c r="N3119" s="5"/>
      <c r="O3119" s="5"/>
      <c r="P3119" s="5"/>
    </row>
    <row r="3120" spans="12:16" ht="15.75" customHeight="1" x14ac:dyDescent="0.25">
      <c r="L3120" s="5"/>
      <c r="M3120" s="5"/>
      <c r="N3120" s="5"/>
      <c r="O3120" s="5"/>
      <c r="P3120" s="5"/>
    </row>
    <row r="3121" spans="12:16" ht="15.75" customHeight="1" x14ac:dyDescent="0.25">
      <c r="L3121" s="5"/>
      <c r="M3121" s="5"/>
      <c r="N3121" s="5"/>
      <c r="O3121" s="5"/>
      <c r="P3121" s="5"/>
    </row>
    <row r="3122" spans="12:16" ht="15.75" customHeight="1" x14ac:dyDescent="0.25">
      <c r="L3122" s="5"/>
      <c r="M3122" s="5"/>
      <c r="N3122" s="5"/>
      <c r="O3122" s="5"/>
      <c r="P3122" s="5"/>
    </row>
    <row r="3123" spans="12:16" ht="15.75" customHeight="1" x14ac:dyDescent="0.25">
      <c r="L3123" s="5"/>
      <c r="M3123" s="5"/>
      <c r="N3123" s="5"/>
      <c r="O3123" s="5"/>
      <c r="P3123" s="5"/>
    </row>
    <row r="3124" spans="12:16" ht="15.75" customHeight="1" x14ac:dyDescent="0.25">
      <c r="L3124" s="5"/>
      <c r="M3124" s="5"/>
      <c r="N3124" s="5"/>
      <c r="O3124" s="5"/>
      <c r="P3124" s="5"/>
    </row>
    <row r="3125" spans="12:16" ht="15.75" customHeight="1" x14ac:dyDescent="0.25">
      <c r="L3125" s="5"/>
      <c r="M3125" s="5"/>
      <c r="N3125" s="5"/>
      <c r="O3125" s="5"/>
      <c r="P3125" s="5"/>
    </row>
    <row r="3126" spans="12:16" ht="15.75" customHeight="1" x14ac:dyDescent="0.25">
      <c r="L3126" s="5"/>
      <c r="M3126" s="5"/>
      <c r="N3126" s="5"/>
      <c r="O3126" s="5"/>
      <c r="P3126" s="5"/>
    </row>
    <row r="3127" spans="12:16" ht="15.75" customHeight="1" x14ac:dyDescent="0.25">
      <c r="L3127" s="5"/>
      <c r="M3127" s="5"/>
      <c r="N3127" s="5"/>
      <c r="O3127" s="5"/>
      <c r="P3127" s="5"/>
    </row>
    <row r="3128" spans="12:16" ht="15.75" customHeight="1" x14ac:dyDescent="0.25">
      <c r="L3128" s="5"/>
      <c r="M3128" s="5"/>
      <c r="N3128" s="5"/>
      <c r="O3128" s="5"/>
      <c r="P3128" s="5"/>
    </row>
    <row r="3129" spans="12:16" ht="15.75" customHeight="1" x14ac:dyDescent="0.25">
      <c r="L3129" s="5"/>
      <c r="M3129" s="5"/>
      <c r="N3129" s="5"/>
      <c r="O3129" s="5"/>
      <c r="P3129" s="5"/>
    </row>
    <row r="3130" spans="12:16" ht="15.75" customHeight="1" x14ac:dyDescent="0.25">
      <c r="L3130" s="5"/>
      <c r="M3130" s="5"/>
      <c r="N3130" s="5"/>
      <c r="O3130" s="5"/>
      <c r="P3130" s="5"/>
    </row>
    <row r="3131" spans="12:16" ht="15.75" customHeight="1" x14ac:dyDescent="0.25">
      <c r="L3131" s="5"/>
      <c r="M3131" s="5"/>
      <c r="N3131" s="5"/>
      <c r="O3131" s="5"/>
      <c r="P3131" s="5"/>
    </row>
    <row r="3132" spans="12:16" ht="15.75" customHeight="1" x14ac:dyDescent="0.25">
      <c r="L3132" s="5"/>
      <c r="M3132" s="5"/>
      <c r="N3132" s="5"/>
      <c r="O3132" s="5"/>
      <c r="P3132" s="5"/>
    </row>
    <row r="3133" spans="12:16" ht="15.75" customHeight="1" x14ac:dyDescent="0.25">
      <c r="L3133" s="5"/>
      <c r="M3133" s="5"/>
      <c r="N3133" s="5"/>
      <c r="O3133" s="5"/>
      <c r="P3133" s="5"/>
    </row>
    <row r="3134" spans="12:16" ht="15.75" customHeight="1" x14ac:dyDescent="0.25">
      <c r="L3134" s="5"/>
      <c r="M3134" s="5"/>
      <c r="N3134" s="5"/>
      <c r="O3134" s="5"/>
      <c r="P3134" s="5"/>
    </row>
    <row r="3135" spans="12:16" ht="15.75" customHeight="1" x14ac:dyDescent="0.25">
      <c r="L3135" s="5"/>
      <c r="M3135" s="5"/>
      <c r="N3135" s="5"/>
      <c r="O3135" s="5"/>
      <c r="P3135" s="5"/>
    </row>
    <row r="3136" spans="12:16" ht="15.75" customHeight="1" x14ac:dyDescent="0.25">
      <c r="L3136" s="5"/>
      <c r="M3136" s="5"/>
      <c r="N3136" s="5"/>
      <c r="O3136" s="5"/>
      <c r="P3136" s="5"/>
    </row>
    <row r="3137" spans="12:16" ht="15.75" customHeight="1" x14ac:dyDescent="0.25">
      <c r="L3137" s="5"/>
      <c r="M3137" s="5"/>
      <c r="N3137" s="5"/>
      <c r="O3137" s="5"/>
      <c r="P3137" s="5"/>
    </row>
    <row r="3138" spans="12:16" ht="15.75" customHeight="1" x14ac:dyDescent="0.25">
      <c r="L3138" s="5"/>
      <c r="M3138" s="5"/>
      <c r="N3138" s="5"/>
      <c r="O3138" s="5"/>
      <c r="P3138" s="5"/>
    </row>
    <row r="3139" spans="12:16" ht="15.75" customHeight="1" x14ac:dyDescent="0.25">
      <c r="L3139" s="5"/>
      <c r="M3139" s="5"/>
      <c r="N3139" s="5"/>
      <c r="O3139" s="5"/>
      <c r="P3139" s="5"/>
    </row>
    <row r="3140" spans="12:16" ht="15.75" customHeight="1" x14ac:dyDescent="0.25">
      <c r="L3140" s="5"/>
      <c r="M3140" s="5"/>
      <c r="N3140" s="5"/>
      <c r="O3140" s="5"/>
      <c r="P3140" s="5"/>
    </row>
    <row r="3141" spans="12:16" ht="15.75" customHeight="1" x14ac:dyDescent="0.25">
      <c r="L3141" s="5"/>
      <c r="M3141" s="5"/>
      <c r="N3141" s="5"/>
      <c r="O3141" s="5"/>
      <c r="P3141" s="5"/>
    </row>
    <row r="3142" spans="12:16" ht="15.75" customHeight="1" x14ac:dyDescent="0.25">
      <c r="L3142" s="5"/>
      <c r="M3142" s="5"/>
      <c r="N3142" s="5"/>
      <c r="O3142" s="5"/>
      <c r="P3142" s="5"/>
    </row>
    <row r="3143" spans="12:16" ht="15.75" customHeight="1" x14ac:dyDescent="0.25">
      <c r="L3143" s="5"/>
      <c r="M3143" s="5"/>
      <c r="N3143" s="5"/>
      <c r="O3143" s="5"/>
      <c r="P3143" s="5"/>
    </row>
    <row r="3144" spans="12:16" ht="15.75" customHeight="1" x14ac:dyDescent="0.25">
      <c r="L3144" s="5"/>
      <c r="M3144" s="5"/>
      <c r="N3144" s="5"/>
      <c r="O3144" s="5"/>
      <c r="P3144" s="5"/>
    </row>
    <row r="3145" spans="12:16" ht="15.75" customHeight="1" x14ac:dyDescent="0.25">
      <c r="L3145" s="5"/>
      <c r="M3145" s="5"/>
      <c r="N3145" s="5"/>
      <c r="O3145" s="5"/>
      <c r="P3145" s="5"/>
    </row>
    <row r="3146" spans="12:16" ht="15.75" customHeight="1" x14ac:dyDescent="0.25">
      <c r="L3146" s="5"/>
      <c r="M3146" s="5"/>
      <c r="N3146" s="5"/>
      <c r="O3146" s="5"/>
      <c r="P3146" s="5"/>
    </row>
    <row r="3147" spans="12:16" ht="15.75" customHeight="1" x14ac:dyDescent="0.25">
      <c r="L3147" s="5"/>
      <c r="M3147" s="5"/>
      <c r="N3147" s="5"/>
      <c r="O3147" s="5"/>
      <c r="P3147" s="5"/>
    </row>
    <row r="3148" spans="12:16" ht="15.75" customHeight="1" x14ac:dyDescent="0.25">
      <c r="L3148" s="5"/>
      <c r="M3148" s="5"/>
      <c r="N3148" s="5"/>
      <c r="O3148" s="5"/>
      <c r="P3148" s="5"/>
    </row>
    <row r="3149" spans="12:16" ht="15.75" customHeight="1" x14ac:dyDescent="0.25">
      <c r="L3149" s="5"/>
      <c r="M3149" s="5"/>
      <c r="N3149" s="5"/>
      <c r="O3149" s="5"/>
      <c r="P3149" s="5"/>
    </row>
    <row r="3150" spans="12:16" ht="15.75" customHeight="1" x14ac:dyDescent="0.25">
      <c r="L3150" s="5"/>
      <c r="M3150" s="5"/>
      <c r="N3150" s="5"/>
      <c r="O3150" s="5"/>
      <c r="P3150" s="5"/>
    </row>
    <row r="3151" spans="12:16" ht="15.75" customHeight="1" x14ac:dyDescent="0.25">
      <c r="L3151" s="5"/>
      <c r="M3151" s="5"/>
      <c r="N3151" s="5"/>
      <c r="O3151" s="5"/>
      <c r="P3151" s="5"/>
    </row>
    <row r="3152" spans="12:16" ht="15.75" customHeight="1" x14ac:dyDescent="0.25">
      <c r="L3152" s="5"/>
      <c r="M3152" s="5"/>
      <c r="N3152" s="5"/>
      <c r="O3152" s="5"/>
      <c r="P3152" s="5"/>
    </row>
    <row r="3153" spans="12:16" ht="15.75" customHeight="1" x14ac:dyDescent="0.25">
      <c r="L3153" s="5"/>
      <c r="M3153" s="5"/>
      <c r="N3153" s="5"/>
      <c r="O3153" s="5"/>
      <c r="P3153" s="5"/>
    </row>
    <row r="3154" spans="12:16" ht="15.75" customHeight="1" x14ac:dyDescent="0.25">
      <c r="L3154" s="5"/>
      <c r="M3154" s="5"/>
      <c r="N3154" s="5"/>
      <c r="O3154" s="5"/>
      <c r="P3154" s="5"/>
    </row>
    <row r="3155" spans="12:16" ht="15.75" customHeight="1" x14ac:dyDescent="0.25">
      <c r="L3155" s="5"/>
      <c r="M3155" s="5"/>
      <c r="N3155" s="5"/>
      <c r="O3155" s="5"/>
      <c r="P3155" s="5"/>
    </row>
    <row r="3156" spans="12:16" ht="15.75" customHeight="1" x14ac:dyDescent="0.25">
      <c r="L3156" s="5"/>
      <c r="M3156" s="5"/>
      <c r="N3156" s="5"/>
      <c r="O3156" s="5"/>
      <c r="P3156" s="5"/>
    </row>
    <row r="3157" spans="12:16" ht="15.75" customHeight="1" x14ac:dyDescent="0.25">
      <c r="L3157" s="5"/>
      <c r="M3157" s="5"/>
      <c r="N3157" s="5"/>
      <c r="O3157" s="5"/>
      <c r="P3157" s="5"/>
    </row>
    <row r="3158" spans="12:16" ht="15.75" customHeight="1" x14ac:dyDescent="0.25">
      <c r="L3158" s="5"/>
      <c r="M3158" s="5"/>
      <c r="N3158" s="5"/>
      <c r="O3158" s="5"/>
      <c r="P3158" s="5"/>
    </row>
    <row r="3159" spans="12:16" ht="15.75" customHeight="1" x14ac:dyDescent="0.25">
      <c r="L3159" s="5"/>
      <c r="M3159" s="5"/>
      <c r="N3159" s="5"/>
      <c r="O3159" s="5"/>
      <c r="P3159" s="5"/>
    </row>
    <row r="3160" spans="12:16" ht="15.75" customHeight="1" x14ac:dyDescent="0.25">
      <c r="L3160" s="5"/>
      <c r="M3160" s="5"/>
      <c r="N3160" s="5"/>
      <c r="O3160" s="5"/>
      <c r="P3160" s="5"/>
    </row>
    <row r="3161" spans="12:16" ht="15.75" customHeight="1" x14ac:dyDescent="0.25">
      <c r="L3161" s="5"/>
      <c r="M3161" s="5"/>
      <c r="N3161" s="5"/>
      <c r="O3161" s="5"/>
      <c r="P3161" s="5"/>
    </row>
    <row r="3162" spans="12:16" ht="15.75" customHeight="1" x14ac:dyDescent="0.25">
      <c r="L3162" s="5"/>
      <c r="M3162" s="5"/>
      <c r="N3162" s="5"/>
      <c r="O3162" s="5"/>
      <c r="P3162" s="5"/>
    </row>
    <row r="3163" spans="12:16" ht="15.75" customHeight="1" x14ac:dyDescent="0.25">
      <c r="L3163" s="5"/>
      <c r="M3163" s="5"/>
      <c r="N3163" s="5"/>
      <c r="O3163" s="5"/>
      <c r="P3163" s="5"/>
    </row>
    <row r="3164" spans="12:16" ht="15.75" customHeight="1" x14ac:dyDescent="0.25">
      <c r="L3164" s="5"/>
      <c r="M3164" s="5"/>
      <c r="N3164" s="5"/>
      <c r="O3164" s="5"/>
      <c r="P3164" s="5"/>
    </row>
    <row r="3165" spans="12:16" ht="15.75" customHeight="1" x14ac:dyDescent="0.25">
      <c r="L3165" s="5"/>
      <c r="M3165" s="5"/>
      <c r="N3165" s="5"/>
      <c r="O3165" s="5"/>
      <c r="P3165" s="5"/>
    </row>
    <row r="3166" spans="12:16" ht="15.75" customHeight="1" x14ac:dyDescent="0.25">
      <c r="L3166" s="5"/>
      <c r="M3166" s="5"/>
      <c r="N3166" s="5"/>
      <c r="O3166" s="5"/>
      <c r="P3166" s="5"/>
    </row>
    <row r="3167" spans="12:16" ht="15.75" customHeight="1" x14ac:dyDescent="0.25">
      <c r="L3167" s="5"/>
      <c r="M3167" s="5"/>
      <c r="N3167" s="5"/>
      <c r="O3167" s="5"/>
      <c r="P3167" s="5"/>
    </row>
    <row r="3168" spans="12:16" ht="15.75" customHeight="1" x14ac:dyDescent="0.25">
      <c r="L3168" s="5"/>
      <c r="M3168" s="5"/>
      <c r="N3168" s="5"/>
      <c r="O3168" s="5"/>
      <c r="P3168" s="5"/>
    </row>
    <row r="3169" spans="12:16" ht="15.75" customHeight="1" x14ac:dyDescent="0.25">
      <c r="L3169" s="5"/>
      <c r="M3169" s="5"/>
      <c r="N3169" s="5"/>
      <c r="O3169" s="5"/>
      <c r="P3169" s="5"/>
    </row>
    <row r="3170" spans="12:16" ht="15.75" customHeight="1" x14ac:dyDescent="0.25">
      <c r="L3170" s="5"/>
      <c r="M3170" s="5"/>
      <c r="N3170" s="5"/>
      <c r="O3170" s="5"/>
      <c r="P3170" s="5"/>
    </row>
    <row r="3171" spans="12:16" ht="15.75" customHeight="1" x14ac:dyDescent="0.25">
      <c r="L3171" s="5"/>
      <c r="M3171" s="5"/>
      <c r="N3171" s="5"/>
      <c r="O3171" s="5"/>
      <c r="P3171" s="5"/>
    </row>
    <row r="3172" spans="12:16" ht="15.75" customHeight="1" x14ac:dyDescent="0.25">
      <c r="L3172" s="5"/>
      <c r="M3172" s="5"/>
      <c r="N3172" s="5"/>
      <c r="O3172" s="5"/>
      <c r="P3172" s="5"/>
    </row>
    <row r="3173" spans="12:16" ht="15.75" customHeight="1" x14ac:dyDescent="0.25">
      <c r="L3173" s="5"/>
      <c r="M3173" s="5"/>
      <c r="N3173" s="5"/>
      <c r="O3173" s="5"/>
      <c r="P3173" s="5"/>
    </row>
    <row r="3174" spans="12:16" ht="15.75" customHeight="1" x14ac:dyDescent="0.25">
      <c r="L3174" s="5"/>
      <c r="M3174" s="5"/>
      <c r="N3174" s="5"/>
      <c r="O3174" s="5"/>
      <c r="P3174" s="5"/>
    </row>
    <row r="3175" spans="12:16" ht="15.75" customHeight="1" x14ac:dyDescent="0.25">
      <c r="L3175" s="5"/>
      <c r="M3175" s="5"/>
      <c r="N3175" s="5"/>
      <c r="O3175" s="5"/>
      <c r="P3175" s="5"/>
    </row>
    <row r="3176" spans="12:16" ht="15.75" customHeight="1" x14ac:dyDescent="0.25">
      <c r="L3176" s="5"/>
      <c r="M3176" s="5"/>
      <c r="N3176" s="5"/>
      <c r="O3176" s="5"/>
      <c r="P3176" s="5"/>
    </row>
    <row r="3177" spans="12:16" ht="15.75" customHeight="1" x14ac:dyDescent="0.25">
      <c r="L3177" s="5"/>
      <c r="M3177" s="5"/>
      <c r="N3177" s="5"/>
      <c r="O3177" s="5"/>
      <c r="P3177" s="5"/>
    </row>
    <row r="3178" spans="12:16" ht="15.75" customHeight="1" x14ac:dyDescent="0.25">
      <c r="L3178" s="5"/>
      <c r="M3178" s="5"/>
      <c r="N3178" s="5"/>
      <c r="O3178" s="5"/>
      <c r="P3178" s="5"/>
    </row>
    <row r="3179" spans="12:16" ht="15.75" customHeight="1" x14ac:dyDescent="0.25">
      <c r="L3179" s="5"/>
      <c r="M3179" s="5"/>
      <c r="N3179" s="5"/>
      <c r="O3179" s="5"/>
      <c r="P3179" s="5"/>
    </row>
    <row r="3180" spans="12:16" ht="15.75" customHeight="1" x14ac:dyDescent="0.25">
      <c r="L3180" s="5"/>
      <c r="M3180" s="5"/>
      <c r="N3180" s="5"/>
      <c r="O3180" s="5"/>
      <c r="P3180" s="5"/>
    </row>
    <row r="3181" spans="12:16" ht="15.75" customHeight="1" x14ac:dyDescent="0.25">
      <c r="L3181" s="5"/>
      <c r="M3181" s="5"/>
      <c r="N3181" s="5"/>
      <c r="O3181" s="5"/>
      <c r="P3181" s="5"/>
    </row>
    <row r="3182" spans="12:16" ht="15.75" customHeight="1" x14ac:dyDescent="0.25">
      <c r="L3182" s="5"/>
      <c r="M3182" s="5"/>
      <c r="N3182" s="5"/>
      <c r="O3182" s="5"/>
      <c r="P3182" s="5"/>
    </row>
    <row r="3183" spans="12:16" ht="15.75" customHeight="1" x14ac:dyDescent="0.25">
      <c r="L3183" s="5"/>
      <c r="M3183" s="5"/>
      <c r="N3183" s="5"/>
      <c r="O3183" s="5"/>
      <c r="P3183" s="5"/>
    </row>
    <row r="3184" spans="12:16" ht="15.75" customHeight="1" x14ac:dyDescent="0.25">
      <c r="L3184" s="5"/>
      <c r="M3184" s="5"/>
      <c r="N3184" s="5"/>
      <c r="O3184" s="5"/>
      <c r="P3184" s="5"/>
    </row>
    <row r="3185" spans="12:16" ht="15.75" customHeight="1" x14ac:dyDescent="0.25">
      <c r="L3185" s="5"/>
      <c r="M3185" s="5"/>
      <c r="N3185" s="5"/>
      <c r="O3185" s="5"/>
      <c r="P3185" s="5"/>
    </row>
    <row r="3186" spans="12:16" ht="15.75" customHeight="1" x14ac:dyDescent="0.25">
      <c r="L3186" s="5"/>
      <c r="M3186" s="5"/>
      <c r="N3186" s="5"/>
      <c r="O3186" s="5"/>
      <c r="P3186" s="5"/>
    </row>
    <row r="3187" spans="12:16" ht="15.75" customHeight="1" x14ac:dyDescent="0.25">
      <c r="L3187" s="5"/>
      <c r="M3187" s="5"/>
      <c r="N3187" s="5"/>
      <c r="O3187" s="5"/>
      <c r="P3187" s="5"/>
    </row>
    <row r="3188" spans="12:16" ht="15.75" customHeight="1" x14ac:dyDescent="0.25">
      <c r="L3188" s="5"/>
      <c r="M3188" s="5"/>
      <c r="N3188" s="5"/>
      <c r="O3188" s="5"/>
      <c r="P3188" s="5"/>
    </row>
    <row r="3189" spans="12:16" ht="15.75" customHeight="1" x14ac:dyDescent="0.25">
      <c r="L3189" s="5"/>
      <c r="M3189" s="5"/>
      <c r="N3189" s="5"/>
      <c r="O3189" s="5"/>
      <c r="P3189" s="5"/>
    </row>
    <row r="3190" spans="12:16" ht="15.75" customHeight="1" x14ac:dyDescent="0.25">
      <c r="L3190" s="5"/>
      <c r="M3190" s="5"/>
      <c r="N3190" s="5"/>
      <c r="O3190" s="5"/>
      <c r="P3190" s="5"/>
    </row>
    <row r="3191" spans="12:16" ht="15.75" customHeight="1" x14ac:dyDescent="0.25">
      <c r="L3191" s="5"/>
      <c r="M3191" s="5"/>
      <c r="N3191" s="5"/>
      <c r="O3191" s="5"/>
      <c r="P3191" s="5"/>
    </row>
    <row r="3192" spans="12:16" ht="15.75" customHeight="1" x14ac:dyDescent="0.25">
      <c r="L3192" s="5"/>
      <c r="M3192" s="5"/>
      <c r="N3192" s="5"/>
      <c r="O3192" s="5"/>
      <c r="P3192" s="5"/>
    </row>
    <row r="3193" spans="12:16" ht="15.75" customHeight="1" x14ac:dyDescent="0.25">
      <c r="L3193" s="5"/>
      <c r="M3193" s="5"/>
      <c r="N3193" s="5"/>
      <c r="O3193" s="5"/>
      <c r="P3193" s="5"/>
    </row>
    <row r="3194" spans="12:16" ht="15.75" customHeight="1" x14ac:dyDescent="0.25">
      <c r="L3194" s="5"/>
      <c r="M3194" s="5"/>
      <c r="N3194" s="5"/>
      <c r="O3194" s="5"/>
      <c r="P3194" s="5"/>
    </row>
    <row r="3195" spans="12:16" ht="15.75" customHeight="1" x14ac:dyDescent="0.25">
      <c r="L3195" s="5"/>
      <c r="M3195" s="5"/>
      <c r="N3195" s="5"/>
      <c r="O3195" s="5"/>
      <c r="P3195" s="5"/>
    </row>
    <row r="3196" spans="12:16" ht="15.75" customHeight="1" x14ac:dyDescent="0.25">
      <c r="L3196" s="5"/>
      <c r="M3196" s="5"/>
      <c r="N3196" s="5"/>
      <c r="O3196" s="5"/>
      <c r="P3196" s="5"/>
    </row>
    <row r="3197" spans="12:16" ht="15.75" customHeight="1" x14ac:dyDescent="0.25">
      <c r="L3197" s="5"/>
      <c r="M3197" s="5"/>
      <c r="N3197" s="5"/>
      <c r="O3197" s="5"/>
      <c r="P3197" s="5"/>
    </row>
    <row r="3198" spans="12:16" ht="15.75" customHeight="1" x14ac:dyDescent="0.25">
      <c r="L3198" s="5"/>
      <c r="M3198" s="5"/>
      <c r="N3198" s="5"/>
      <c r="O3198" s="5"/>
      <c r="P3198" s="5"/>
    </row>
    <row r="3199" spans="12:16" ht="15.75" customHeight="1" x14ac:dyDescent="0.25">
      <c r="L3199" s="5"/>
      <c r="M3199" s="5"/>
      <c r="N3199" s="5"/>
      <c r="O3199" s="5"/>
      <c r="P3199" s="5"/>
    </row>
    <row r="3200" spans="12:16" ht="15.75" customHeight="1" x14ac:dyDescent="0.25">
      <c r="L3200" s="5"/>
      <c r="M3200" s="5"/>
      <c r="N3200" s="5"/>
      <c r="O3200" s="5"/>
      <c r="P3200" s="5"/>
    </row>
    <row r="3201" spans="12:16" ht="15.75" customHeight="1" x14ac:dyDescent="0.25">
      <c r="L3201" s="5"/>
      <c r="M3201" s="5"/>
      <c r="N3201" s="5"/>
      <c r="O3201" s="5"/>
      <c r="P3201" s="5"/>
    </row>
    <row r="3202" spans="12:16" ht="15.75" customHeight="1" x14ac:dyDescent="0.25">
      <c r="L3202" s="5"/>
      <c r="M3202" s="5"/>
      <c r="N3202" s="5"/>
      <c r="O3202" s="5"/>
      <c r="P3202" s="5"/>
    </row>
    <row r="3203" spans="12:16" ht="15.75" customHeight="1" x14ac:dyDescent="0.25">
      <c r="L3203" s="5"/>
      <c r="M3203" s="5"/>
      <c r="N3203" s="5"/>
      <c r="O3203" s="5"/>
      <c r="P3203" s="5"/>
    </row>
    <row r="3204" spans="12:16" ht="15.75" customHeight="1" x14ac:dyDescent="0.25">
      <c r="L3204" s="5"/>
      <c r="M3204" s="5"/>
      <c r="N3204" s="5"/>
      <c r="O3204" s="5"/>
      <c r="P3204" s="5"/>
    </row>
    <row r="3205" spans="12:16" ht="15.75" customHeight="1" x14ac:dyDescent="0.25">
      <c r="L3205" s="5"/>
      <c r="M3205" s="5"/>
      <c r="N3205" s="5"/>
      <c r="O3205" s="5"/>
      <c r="P3205" s="5"/>
    </row>
    <row r="3206" spans="12:16" ht="15.75" customHeight="1" x14ac:dyDescent="0.25">
      <c r="L3206" s="5"/>
      <c r="M3206" s="5"/>
      <c r="N3206" s="5"/>
      <c r="O3206" s="5"/>
      <c r="P3206" s="5"/>
    </row>
    <row r="3207" spans="12:16" ht="15.75" customHeight="1" x14ac:dyDescent="0.25">
      <c r="L3207" s="5"/>
      <c r="M3207" s="5"/>
      <c r="N3207" s="5"/>
      <c r="O3207" s="5"/>
      <c r="P3207" s="5"/>
    </row>
    <row r="3208" spans="12:16" ht="15.75" customHeight="1" x14ac:dyDescent="0.25">
      <c r="L3208" s="5"/>
      <c r="M3208" s="5"/>
      <c r="N3208" s="5"/>
      <c r="O3208" s="5"/>
      <c r="P3208" s="5"/>
    </row>
    <row r="3209" spans="12:16" ht="15.75" customHeight="1" x14ac:dyDescent="0.25">
      <c r="L3209" s="5"/>
      <c r="M3209" s="5"/>
      <c r="N3209" s="5"/>
      <c r="O3209" s="5"/>
      <c r="P3209" s="5"/>
    </row>
    <row r="3210" spans="12:16" ht="15.75" customHeight="1" x14ac:dyDescent="0.25">
      <c r="L3210" s="5"/>
      <c r="M3210" s="5"/>
      <c r="N3210" s="5"/>
      <c r="O3210" s="5"/>
      <c r="P3210" s="5"/>
    </row>
    <row r="3211" spans="12:16" ht="15.75" customHeight="1" x14ac:dyDescent="0.25">
      <c r="L3211" s="5"/>
      <c r="M3211" s="5"/>
      <c r="N3211" s="5"/>
      <c r="O3211" s="5"/>
      <c r="P3211" s="5"/>
    </row>
    <row r="3212" spans="12:16" ht="15.75" customHeight="1" x14ac:dyDescent="0.25">
      <c r="L3212" s="5"/>
      <c r="M3212" s="5"/>
      <c r="N3212" s="5"/>
      <c r="O3212" s="5"/>
      <c r="P3212" s="5"/>
    </row>
    <row r="3213" spans="12:16" ht="15.75" customHeight="1" x14ac:dyDescent="0.25">
      <c r="L3213" s="5"/>
      <c r="M3213" s="5"/>
      <c r="N3213" s="5"/>
      <c r="O3213" s="5"/>
      <c r="P3213" s="5"/>
    </row>
    <row r="3214" spans="12:16" ht="15.75" customHeight="1" x14ac:dyDescent="0.25">
      <c r="L3214" s="5"/>
      <c r="M3214" s="5"/>
      <c r="N3214" s="5"/>
      <c r="O3214" s="5"/>
      <c r="P3214" s="5"/>
    </row>
    <row r="3215" spans="12:16" ht="15.75" customHeight="1" x14ac:dyDescent="0.25">
      <c r="L3215" s="5"/>
      <c r="M3215" s="5"/>
      <c r="N3215" s="5"/>
      <c r="O3215" s="5"/>
      <c r="P3215" s="5"/>
    </row>
    <row r="3216" spans="12:16" ht="15.75" customHeight="1" x14ac:dyDescent="0.25">
      <c r="L3216" s="5"/>
      <c r="M3216" s="5"/>
      <c r="N3216" s="5"/>
      <c r="O3216" s="5"/>
      <c r="P3216" s="5"/>
    </row>
    <row r="3217" spans="12:16" ht="15.75" customHeight="1" x14ac:dyDescent="0.25">
      <c r="L3217" s="5"/>
      <c r="M3217" s="5"/>
      <c r="N3217" s="5"/>
      <c r="O3217" s="5"/>
      <c r="P3217" s="5"/>
    </row>
    <row r="3218" spans="12:16" ht="15.75" customHeight="1" x14ac:dyDescent="0.25">
      <c r="L3218" s="5"/>
      <c r="M3218" s="5"/>
      <c r="N3218" s="5"/>
      <c r="O3218" s="5"/>
      <c r="P3218" s="5"/>
    </row>
    <row r="3219" spans="12:16" ht="15.75" customHeight="1" x14ac:dyDescent="0.25">
      <c r="L3219" s="5"/>
      <c r="M3219" s="5"/>
      <c r="N3219" s="5"/>
      <c r="O3219" s="5"/>
      <c r="P3219" s="5"/>
    </row>
    <row r="3220" spans="12:16" ht="15.75" customHeight="1" x14ac:dyDescent="0.25">
      <c r="L3220" s="5"/>
      <c r="M3220" s="5"/>
      <c r="N3220" s="5"/>
      <c r="O3220" s="5"/>
      <c r="P3220" s="5"/>
    </row>
    <row r="3221" spans="12:16" ht="15.75" customHeight="1" x14ac:dyDescent="0.25">
      <c r="L3221" s="5"/>
      <c r="M3221" s="5"/>
      <c r="N3221" s="5"/>
      <c r="O3221" s="5"/>
      <c r="P3221" s="5"/>
    </row>
    <row r="3222" spans="12:16" ht="15.75" customHeight="1" x14ac:dyDescent="0.25">
      <c r="L3222" s="5"/>
      <c r="M3222" s="5"/>
      <c r="N3222" s="5"/>
      <c r="O3222" s="5"/>
      <c r="P3222" s="5"/>
    </row>
    <row r="3223" spans="12:16" ht="15.75" customHeight="1" x14ac:dyDescent="0.25">
      <c r="L3223" s="5"/>
      <c r="M3223" s="5"/>
      <c r="N3223" s="5"/>
      <c r="O3223" s="5"/>
      <c r="P3223" s="5"/>
    </row>
    <row r="3224" spans="12:16" ht="15.75" customHeight="1" x14ac:dyDescent="0.25">
      <c r="L3224" s="5"/>
      <c r="M3224" s="5"/>
      <c r="N3224" s="5"/>
      <c r="O3224" s="5"/>
      <c r="P3224" s="5"/>
    </row>
    <row r="3225" spans="12:16" ht="15.75" customHeight="1" x14ac:dyDescent="0.25">
      <c r="L3225" s="5"/>
      <c r="M3225" s="5"/>
      <c r="N3225" s="5"/>
      <c r="O3225" s="5"/>
      <c r="P3225" s="5"/>
    </row>
    <row r="3226" spans="12:16" ht="15.75" customHeight="1" x14ac:dyDescent="0.25">
      <c r="L3226" s="5"/>
      <c r="M3226" s="5"/>
      <c r="N3226" s="5"/>
      <c r="O3226" s="5"/>
      <c r="P3226" s="5"/>
    </row>
    <row r="3227" spans="12:16" ht="15.75" customHeight="1" x14ac:dyDescent="0.25">
      <c r="L3227" s="5"/>
      <c r="M3227" s="5"/>
      <c r="N3227" s="5"/>
      <c r="O3227" s="5"/>
      <c r="P3227" s="5"/>
    </row>
    <row r="3228" spans="12:16" ht="15.75" customHeight="1" x14ac:dyDescent="0.25">
      <c r="L3228" s="5"/>
      <c r="M3228" s="5"/>
      <c r="N3228" s="5"/>
      <c r="O3228" s="5"/>
      <c r="P3228" s="5"/>
    </row>
    <row r="3229" spans="12:16" ht="15.75" customHeight="1" x14ac:dyDescent="0.25">
      <c r="L3229" s="5"/>
      <c r="M3229" s="5"/>
      <c r="N3229" s="5"/>
      <c r="O3229" s="5"/>
      <c r="P3229" s="5"/>
    </row>
    <row r="3230" spans="12:16" ht="15.75" customHeight="1" x14ac:dyDescent="0.25">
      <c r="L3230" s="5"/>
      <c r="M3230" s="5"/>
      <c r="N3230" s="5"/>
      <c r="O3230" s="5"/>
      <c r="P3230" s="5"/>
    </row>
    <row r="3231" spans="12:16" ht="15.75" customHeight="1" x14ac:dyDescent="0.25">
      <c r="L3231" s="5"/>
      <c r="M3231" s="5"/>
      <c r="N3231" s="5"/>
      <c r="O3231" s="5"/>
      <c r="P3231" s="5"/>
    </row>
    <row r="3232" spans="12:16" ht="15.75" customHeight="1" x14ac:dyDescent="0.25">
      <c r="L3232" s="5"/>
      <c r="M3232" s="5"/>
      <c r="N3232" s="5"/>
      <c r="O3232" s="5"/>
      <c r="P3232" s="5"/>
    </row>
    <row r="3233" spans="12:16" ht="15.75" customHeight="1" x14ac:dyDescent="0.25">
      <c r="L3233" s="5"/>
      <c r="M3233" s="5"/>
      <c r="N3233" s="5"/>
      <c r="O3233" s="5"/>
      <c r="P3233" s="5"/>
    </row>
    <row r="3234" spans="12:16" ht="15.75" customHeight="1" x14ac:dyDescent="0.25">
      <c r="L3234" s="5"/>
      <c r="M3234" s="5"/>
      <c r="N3234" s="5"/>
      <c r="O3234" s="5"/>
      <c r="P3234" s="5"/>
    </row>
    <row r="3235" spans="12:16" ht="15.75" customHeight="1" x14ac:dyDescent="0.25">
      <c r="L3235" s="5"/>
      <c r="M3235" s="5"/>
      <c r="N3235" s="5"/>
      <c r="O3235" s="5"/>
      <c r="P3235" s="5"/>
    </row>
    <row r="3236" spans="12:16" ht="15.75" customHeight="1" x14ac:dyDescent="0.25">
      <c r="L3236" s="5"/>
      <c r="M3236" s="5"/>
      <c r="N3236" s="5"/>
      <c r="O3236" s="5"/>
      <c r="P3236" s="5"/>
    </row>
    <row r="3237" spans="12:16" ht="15.75" customHeight="1" x14ac:dyDescent="0.25">
      <c r="L3237" s="5"/>
      <c r="M3237" s="5"/>
      <c r="N3237" s="5"/>
      <c r="O3237" s="5"/>
      <c r="P3237" s="5"/>
    </row>
    <row r="3238" spans="12:16" ht="15.75" customHeight="1" x14ac:dyDescent="0.25">
      <c r="L3238" s="5"/>
      <c r="M3238" s="5"/>
      <c r="N3238" s="5"/>
      <c r="O3238" s="5"/>
      <c r="P3238" s="5"/>
    </row>
    <row r="3239" spans="12:16" ht="15.75" customHeight="1" x14ac:dyDescent="0.25">
      <c r="L3239" s="5"/>
      <c r="M3239" s="5"/>
      <c r="N3239" s="5"/>
      <c r="O3239" s="5"/>
      <c r="P3239" s="5"/>
    </row>
    <row r="3240" spans="12:16" ht="15.75" customHeight="1" x14ac:dyDescent="0.25">
      <c r="L3240" s="5"/>
      <c r="M3240" s="5"/>
      <c r="N3240" s="5"/>
      <c r="O3240" s="5"/>
      <c r="P3240" s="5"/>
    </row>
    <row r="3241" spans="12:16" ht="15.75" customHeight="1" x14ac:dyDescent="0.25">
      <c r="L3241" s="5"/>
      <c r="M3241" s="5"/>
      <c r="N3241" s="5"/>
      <c r="O3241" s="5"/>
      <c r="P3241" s="5"/>
    </row>
    <row r="3242" spans="12:16" ht="15.75" customHeight="1" x14ac:dyDescent="0.25">
      <c r="L3242" s="5"/>
      <c r="M3242" s="5"/>
      <c r="N3242" s="5"/>
      <c r="O3242" s="5"/>
      <c r="P3242" s="5"/>
    </row>
    <row r="3243" spans="12:16" ht="15.75" customHeight="1" x14ac:dyDescent="0.25">
      <c r="L3243" s="5"/>
      <c r="M3243" s="5"/>
      <c r="N3243" s="5"/>
      <c r="O3243" s="5"/>
      <c r="P3243" s="5"/>
    </row>
    <row r="3244" spans="12:16" ht="15.75" customHeight="1" x14ac:dyDescent="0.25">
      <c r="L3244" s="5"/>
      <c r="M3244" s="5"/>
      <c r="N3244" s="5"/>
      <c r="O3244" s="5"/>
      <c r="P3244" s="5"/>
    </row>
    <row r="3245" spans="12:16" ht="15.75" customHeight="1" x14ac:dyDescent="0.25">
      <c r="L3245" s="5"/>
      <c r="M3245" s="5"/>
      <c r="N3245" s="5"/>
      <c r="O3245" s="5"/>
      <c r="P3245" s="5"/>
    </row>
    <row r="3246" spans="12:16" ht="15.75" customHeight="1" x14ac:dyDescent="0.25">
      <c r="L3246" s="5"/>
      <c r="M3246" s="5"/>
      <c r="N3246" s="5"/>
      <c r="O3246" s="5"/>
      <c r="P3246" s="5"/>
    </row>
    <row r="3247" spans="12:16" ht="15.75" customHeight="1" x14ac:dyDescent="0.25">
      <c r="L3247" s="5"/>
      <c r="M3247" s="5"/>
      <c r="N3247" s="5"/>
      <c r="O3247" s="5"/>
      <c r="P3247" s="5"/>
    </row>
    <row r="3248" spans="12:16" ht="15.75" customHeight="1" x14ac:dyDescent="0.25">
      <c r="L3248" s="5"/>
      <c r="M3248" s="5"/>
      <c r="N3248" s="5"/>
      <c r="O3248" s="5"/>
      <c r="P3248" s="5"/>
    </row>
    <row r="3249" spans="12:16" ht="15.75" customHeight="1" x14ac:dyDescent="0.25">
      <c r="L3249" s="5"/>
      <c r="M3249" s="5"/>
      <c r="N3249" s="5"/>
      <c r="O3249" s="5"/>
      <c r="P3249" s="5"/>
    </row>
    <row r="3250" spans="12:16" ht="15.75" customHeight="1" x14ac:dyDescent="0.25">
      <c r="L3250" s="5"/>
      <c r="M3250" s="5"/>
      <c r="N3250" s="5"/>
      <c r="O3250" s="5"/>
      <c r="P3250" s="5"/>
    </row>
    <row r="3251" spans="12:16" ht="15.75" customHeight="1" x14ac:dyDescent="0.25">
      <c r="L3251" s="5"/>
      <c r="M3251" s="5"/>
      <c r="N3251" s="5"/>
      <c r="O3251" s="5"/>
      <c r="P3251" s="5"/>
    </row>
    <row r="3252" spans="12:16" ht="15.75" customHeight="1" x14ac:dyDescent="0.25">
      <c r="L3252" s="5"/>
      <c r="M3252" s="5"/>
      <c r="N3252" s="5"/>
      <c r="O3252" s="5"/>
      <c r="P3252" s="5"/>
    </row>
    <row r="3253" spans="12:16" ht="15.75" customHeight="1" x14ac:dyDescent="0.25">
      <c r="L3253" s="5"/>
      <c r="M3253" s="5"/>
      <c r="N3253" s="5"/>
      <c r="O3253" s="5"/>
      <c r="P3253" s="5"/>
    </row>
    <row r="3254" spans="12:16" ht="15.75" customHeight="1" x14ac:dyDescent="0.25">
      <c r="L3254" s="5"/>
      <c r="M3254" s="5"/>
      <c r="N3254" s="5"/>
      <c r="O3254" s="5"/>
      <c r="P3254" s="5"/>
    </row>
    <row r="3255" spans="12:16" ht="15.75" customHeight="1" x14ac:dyDescent="0.25">
      <c r="L3255" s="5"/>
      <c r="M3255" s="5"/>
      <c r="N3255" s="5"/>
      <c r="O3255" s="5"/>
      <c r="P3255" s="5"/>
    </row>
    <row r="3256" spans="12:16" ht="15.75" customHeight="1" x14ac:dyDescent="0.25">
      <c r="L3256" s="5"/>
      <c r="M3256" s="5"/>
      <c r="N3256" s="5"/>
      <c r="O3256" s="5"/>
      <c r="P3256" s="5"/>
    </row>
    <row r="3257" spans="12:16" ht="15.75" customHeight="1" x14ac:dyDescent="0.25">
      <c r="L3257" s="5"/>
      <c r="M3257" s="5"/>
      <c r="N3257" s="5"/>
      <c r="O3257" s="5"/>
      <c r="P3257" s="5"/>
    </row>
    <row r="3258" spans="12:16" ht="15.75" customHeight="1" x14ac:dyDescent="0.25">
      <c r="L3258" s="5"/>
      <c r="M3258" s="5"/>
      <c r="N3258" s="5"/>
      <c r="O3258" s="5"/>
      <c r="P3258" s="5"/>
    </row>
    <row r="3259" spans="12:16" ht="15.75" customHeight="1" x14ac:dyDescent="0.25">
      <c r="L3259" s="5"/>
      <c r="M3259" s="5"/>
      <c r="N3259" s="5"/>
      <c r="O3259" s="5"/>
      <c r="P3259" s="5"/>
    </row>
    <row r="3260" spans="12:16" ht="15.75" customHeight="1" x14ac:dyDescent="0.25">
      <c r="L3260" s="5"/>
      <c r="M3260" s="5"/>
      <c r="N3260" s="5"/>
      <c r="O3260" s="5"/>
      <c r="P3260" s="5"/>
    </row>
    <row r="3261" spans="12:16" ht="15.75" customHeight="1" x14ac:dyDescent="0.25">
      <c r="L3261" s="5"/>
      <c r="M3261" s="5"/>
      <c r="N3261" s="5"/>
      <c r="O3261" s="5"/>
      <c r="P3261" s="5"/>
    </row>
    <row r="3262" spans="12:16" ht="15.75" customHeight="1" x14ac:dyDescent="0.25">
      <c r="L3262" s="5"/>
      <c r="M3262" s="5"/>
      <c r="N3262" s="5"/>
      <c r="O3262" s="5"/>
      <c r="P3262" s="5"/>
    </row>
    <row r="3263" spans="12:16" ht="15.75" customHeight="1" x14ac:dyDescent="0.25">
      <c r="L3263" s="5"/>
      <c r="M3263" s="5"/>
      <c r="N3263" s="5"/>
      <c r="O3263" s="5"/>
      <c r="P3263" s="5"/>
    </row>
    <row r="3264" spans="12:16" ht="15.75" customHeight="1" x14ac:dyDescent="0.25">
      <c r="L3264" s="5"/>
      <c r="M3264" s="5"/>
      <c r="N3264" s="5"/>
      <c r="O3264" s="5"/>
      <c r="P3264" s="5"/>
    </row>
    <row r="3265" spans="12:16" ht="15.75" customHeight="1" x14ac:dyDescent="0.25">
      <c r="L3265" s="5"/>
      <c r="M3265" s="5"/>
      <c r="N3265" s="5"/>
      <c r="O3265" s="5"/>
      <c r="P3265" s="5"/>
    </row>
    <row r="3266" spans="12:16" ht="15.75" customHeight="1" x14ac:dyDescent="0.25">
      <c r="L3266" s="5"/>
      <c r="M3266" s="5"/>
      <c r="N3266" s="5"/>
      <c r="O3266" s="5"/>
      <c r="P3266" s="5"/>
    </row>
    <row r="3267" spans="12:16" ht="15.75" customHeight="1" x14ac:dyDescent="0.25">
      <c r="L3267" s="5"/>
      <c r="M3267" s="5"/>
      <c r="N3267" s="5"/>
      <c r="O3267" s="5"/>
      <c r="P3267" s="5"/>
    </row>
    <row r="3268" spans="12:16" ht="15.75" customHeight="1" x14ac:dyDescent="0.25">
      <c r="L3268" s="5"/>
      <c r="M3268" s="5"/>
      <c r="N3268" s="5"/>
      <c r="O3268" s="5"/>
      <c r="P3268" s="5"/>
    </row>
    <row r="3269" spans="12:16" ht="15.75" customHeight="1" x14ac:dyDescent="0.25">
      <c r="L3269" s="5"/>
      <c r="M3269" s="5"/>
      <c r="N3269" s="5"/>
      <c r="O3269" s="5"/>
      <c r="P3269" s="5"/>
    </row>
    <row r="3270" spans="12:16" ht="15.75" customHeight="1" x14ac:dyDescent="0.25">
      <c r="L3270" s="5"/>
      <c r="M3270" s="5"/>
      <c r="N3270" s="5"/>
      <c r="O3270" s="5"/>
      <c r="P3270" s="5"/>
    </row>
    <row r="3271" spans="12:16" ht="15.75" customHeight="1" x14ac:dyDescent="0.25">
      <c r="L3271" s="5"/>
      <c r="M3271" s="5"/>
      <c r="N3271" s="5"/>
      <c r="O3271" s="5"/>
      <c r="P3271" s="5"/>
    </row>
    <row r="3272" spans="12:16" ht="15.75" customHeight="1" x14ac:dyDescent="0.25">
      <c r="L3272" s="5"/>
      <c r="M3272" s="5"/>
      <c r="N3272" s="5"/>
      <c r="O3272" s="5"/>
      <c r="P3272" s="5"/>
    </row>
    <row r="3273" spans="12:16" ht="15.75" customHeight="1" x14ac:dyDescent="0.25">
      <c r="L3273" s="5"/>
      <c r="M3273" s="5"/>
      <c r="N3273" s="5"/>
      <c r="O3273" s="5"/>
      <c r="P3273" s="5"/>
    </row>
    <row r="3274" spans="12:16" ht="15.75" customHeight="1" x14ac:dyDescent="0.25">
      <c r="L3274" s="5"/>
      <c r="M3274" s="5"/>
      <c r="N3274" s="5"/>
      <c r="O3274" s="5"/>
      <c r="P3274" s="5"/>
    </row>
    <row r="3275" spans="12:16" ht="15.75" customHeight="1" x14ac:dyDescent="0.25">
      <c r="L3275" s="5"/>
      <c r="M3275" s="5"/>
      <c r="N3275" s="5"/>
      <c r="O3275" s="5"/>
      <c r="P3275" s="5"/>
    </row>
    <row r="3276" spans="12:16" ht="15.75" customHeight="1" x14ac:dyDescent="0.25">
      <c r="L3276" s="5"/>
      <c r="M3276" s="5"/>
      <c r="N3276" s="5"/>
      <c r="O3276" s="5"/>
      <c r="P3276" s="5"/>
    </row>
    <row r="3277" spans="12:16" ht="15.75" customHeight="1" x14ac:dyDescent="0.25">
      <c r="L3277" s="5"/>
      <c r="M3277" s="5"/>
      <c r="N3277" s="5"/>
      <c r="O3277" s="5"/>
      <c r="P3277" s="5"/>
    </row>
    <row r="3278" spans="12:16" ht="15.75" customHeight="1" x14ac:dyDescent="0.25">
      <c r="L3278" s="5"/>
      <c r="M3278" s="5"/>
      <c r="N3278" s="5"/>
      <c r="O3278" s="5"/>
      <c r="P3278" s="5"/>
    </row>
    <row r="3279" spans="12:16" ht="15.75" customHeight="1" x14ac:dyDescent="0.25">
      <c r="L3279" s="5"/>
      <c r="M3279" s="5"/>
      <c r="N3279" s="5"/>
      <c r="O3279" s="5"/>
      <c r="P3279" s="5"/>
    </row>
    <row r="3280" spans="12:16" ht="15.75" customHeight="1" x14ac:dyDescent="0.25">
      <c r="L3280" s="5"/>
      <c r="M3280" s="5"/>
      <c r="N3280" s="5"/>
      <c r="O3280" s="5"/>
      <c r="P3280" s="5"/>
    </row>
    <row r="3281" spans="12:16" ht="15.75" customHeight="1" x14ac:dyDescent="0.25">
      <c r="L3281" s="5"/>
      <c r="M3281" s="5"/>
      <c r="N3281" s="5"/>
      <c r="O3281" s="5"/>
      <c r="P3281" s="5"/>
    </row>
    <row r="3282" spans="12:16" ht="15.75" customHeight="1" x14ac:dyDescent="0.25">
      <c r="L3282" s="5"/>
      <c r="M3282" s="5"/>
      <c r="N3282" s="5"/>
      <c r="O3282" s="5"/>
      <c r="P3282" s="5"/>
    </row>
    <row r="3283" spans="12:16" ht="15.75" customHeight="1" x14ac:dyDescent="0.25">
      <c r="L3283" s="5"/>
      <c r="M3283" s="5"/>
      <c r="N3283" s="5"/>
      <c r="O3283" s="5"/>
      <c r="P3283" s="5"/>
    </row>
    <row r="3284" spans="12:16" ht="15.75" customHeight="1" x14ac:dyDescent="0.25">
      <c r="L3284" s="5"/>
      <c r="M3284" s="5"/>
      <c r="N3284" s="5"/>
      <c r="O3284" s="5"/>
      <c r="P3284" s="5"/>
    </row>
    <row r="3285" spans="12:16" ht="15.75" customHeight="1" x14ac:dyDescent="0.25">
      <c r="L3285" s="5"/>
      <c r="M3285" s="5"/>
      <c r="N3285" s="5"/>
      <c r="O3285" s="5"/>
      <c r="P3285" s="5"/>
    </row>
    <row r="3286" spans="12:16" ht="15.75" customHeight="1" x14ac:dyDescent="0.25">
      <c r="L3286" s="5"/>
      <c r="M3286" s="5"/>
      <c r="N3286" s="5"/>
      <c r="O3286" s="5"/>
      <c r="P3286" s="5"/>
    </row>
    <row r="3287" spans="12:16" ht="15.75" customHeight="1" x14ac:dyDescent="0.25">
      <c r="L3287" s="5"/>
      <c r="M3287" s="5"/>
      <c r="N3287" s="5"/>
      <c r="O3287" s="5"/>
      <c r="P3287" s="5"/>
    </row>
    <row r="3288" spans="12:16" ht="15.75" customHeight="1" x14ac:dyDescent="0.25">
      <c r="L3288" s="5"/>
      <c r="M3288" s="5"/>
      <c r="N3288" s="5"/>
      <c r="O3288" s="5"/>
      <c r="P3288" s="5"/>
    </row>
    <row r="3289" spans="12:16" ht="15.75" customHeight="1" x14ac:dyDescent="0.25">
      <c r="L3289" s="5"/>
      <c r="M3289" s="5"/>
      <c r="N3289" s="5"/>
      <c r="O3289" s="5"/>
      <c r="P3289" s="5"/>
    </row>
    <row r="3290" spans="12:16" ht="15.75" customHeight="1" x14ac:dyDescent="0.25">
      <c r="L3290" s="5"/>
      <c r="M3290" s="5"/>
      <c r="N3290" s="5"/>
      <c r="O3290" s="5"/>
      <c r="P3290" s="5"/>
    </row>
    <row r="3291" spans="12:16" ht="15.75" customHeight="1" x14ac:dyDescent="0.25">
      <c r="L3291" s="5"/>
      <c r="M3291" s="5"/>
      <c r="N3291" s="5"/>
      <c r="O3291" s="5"/>
      <c r="P3291" s="5"/>
    </row>
    <row r="3292" spans="12:16" ht="15.75" customHeight="1" x14ac:dyDescent="0.25">
      <c r="L3292" s="5"/>
      <c r="M3292" s="5"/>
      <c r="N3292" s="5"/>
      <c r="O3292" s="5"/>
      <c r="P3292" s="5"/>
    </row>
    <row r="3293" spans="12:16" ht="15.75" customHeight="1" x14ac:dyDescent="0.25">
      <c r="L3293" s="5"/>
      <c r="M3293" s="5"/>
      <c r="N3293" s="5"/>
      <c r="O3293" s="5"/>
      <c r="P3293" s="5"/>
    </row>
    <row r="3294" spans="12:16" ht="15.75" customHeight="1" x14ac:dyDescent="0.25">
      <c r="L3294" s="5"/>
      <c r="M3294" s="5"/>
      <c r="N3294" s="5"/>
      <c r="O3294" s="5"/>
      <c r="P3294" s="5"/>
    </row>
    <row r="3295" spans="12:16" ht="15.75" customHeight="1" x14ac:dyDescent="0.25">
      <c r="L3295" s="5"/>
      <c r="M3295" s="5"/>
      <c r="N3295" s="5"/>
      <c r="O3295" s="5"/>
      <c r="P3295" s="5"/>
    </row>
    <row r="3296" spans="12:16" ht="15.75" customHeight="1" x14ac:dyDescent="0.25">
      <c r="L3296" s="5"/>
      <c r="M3296" s="5"/>
      <c r="N3296" s="5"/>
      <c r="O3296" s="5"/>
      <c r="P3296" s="5"/>
    </row>
    <row r="3297" spans="12:16" ht="15.75" customHeight="1" x14ac:dyDescent="0.25">
      <c r="L3297" s="5"/>
      <c r="M3297" s="5"/>
      <c r="N3297" s="5"/>
      <c r="O3297" s="5"/>
      <c r="P3297" s="5"/>
    </row>
    <row r="3298" spans="12:16" ht="15.75" customHeight="1" x14ac:dyDescent="0.25">
      <c r="L3298" s="5"/>
      <c r="M3298" s="5"/>
      <c r="N3298" s="5"/>
      <c r="O3298" s="5"/>
      <c r="P3298" s="5"/>
    </row>
    <row r="3299" spans="12:16" ht="15.75" customHeight="1" x14ac:dyDescent="0.25">
      <c r="L3299" s="5"/>
      <c r="M3299" s="5"/>
      <c r="N3299" s="5"/>
      <c r="O3299" s="5"/>
      <c r="P3299" s="5"/>
    </row>
    <row r="3300" spans="12:16" ht="15.75" customHeight="1" x14ac:dyDescent="0.25">
      <c r="L3300" s="5"/>
      <c r="M3300" s="5"/>
      <c r="N3300" s="5"/>
      <c r="O3300" s="5"/>
      <c r="P3300" s="5"/>
    </row>
    <row r="3301" spans="12:16" ht="15.75" customHeight="1" x14ac:dyDescent="0.25">
      <c r="L3301" s="5"/>
      <c r="M3301" s="5"/>
      <c r="N3301" s="5"/>
      <c r="O3301" s="5"/>
      <c r="P3301" s="5"/>
    </row>
    <row r="3302" spans="12:16" ht="15.75" customHeight="1" x14ac:dyDescent="0.25">
      <c r="L3302" s="5"/>
      <c r="M3302" s="5"/>
      <c r="N3302" s="5"/>
      <c r="O3302" s="5"/>
      <c r="P3302" s="5"/>
    </row>
    <row r="3303" spans="12:16" ht="15.75" customHeight="1" x14ac:dyDescent="0.25">
      <c r="L3303" s="5"/>
      <c r="M3303" s="5"/>
      <c r="N3303" s="5"/>
      <c r="O3303" s="5"/>
      <c r="P3303" s="5"/>
    </row>
    <row r="3304" spans="12:16" ht="15.75" customHeight="1" x14ac:dyDescent="0.25">
      <c r="L3304" s="5"/>
      <c r="M3304" s="5"/>
      <c r="N3304" s="5"/>
      <c r="O3304" s="5"/>
      <c r="P3304" s="5"/>
    </row>
    <row r="3305" spans="12:16" ht="15.75" customHeight="1" x14ac:dyDescent="0.25">
      <c r="L3305" s="5"/>
      <c r="M3305" s="5"/>
      <c r="N3305" s="5"/>
      <c r="O3305" s="5"/>
      <c r="P3305" s="5"/>
    </row>
    <row r="3306" spans="12:16" ht="15.75" customHeight="1" x14ac:dyDescent="0.25">
      <c r="L3306" s="5"/>
      <c r="M3306" s="5"/>
      <c r="N3306" s="5"/>
      <c r="O3306" s="5"/>
      <c r="P3306" s="5"/>
    </row>
    <row r="3307" spans="12:16" ht="15.75" customHeight="1" x14ac:dyDescent="0.25">
      <c r="L3307" s="5"/>
      <c r="M3307" s="5"/>
      <c r="N3307" s="5"/>
      <c r="O3307" s="5"/>
      <c r="P3307" s="5"/>
    </row>
    <row r="3308" spans="12:16" ht="15.75" customHeight="1" x14ac:dyDescent="0.25">
      <c r="L3308" s="5"/>
      <c r="M3308" s="5"/>
      <c r="N3308" s="5"/>
      <c r="O3308" s="5"/>
      <c r="P3308" s="5"/>
    </row>
    <row r="3309" spans="12:16" ht="15.75" customHeight="1" x14ac:dyDescent="0.25">
      <c r="L3309" s="5"/>
      <c r="M3309" s="5"/>
      <c r="N3309" s="5"/>
      <c r="O3309" s="5"/>
      <c r="P3309" s="5"/>
    </row>
    <row r="3310" spans="12:16" ht="15.75" customHeight="1" x14ac:dyDescent="0.25">
      <c r="L3310" s="5"/>
      <c r="M3310" s="5"/>
      <c r="N3310" s="5"/>
      <c r="O3310" s="5"/>
      <c r="P3310" s="5"/>
    </row>
    <row r="3311" spans="12:16" ht="15.75" customHeight="1" x14ac:dyDescent="0.25">
      <c r="L3311" s="5"/>
      <c r="M3311" s="5"/>
      <c r="N3311" s="5"/>
      <c r="O3311" s="5"/>
      <c r="P3311" s="5"/>
    </row>
    <row r="3312" spans="12:16" ht="15.75" customHeight="1" x14ac:dyDescent="0.25">
      <c r="L3312" s="5"/>
      <c r="M3312" s="5"/>
      <c r="N3312" s="5"/>
      <c r="O3312" s="5"/>
      <c r="P3312" s="5"/>
    </row>
    <row r="3313" spans="12:16" ht="15.75" customHeight="1" x14ac:dyDescent="0.25">
      <c r="L3313" s="5"/>
      <c r="M3313" s="5"/>
      <c r="N3313" s="5"/>
      <c r="O3313" s="5"/>
      <c r="P3313" s="5"/>
    </row>
    <row r="3314" spans="12:16" ht="15.75" customHeight="1" x14ac:dyDescent="0.25">
      <c r="L3314" s="5"/>
      <c r="M3314" s="5"/>
      <c r="N3314" s="5"/>
      <c r="O3314" s="5"/>
      <c r="P3314" s="5"/>
    </row>
    <row r="3315" spans="12:16" ht="15.75" customHeight="1" x14ac:dyDescent="0.25">
      <c r="L3315" s="5"/>
      <c r="M3315" s="5"/>
      <c r="N3315" s="5"/>
      <c r="O3315" s="5"/>
      <c r="P3315" s="5"/>
    </row>
    <row r="3316" spans="12:16" ht="15.75" customHeight="1" x14ac:dyDescent="0.25">
      <c r="L3316" s="5"/>
      <c r="M3316" s="5"/>
      <c r="N3316" s="5"/>
      <c r="O3316" s="5"/>
      <c r="P3316" s="5"/>
    </row>
    <row r="3317" spans="12:16" ht="15.75" customHeight="1" x14ac:dyDescent="0.25">
      <c r="L3317" s="5"/>
      <c r="M3317" s="5"/>
      <c r="N3317" s="5"/>
      <c r="O3317" s="5"/>
      <c r="P3317" s="5"/>
    </row>
    <row r="3318" spans="12:16" ht="15.75" customHeight="1" x14ac:dyDescent="0.25">
      <c r="L3318" s="5"/>
      <c r="M3318" s="5"/>
      <c r="N3318" s="5"/>
      <c r="O3318" s="5"/>
      <c r="P3318" s="5"/>
    </row>
    <row r="3319" spans="12:16" ht="15.75" customHeight="1" x14ac:dyDescent="0.25">
      <c r="L3319" s="5"/>
      <c r="M3319" s="5"/>
      <c r="N3319" s="5"/>
      <c r="O3319" s="5"/>
      <c r="P3319" s="5"/>
    </row>
    <row r="3320" spans="12:16" ht="15.75" customHeight="1" x14ac:dyDescent="0.25">
      <c r="L3320" s="5"/>
      <c r="M3320" s="5"/>
      <c r="N3320" s="5"/>
      <c r="O3320" s="5"/>
      <c r="P3320" s="5"/>
    </row>
    <row r="3321" spans="12:16" ht="15.75" customHeight="1" x14ac:dyDescent="0.25">
      <c r="L3321" s="5"/>
      <c r="M3321" s="5"/>
      <c r="N3321" s="5"/>
      <c r="O3321" s="5"/>
      <c r="P3321" s="5"/>
    </row>
    <row r="3322" spans="12:16" ht="15.75" customHeight="1" x14ac:dyDescent="0.25">
      <c r="L3322" s="5"/>
      <c r="M3322" s="5"/>
      <c r="N3322" s="5"/>
      <c r="O3322" s="5"/>
      <c r="P3322" s="5"/>
    </row>
    <row r="3323" spans="12:16" ht="15.75" customHeight="1" x14ac:dyDescent="0.25">
      <c r="L3323" s="5"/>
      <c r="M3323" s="5"/>
      <c r="N3323" s="5"/>
      <c r="O3323" s="5"/>
      <c r="P3323" s="5"/>
    </row>
    <row r="3324" spans="12:16" ht="15.75" customHeight="1" x14ac:dyDescent="0.25">
      <c r="L3324" s="5"/>
      <c r="M3324" s="5"/>
      <c r="N3324" s="5"/>
      <c r="O3324" s="5"/>
      <c r="P3324" s="5"/>
    </row>
    <row r="3325" spans="12:16" ht="15.75" customHeight="1" x14ac:dyDescent="0.25">
      <c r="L3325" s="5"/>
      <c r="M3325" s="5"/>
      <c r="N3325" s="5"/>
      <c r="O3325" s="5"/>
      <c r="P3325" s="5"/>
    </row>
    <row r="3326" spans="12:16" ht="15.75" customHeight="1" x14ac:dyDescent="0.25">
      <c r="L3326" s="5"/>
      <c r="M3326" s="5"/>
      <c r="N3326" s="5"/>
      <c r="O3326" s="5"/>
      <c r="P3326" s="5"/>
    </row>
    <row r="3327" spans="12:16" ht="15.75" customHeight="1" x14ac:dyDescent="0.25">
      <c r="L3327" s="5"/>
      <c r="M3327" s="5"/>
      <c r="N3327" s="5"/>
      <c r="O3327" s="5"/>
      <c r="P3327" s="5"/>
    </row>
    <row r="3328" spans="12:16" ht="15.75" customHeight="1" x14ac:dyDescent="0.25">
      <c r="L3328" s="5"/>
      <c r="M3328" s="5"/>
      <c r="N3328" s="5"/>
      <c r="O3328" s="5"/>
      <c r="P3328" s="5"/>
    </row>
    <row r="3329" spans="12:16" ht="15.75" customHeight="1" x14ac:dyDescent="0.25">
      <c r="L3329" s="5"/>
      <c r="M3329" s="5"/>
      <c r="N3329" s="5"/>
      <c r="O3329" s="5"/>
      <c r="P3329" s="5"/>
    </row>
    <row r="3330" spans="12:16" ht="15.75" customHeight="1" x14ac:dyDescent="0.25">
      <c r="L3330" s="5"/>
      <c r="M3330" s="5"/>
      <c r="N3330" s="5"/>
      <c r="O3330" s="5"/>
      <c r="P3330" s="5"/>
    </row>
    <row r="3331" spans="12:16" ht="15.75" customHeight="1" x14ac:dyDescent="0.25">
      <c r="L3331" s="5"/>
      <c r="M3331" s="5"/>
      <c r="N3331" s="5"/>
      <c r="O3331" s="5"/>
      <c r="P3331" s="5"/>
    </row>
    <row r="3332" spans="12:16" ht="15.75" customHeight="1" x14ac:dyDescent="0.25">
      <c r="L3332" s="5"/>
      <c r="M3332" s="5"/>
      <c r="N3332" s="5"/>
      <c r="O3332" s="5"/>
      <c r="P3332" s="5"/>
    </row>
    <row r="3333" spans="12:16" ht="15.75" customHeight="1" x14ac:dyDescent="0.25">
      <c r="L3333" s="5"/>
      <c r="M3333" s="5"/>
      <c r="N3333" s="5"/>
      <c r="O3333" s="5"/>
      <c r="P3333" s="5"/>
    </row>
    <row r="3334" spans="12:16" ht="15.75" customHeight="1" x14ac:dyDescent="0.25">
      <c r="L3334" s="5"/>
      <c r="M3334" s="5"/>
      <c r="N3334" s="5"/>
      <c r="O3334" s="5"/>
      <c r="P3334" s="5"/>
    </row>
    <row r="3335" spans="12:16" ht="15.75" customHeight="1" x14ac:dyDescent="0.25">
      <c r="L3335" s="5"/>
      <c r="M3335" s="5"/>
      <c r="N3335" s="5"/>
      <c r="O3335" s="5"/>
      <c r="P3335" s="5"/>
    </row>
    <row r="3336" spans="12:16" ht="15.75" customHeight="1" x14ac:dyDescent="0.25">
      <c r="L3336" s="5"/>
      <c r="M3336" s="5"/>
      <c r="N3336" s="5"/>
      <c r="O3336" s="5"/>
      <c r="P3336" s="5"/>
    </row>
    <row r="3337" spans="12:16" ht="15.75" customHeight="1" x14ac:dyDescent="0.25">
      <c r="L3337" s="5"/>
      <c r="M3337" s="5"/>
      <c r="N3337" s="5"/>
      <c r="O3337" s="5"/>
      <c r="P3337" s="5"/>
    </row>
    <row r="3338" spans="12:16" ht="15.75" customHeight="1" x14ac:dyDescent="0.25">
      <c r="L3338" s="5"/>
      <c r="M3338" s="5"/>
      <c r="N3338" s="5"/>
      <c r="O3338" s="5"/>
      <c r="P3338" s="5"/>
    </row>
    <row r="3339" spans="12:16" ht="15.75" customHeight="1" x14ac:dyDescent="0.25">
      <c r="L3339" s="5"/>
      <c r="M3339" s="5"/>
      <c r="N3339" s="5"/>
      <c r="O3339" s="5"/>
      <c r="P3339" s="5"/>
    </row>
    <row r="3340" spans="12:16" ht="15.75" customHeight="1" x14ac:dyDescent="0.25">
      <c r="L3340" s="5"/>
      <c r="M3340" s="5"/>
      <c r="N3340" s="5"/>
      <c r="O3340" s="5"/>
      <c r="P3340" s="5"/>
    </row>
    <row r="3341" spans="12:16" ht="15.75" customHeight="1" x14ac:dyDescent="0.25">
      <c r="L3341" s="5"/>
      <c r="M3341" s="5"/>
      <c r="N3341" s="5"/>
      <c r="O3341" s="5"/>
      <c r="P3341" s="5"/>
    </row>
    <row r="3342" spans="12:16" ht="15.75" customHeight="1" x14ac:dyDescent="0.25">
      <c r="L3342" s="5"/>
      <c r="M3342" s="5"/>
      <c r="N3342" s="5"/>
      <c r="O3342" s="5"/>
      <c r="P3342" s="5"/>
    </row>
    <row r="3343" spans="12:16" ht="15.75" customHeight="1" x14ac:dyDescent="0.25">
      <c r="L3343" s="5"/>
      <c r="M3343" s="5"/>
      <c r="N3343" s="5"/>
      <c r="O3343" s="5"/>
      <c r="P3343" s="5"/>
    </row>
    <row r="3344" spans="12:16" ht="15.75" customHeight="1" x14ac:dyDescent="0.25">
      <c r="L3344" s="5"/>
      <c r="M3344" s="5"/>
      <c r="N3344" s="5"/>
      <c r="O3344" s="5"/>
      <c r="P3344" s="5"/>
    </row>
    <row r="3345" spans="12:16" ht="15.75" customHeight="1" x14ac:dyDescent="0.25">
      <c r="L3345" s="5"/>
      <c r="M3345" s="5"/>
      <c r="N3345" s="5"/>
      <c r="O3345" s="5"/>
      <c r="P3345" s="5"/>
    </row>
    <row r="3346" spans="12:16" ht="15.75" customHeight="1" x14ac:dyDescent="0.25">
      <c r="L3346" s="5"/>
      <c r="M3346" s="5"/>
      <c r="N3346" s="5"/>
      <c r="O3346" s="5"/>
      <c r="P3346" s="5"/>
    </row>
    <row r="3347" spans="12:16" ht="15.75" customHeight="1" x14ac:dyDescent="0.25">
      <c r="L3347" s="5"/>
      <c r="M3347" s="5"/>
      <c r="N3347" s="5"/>
      <c r="O3347" s="5"/>
      <c r="P3347" s="5"/>
    </row>
    <row r="3348" spans="12:16" ht="15.75" customHeight="1" x14ac:dyDescent="0.25">
      <c r="L3348" s="5"/>
      <c r="M3348" s="5"/>
      <c r="N3348" s="5"/>
      <c r="O3348" s="5"/>
      <c r="P3348" s="5"/>
    </row>
    <row r="3349" spans="12:16" ht="15.75" customHeight="1" x14ac:dyDescent="0.25">
      <c r="L3349" s="5"/>
      <c r="M3349" s="5"/>
      <c r="N3349" s="5"/>
      <c r="O3349" s="5"/>
      <c r="P3349" s="5"/>
    </row>
    <row r="3350" spans="12:16" ht="15.75" customHeight="1" x14ac:dyDescent="0.25">
      <c r="L3350" s="5"/>
      <c r="M3350" s="5"/>
      <c r="N3350" s="5"/>
      <c r="O3350" s="5"/>
      <c r="P3350" s="5"/>
    </row>
    <row r="3351" spans="12:16" ht="15.75" customHeight="1" x14ac:dyDescent="0.25">
      <c r="L3351" s="5"/>
      <c r="M3351" s="5"/>
      <c r="N3351" s="5"/>
      <c r="O3351" s="5"/>
      <c r="P3351" s="5"/>
    </row>
    <row r="3352" spans="12:16" ht="15.75" customHeight="1" x14ac:dyDescent="0.25">
      <c r="L3352" s="5"/>
      <c r="M3352" s="5"/>
      <c r="N3352" s="5"/>
      <c r="O3352" s="5"/>
      <c r="P3352" s="5"/>
    </row>
    <row r="3353" spans="12:16" ht="15.75" customHeight="1" x14ac:dyDescent="0.25">
      <c r="L3353" s="5"/>
      <c r="M3353" s="5"/>
      <c r="N3353" s="5"/>
      <c r="O3353" s="5"/>
      <c r="P3353" s="5"/>
    </row>
    <row r="3354" spans="12:16" ht="15.75" customHeight="1" x14ac:dyDescent="0.25">
      <c r="L3354" s="5"/>
      <c r="M3354" s="5"/>
      <c r="N3354" s="5"/>
      <c r="O3354" s="5"/>
      <c r="P3354" s="5"/>
    </row>
    <row r="3355" spans="12:16" ht="15.75" customHeight="1" x14ac:dyDescent="0.25">
      <c r="L3355" s="5"/>
      <c r="M3355" s="5"/>
      <c r="N3355" s="5"/>
      <c r="O3355" s="5"/>
      <c r="P3355" s="5"/>
    </row>
    <row r="3356" spans="12:16" ht="15.75" customHeight="1" x14ac:dyDescent="0.25">
      <c r="L3356" s="5"/>
      <c r="M3356" s="5"/>
      <c r="N3356" s="5"/>
      <c r="O3356" s="5"/>
      <c r="P3356" s="5"/>
    </row>
    <row r="3357" spans="12:16" ht="15.75" customHeight="1" x14ac:dyDescent="0.25">
      <c r="L3357" s="5"/>
      <c r="M3357" s="5"/>
      <c r="N3357" s="5"/>
      <c r="O3357" s="5"/>
      <c r="P3357" s="5"/>
    </row>
    <row r="3358" spans="12:16" ht="15.75" customHeight="1" x14ac:dyDescent="0.25">
      <c r="L3358" s="5"/>
      <c r="M3358" s="5"/>
      <c r="N3358" s="5"/>
      <c r="O3358" s="5"/>
      <c r="P3358" s="5"/>
    </row>
    <row r="3359" spans="12:16" ht="15.75" customHeight="1" x14ac:dyDescent="0.25">
      <c r="L3359" s="5"/>
      <c r="M3359" s="5"/>
      <c r="N3359" s="5"/>
      <c r="O3359" s="5"/>
      <c r="P3359" s="5"/>
    </row>
    <row r="3360" spans="12:16" ht="15.75" customHeight="1" x14ac:dyDescent="0.25">
      <c r="L3360" s="5"/>
      <c r="M3360" s="5"/>
      <c r="N3360" s="5"/>
      <c r="O3360" s="5"/>
      <c r="P3360" s="5"/>
    </row>
    <row r="3361" spans="12:16" ht="15.75" customHeight="1" x14ac:dyDescent="0.25">
      <c r="L3361" s="5"/>
      <c r="M3361" s="5"/>
      <c r="N3361" s="5"/>
      <c r="O3361" s="5"/>
      <c r="P3361" s="5"/>
    </row>
    <row r="3362" spans="12:16" ht="15.75" customHeight="1" x14ac:dyDescent="0.25">
      <c r="L3362" s="5"/>
      <c r="M3362" s="5"/>
      <c r="N3362" s="5"/>
      <c r="O3362" s="5"/>
      <c r="P3362" s="5"/>
    </row>
    <row r="3363" spans="12:16" ht="15.75" customHeight="1" x14ac:dyDescent="0.25">
      <c r="L3363" s="5"/>
      <c r="M3363" s="5"/>
      <c r="N3363" s="5"/>
      <c r="O3363" s="5"/>
      <c r="P3363" s="5"/>
    </row>
    <row r="3364" spans="12:16" ht="15.75" customHeight="1" x14ac:dyDescent="0.25">
      <c r="L3364" s="5"/>
      <c r="M3364" s="5"/>
      <c r="N3364" s="5"/>
      <c r="O3364" s="5"/>
      <c r="P3364" s="5"/>
    </row>
    <row r="3365" spans="12:16" ht="15.75" customHeight="1" x14ac:dyDescent="0.25">
      <c r="L3365" s="5"/>
      <c r="M3365" s="5"/>
      <c r="N3365" s="5"/>
      <c r="O3365" s="5"/>
      <c r="P3365" s="5"/>
    </row>
    <row r="3366" spans="12:16" ht="15.75" customHeight="1" x14ac:dyDescent="0.25">
      <c r="L3366" s="5"/>
      <c r="M3366" s="5"/>
      <c r="N3366" s="5"/>
      <c r="O3366" s="5"/>
      <c r="P3366" s="5"/>
    </row>
    <row r="3367" spans="12:16" ht="15.75" customHeight="1" x14ac:dyDescent="0.25">
      <c r="L3367" s="5"/>
      <c r="M3367" s="5"/>
      <c r="N3367" s="5"/>
      <c r="O3367" s="5"/>
      <c r="P3367" s="5"/>
    </row>
    <row r="3368" spans="12:16" ht="15.75" customHeight="1" x14ac:dyDescent="0.25">
      <c r="L3368" s="5"/>
      <c r="M3368" s="5"/>
      <c r="N3368" s="5"/>
      <c r="O3368" s="5"/>
      <c r="P3368" s="5"/>
    </row>
    <row r="3369" spans="12:16" ht="15.75" customHeight="1" x14ac:dyDescent="0.25">
      <c r="L3369" s="5"/>
      <c r="M3369" s="5"/>
      <c r="N3369" s="5"/>
      <c r="O3369" s="5"/>
      <c r="P3369" s="5"/>
    </row>
    <row r="3370" spans="12:16" ht="15.75" customHeight="1" x14ac:dyDescent="0.25">
      <c r="L3370" s="5"/>
      <c r="M3370" s="5"/>
      <c r="N3370" s="5"/>
      <c r="O3370" s="5"/>
      <c r="P3370" s="5"/>
    </row>
    <row r="3371" spans="12:16" ht="15.75" customHeight="1" x14ac:dyDescent="0.25">
      <c r="L3371" s="5"/>
      <c r="M3371" s="5"/>
      <c r="N3371" s="5"/>
      <c r="O3371" s="5"/>
      <c r="P3371" s="5"/>
    </row>
    <row r="3372" spans="12:16" ht="15.75" customHeight="1" x14ac:dyDescent="0.25">
      <c r="L3372" s="5"/>
      <c r="M3372" s="5"/>
      <c r="N3372" s="5"/>
      <c r="O3372" s="5"/>
      <c r="P3372" s="5"/>
    </row>
    <row r="3373" spans="12:16" ht="15.75" customHeight="1" x14ac:dyDescent="0.25">
      <c r="L3373" s="5"/>
      <c r="M3373" s="5"/>
      <c r="N3373" s="5"/>
      <c r="O3373" s="5"/>
      <c r="P3373" s="5"/>
    </row>
    <row r="3374" spans="12:16" ht="15.75" customHeight="1" x14ac:dyDescent="0.25">
      <c r="L3374" s="5"/>
      <c r="M3374" s="5"/>
      <c r="N3374" s="5"/>
      <c r="O3374" s="5"/>
      <c r="P3374" s="5"/>
    </row>
    <row r="3375" spans="12:16" ht="15.75" customHeight="1" x14ac:dyDescent="0.25">
      <c r="L3375" s="5"/>
      <c r="M3375" s="5"/>
      <c r="N3375" s="5"/>
      <c r="O3375" s="5"/>
      <c r="P3375" s="5"/>
    </row>
    <row r="3376" spans="12:16" ht="15.75" customHeight="1" x14ac:dyDescent="0.25">
      <c r="L3376" s="5"/>
      <c r="M3376" s="5"/>
      <c r="N3376" s="5"/>
      <c r="O3376" s="5"/>
      <c r="P3376" s="5"/>
    </row>
    <row r="3377" spans="12:16" ht="15.75" customHeight="1" x14ac:dyDescent="0.25">
      <c r="L3377" s="5"/>
      <c r="M3377" s="5"/>
      <c r="N3377" s="5"/>
      <c r="O3377" s="5"/>
      <c r="P3377" s="5"/>
    </row>
    <row r="3378" spans="12:16" ht="15.75" customHeight="1" x14ac:dyDescent="0.25">
      <c r="L3378" s="5"/>
      <c r="M3378" s="5"/>
      <c r="N3378" s="5"/>
      <c r="O3378" s="5"/>
      <c r="P3378" s="5"/>
    </row>
    <row r="3379" spans="12:16" ht="15.75" customHeight="1" x14ac:dyDescent="0.25">
      <c r="L3379" s="5"/>
      <c r="M3379" s="5"/>
      <c r="N3379" s="5"/>
      <c r="O3379" s="5"/>
      <c r="P3379" s="5"/>
    </row>
    <row r="3380" spans="12:16" ht="15.75" customHeight="1" x14ac:dyDescent="0.25">
      <c r="L3380" s="5"/>
      <c r="M3380" s="5"/>
      <c r="N3380" s="5"/>
      <c r="O3380" s="5"/>
      <c r="P3380" s="5"/>
    </row>
    <row r="3381" spans="12:16" ht="15.75" customHeight="1" x14ac:dyDescent="0.25">
      <c r="L3381" s="5"/>
      <c r="M3381" s="5"/>
      <c r="N3381" s="5"/>
      <c r="O3381" s="5"/>
      <c r="P3381" s="5"/>
    </row>
    <row r="3382" spans="12:16" ht="15.75" customHeight="1" x14ac:dyDescent="0.25">
      <c r="L3382" s="5"/>
      <c r="M3382" s="5"/>
      <c r="N3382" s="5"/>
      <c r="O3382" s="5"/>
      <c r="P3382" s="5"/>
    </row>
    <row r="3383" spans="12:16" ht="15.75" customHeight="1" x14ac:dyDescent="0.25">
      <c r="L3383" s="5"/>
      <c r="M3383" s="5"/>
      <c r="N3383" s="5"/>
      <c r="O3383" s="5"/>
      <c r="P3383" s="5"/>
    </row>
    <row r="3384" spans="12:16" ht="15.75" customHeight="1" x14ac:dyDescent="0.25">
      <c r="L3384" s="5"/>
      <c r="M3384" s="5"/>
      <c r="N3384" s="5"/>
      <c r="O3384" s="5"/>
      <c r="P3384" s="5"/>
    </row>
    <row r="3385" spans="12:16" ht="15.75" customHeight="1" x14ac:dyDescent="0.25">
      <c r="L3385" s="5"/>
      <c r="M3385" s="5"/>
      <c r="N3385" s="5"/>
      <c r="O3385" s="5"/>
      <c r="P3385" s="5"/>
    </row>
    <row r="3386" spans="12:16" ht="15.75" customHeight="1" x14ac:dyDescent="0.25">
      <c r="L3386" s="5"/>
      <c r="M3386" s="5"/>
      <c r="N3386" s="5"/>
      <c r="O3386" s="5"/>
      <c r="P3386" s="5"/>
    </row>
    <row r="3387" spans="12:16" ht="15.75" customHeight="1" x14ac:dyDescent="0.25">
      <c r="L3387" s="5"/>
      <c r="M3387" s="5"/>
      <c r="N3387" s="5"/>
      <c r="O3387" s="5"/>
      <c r="P3387" s="5"/>
    </row>
    <row r="3388" spans="12:16" ht="15.75" customHeight="1" x14ac:dyDescent="0.25">
      <c r="L3388" s="5"/>
      <c r="M3388" s="5"/>
      <c r="N3388" s="5"/>
      <c r="O3388" s="5"/>
      <c r="P3388" s="5"/>
    </row>
    <row r="3389" spans="12:16" ht="15.75" customHeight="1" x14ac:dyDescent="0.25">
      <c r="L3389" s="5"/>
      <c r="M3389" s="5"/>
      <c r="N3389" s="5"/>
      <c r="O3389" s="5"/>
      <c r="P3389" s="5"/>
    </row>
    <row r="3390" spans="12:16" ht="15.75" customHeight="1" x14ac:dyDescent="0.25">
      <c r="L3390" s="5"/>
      <c r="M3390" s="5"/>
      <c r="N3390" s="5"/>
      <c r="O3390" s="5"/>
      <c r="P3390" s="5"/>
    </row>
    <row r="3391" spans="12:16" ht="15.75" customHeight="1" x14ac:dyDescent="0.25">
      <c r="L3391" s="5"/>
      <c r="M3391" s="5"/>
      <c r="N3391" s="5"/>
      <c r="O3391" s="5"/>
      <c r="P3391" s="5"/>
    </row>
    <row r="3392" spans="12:16" ht="15.75" customHeight="1" x14ac:dyDescent="0.25">
      <c r="L3392" s="5"/>
      <c r="M3392" s="5"/>
      <c r="N3392" s="5"/>
      <c r="O3392" s="5"/>
      <c r="P3392" s="5"/>
    </row>
    <row r="3393" spans="12:16" ht="15.75" customHeight="1" x14ac:dyDescent="0.25">
      <c r="L3393" s="5"/>
      <c r="M3393" s="5"/>
      <c r="N3393" s="5"/>
      <c r="O3393" s="5"/>
      <c r="P3393" s="5"/>
    </row>
    <row r="3394" spans="12:16" ht="15.75" customHeight="1" x14ac:dyDescent="0.25">
      <c r="L3394" s="5"/>
      <c r="M3394" s="5"/>
      <c r="N3394" s="5"/>
      <c r="O3394" s="5"/>
      <c r="P3394" s="5"/>
    </row>
    <row r="3395" spans="12:16" ht="15.75" customHeight="1" x14ac:dyDescent="0.25">
      <c r="L3395" s="5"/>
      <c r="M3395" s="5"/>
      <c r="N3395" s="5"/>
      <c r="O3395" s="5"/>
      <c r="P3395" s="5"/>
    </row>
    <row r="3396" spans="12:16" ht="15.75" customHeight="1" x14ac:dyDescent="0.25">
      <c r="L3396" s="5"/>
      <c r="M3396" s="5"/>
      <c r="N3396" s="5"/>
      <c r="O3396" s="5"/>
      <c r="P3396" s="5"/>
    </row>
    <row r="3397" spans="12:16" ht="15.75" customHeight="1" x14ac:dyDescent="0.25">
      <c r="L3397" s="5"/>
      <c r="M3397" s="5"/>
      <c r="N3397" s="5"/>
      <c r="O3397" s="5"/>
      <c r="P3397" s="5"/>
    </row>
    <row r="3398" spans="12:16" ht="15.75" customHeight="1" x14ac:dyDescent="0.25">
      <c r="L3398" s="5"/>
      <c r="M3398" s="5"/>
      <c r="N3398" s="5"/>
      <c r="O3398" s="5"/>
      <c r="P3398" s="5"/>
    </row>
    <row r="3399" spans="12:16" ht="15.75" customHeight="1" x14ac:dyDescent="0.25">
      <c r="L3399" s="5"/>
      <c r="M3399" s="5"/>
      <c r="N3399" s="5"/>
      <c r="O3399" s="5"/>
      <c r="P3399" s="5"/>
    </row>
    <row r="3400" spans="12:16" ht="15.75" customHeight="1" x14ac:dyDescent="0.25">
      <c r="L3400" s="5"/>
      <c r="M3400" s="5"/>
      <c r="N3400" s="5"/>
      <c r="O3400" s="5"/>
      <c r="P3400" s="5"/>
    </row>
    <row r="3401" spans="12:16" ht="15.75" customHeight="1" x14ac:dyDescent="0.25">
      <c r="L3401" s="5"/>
      <c r="M3401" s="5"/>
      <c r="N3401" s="5"/>
      <c r="O3401" s="5"/>
      <c r="P3401" s="5"/>
    </row>
    <row r="3402" spans="12:16" ht="15.75" customHeight="1" x14ac:dyDescent="0.25">
      <c r="L3402" s="5"/>
      <c r="M3402" s="5"/>
      <c r="N3402" s="5"/>
      <c r="O3402" s="5"/>
      <c r="P3402" s="5"/>
    </row>
    <row r="3403" spans="12:16" ht="15.75" customHeight="1" x14ac:dyDescent="0.25">
      <c r="L3403" s="5"/>
      <c r="M3403" s="5"/>
      <c r="N3403" s="5"/>
      <c r="O3403" s="5"/>
      <c r="P3403" s="5"/>
    </row>
    <row r="3404" spans="12:16" ht="15.75" customHeight="1" x14ac:dyDescent="0.25">
      <c r="L3404" s="5"/>
      <c r="M3404" s="5"/>
      <c r="N3404" s="5"/>
      <c r="O3404" s="5"/>
      <c r="P3404" s="5"/>
    </row>
    <row r="3405" spans="12:16" ht="15.75" customHeight="1" x14ac:dyDescent="0.25">
      <c r="L3405" s="5"/>
      <c r="M3405" s="5"/>
      <c r="N3405" s="5"/>
      <c r="O3405" s="5"/>
      <c r="P3405" s="5"/>
    </row>
    <row r="3406" spans="12:16" ht="15.75" customHeight="1" x14ac:dyDescent="0.25">
      <c r="L3406" s="5"/>
      <c r="M3406" s="5"/>
      <c r="N3406" s="5"/>
      <c r="O3406" s="5"/>
      <c r="P3406" s="5"/>
    </row>
    <row r="3407" spans="12:16" ht="15.75" customHeight="1" x14ac:dyDescent="0.25">
      <c r="L3407" s="5"/>
      <c r="M3407" s="5"/>
      <c r="N3407" s="5"/>
      <c r="O3407" s="5"/>
      <c r="P3407" s="5"/>
    </row>
    <row r="3408" spans="12:16" ht="15.75" customHeight="1" x14ac:dyDescent="0.25">
      <c r="L3408" s="5"/>
      <c r="M3408" s="5"/>
      <c r="N3408" s="5"/>
      <c r="O3408" s="5"/>
      <c r="P3408" s="5"/>
    </row>
    <row r="3409" spans="12:16" ht="15.75" customHeight="1" x14ac:dyDescent="0.25">
      <c r="L3409" s="5"/>
      <c r="M3409" s="5"/>
      <c r="N3409" s="5"/>
      <c r="O3409" s="5"/>
      <c r="P3409" s="5"/>
    </row>
    <row r="3410" spans="12:16" ht="15.75" customHeight="1" x14ac:dyDescent="0.25">
      <c r="L3410" s="5"/>
      <c r="M3410" s="5"/>
      <c r="N3410" s="5"/>
      <c r="O3410" s="5"/>
      <c r="P3410" s="5"/>
    </row>
    <row r="3411" spans="12:16" ht="15.75" customHeight="1" x14ac:dyDescent="0.25">
      <c r="L3411" s="5"/>
      <c r="M3411" s="5"/>
      <c r="N3411" s="5"/>
      <c r="O3411" s="5"/>
      <c r="P3411" s="5"/>
    </row>
    <row r="3412" spans="12:16" ht="15.75" customHeight="1" x14ac:dyDescent="0.25">
      <c r="L3412" s="5"/>
      <c r="M3412" s="5"/>
      <c r="N3412" s="5"/>
      <c r="O3412" s="5"/>
      <c r="P3412" s="5"/>
    </row>
    <row r="3413" spans="12:16" ht="15.75" customHeight="1" x14ac:dyDescent="0.25">
      <c r="L3413" s="5"/>
      <c r="M3413" s="5"/>
      <c r="N3413" s="5"/>
      <c r="O3413" s="5"/>
      <c r="P3413" s="5"/>
    </row>
    <row r="3414" spans="12:16" ht="15.75" customHeight="1" x14ac:dyDescent="0.25">
      <c r="L3414" s="5"/>
      <c r="M3414" s="5"/>
      <c r="N3414" s="5"/>
      <c r="O3414" s="5"/>
      <c r="P3414" s="5"/>
    </row>
    <row r="3415" spans="12:16" ht="15.75" customHeight="1" x14ac:dyDescent="0.25">
      <c r="L3415" s="5"/>
      <c r="M3415" s="5"/>
      <c r="N3415" s="5"/>
      <c r="O3415" s="5"/>
      <c r="P3415" s="5"/>
    </row>
    <row r="3416" spans="12:16" ht="15.75" customHeight="1" x14ac:dyDescent="0.25">
      <c r="L3416" s="5"/>
      <c r="M3416" s="5"/>
      <c r="N3416" s="5"/>
      <c r="O3416" s="5"/>
      <c r="P3416" s="5"/>
    </row>
    <row r="3417" spans="12:16" ht="15.75" customHeight="1" x14ac:dyDescent="0.25">
      <c r="L3417" s="5"/>
      <c r="M3417" s="5"/>
      <c r="N3417" s="5"/>
      <c r="O3417" s="5"/>
      <c r="P3417" s="5"/>
    </row>
    <row r="3418" spans="12:16" ht="15.75" customHeight="1" x14ac:dyDescent="0.25">
      <c r="L3418" s="5"/>
      <c r="M3418" s="5"/>
      <c r="N3418" s="5"/>
      <c r="O3418" s="5"/>
      <c r="P3418" s="5"/>
    </row>
    <row r="3419" spans="12:16" ht="15.75" customHeight="1" x14ac:dyDescent="0.25">
      <c r="L3419" s="5"/>
      <c r="M3419" s="5"/>
      <c r="N3419" s="5"/>
      <c r="O3419" s="5"/>
      <c r="P3419" s="5"/>
    </row>
    <row r="3420" spans="12:16" ht="15.75" customHeight="1" x14ac:dyDescent="0.25">
      <c r="L3420" s="5"/>
      <c r="M3420" s="5"/>
      <c r="N3420" s="5"/>
      <c r="O3420" s="5"/>
      <c r="P3420" s="5"/>
    </row>
    <row r="3421" spans="12:16" ht="15.75" customHeight="1" x14ac:dyDescent="0.25">
      <c r="L3421" s="5"/>
      <c r="M3421" s="5"/>
      <c r="N3421" s="5"/>
      <c r="O3421" s="5"/>
      <c r="P3421" s="5"/>
    </row>
    <row r="3422" spans="12:16" ht="15.75" customHeight="1" x14ac:dyDescent="0.25">
      <c r="L3422" s="5"/>
      <c r="M3422" s="5"/>
      <c r="N3422" s="5"/>
      <c r="O3422" s="5"/>
      <c r="P3422" s="5"/>
    </row>
    <row r="3423" spans="12:16" ht="15.75" customHeight="1" x14ac:dyDescent="0.25">
      <c r="L3423" s="5"/>
      <c r="M3423" s="5"/>
      <c r="N3423" s="5"/>
      <c r="O3423" s="5"/>
      <c r="P3423" s="5"/>
    </row>
    <row r="3424" spans="12:16" ht="15.75" customHeight="1" x14ac:dyDescent="0.25">
      <c r="L3424" s="5"/>
      <c r="M3424" s="5"/>
      <c r="N3424" s="5"/>
      <c r="O3424" s="5"/>
      <c r="P3424" s="5"/>
    </row>
    <row r="3425" spans="12:16" ht="15.75" customHeight="1" x14ac:dyDescent="0.25">
      <c r="L3425" s="5"/>
      <c r="M3425" s="5"/>
      <c r="N3425" s="5"/>
      <c r="O3425" s="5"/>
      <c r="P3425" s="5"/>
    </row>
    <row r="3426" spans="12:16" ht="15.75" customHeight="1" x14ac:dyDescent="0.25">
      <c r="L3426" s="5"/>
      <c r="M3426" s="5"/>
      <c r="N3426" s="5"/>
      <c r="O3426" s="5"/>
      <c r="P3426" s="5"/>
    </row>
    <row r="3427" spans="12:16" ht="15.75" customHeight="1" x14ac:dyDescent="0.25">
      <c r="L3427" s="5"/>
      <c r="M3427" s="5"/>
      <c r="N3427" s="5"/>
      <c r="O3427" s="5"/>
      <c r="P3427" s="5"/>
    </row>
    <row r="3428" spans="12:16" ht="15.75" customHeight="1" x14ac:dyDescent="0.25">
      <c r="L3428" s="5"/>
      <c r="M3428" s="5"/>
      <c r="N3428" s="5"/>
      <c r="O3428" s="5"/>
      <c r="P3428" s="5"/>
    </row>
    <row r="3429" spans="12:16" ht="15.75" customHeight="1" x14ac:dyDescent="0.25">
      <c r="L3429" s="5"/>
      <c r="M3429" s="5"/>
      <c r="N3429" s="5"/>
      <c r="O3429" s="5"/>
      <c r="P3429" s="5"/>
    </row>
    <row r="3430" spans="12:16" ht="15.75" customHeight="1" x14ac:dyDescent="0.25">
      <c r="L3430" s="5"/>
      <c r="M3430" s="5"/>
      <c r="N3430" s="5"/>
      <c r="O3430" s="5"/>
      <c r="P3430" s="5"/>
    </row>
    <row r="3431" spans="12:16" ht="15.75" customHeight="1" x14ac:dyDescent="0.25">
      <c r="L3431" s="5"/>
      <c r="M3431" s="5"/>
      <c r="N3431" s="5"/>
      <c r="O3431" s="5"/>
      <c r="P3431" s="5"/>
    </row>
    <row r="3432" spans="12:16" ht="15.75" customHeight="1" x14ac:dyDescent="0.25">
      <c r="L3432" s="5"/>
      <c r="M3432" s="5"/>
      <c r="N3432" s="5"/>
      <c r="O3432" s="5"/>
      <c r="P3432" s="5"/>
    </row>
    <row r="3433" spans="12:16" ht="15.75" customHeight="1" x14ac:dyDescent="0.25">
      <c r="L3433" s="5"/>
      <c r="M3433" s="5"/>
      <c r="N3433" s="5"/>
      <c r="O3433" s="5"/>
      <c r="P3433" s="5"/>
    </row>
    <row r="3434" spans="12:16" ht="15.75" customHeight="1" x14ac:dyDescent="0.25">
      <c r="L3434" s="5"/>
      <c r="M3434" s="5"/>
      <c r="N3434" s="5"/>
      <c r="O3434" s="5"/>
      <c r="P3434" s="5"/>
    </row>
    <row r="3435" spans="12:16" ht="15.75" customHeight="1" x14ac:dyDescent="0.25">
      <c r="L3435" s="5"/>
      <c r="M3435" s="5"/>
      <c r="N3435" s="5"/>
      <c r="O3435" s="5"/>
      <c r="P3435" s="5"/>
    </row>
    <row r="3436" spans="12:16" ht="15.75" customHeight="1" x14ac:dyDescent="0.25">
      <c r="L3436" s="5"/>
      <c r="M3436" s="5"/>
      <c r="N3436" s="5"/>
      <c r="O3436" s="5"/>
      <c r="P3436" s="5"/>
    </row>
    <row r="3437" spans="12:16" ht="15.75" customHeight="1" x14ac:dyDescent="0.25">
      <c r="L3437" s="5"/>
      <c r="M3437" s="5"/>
      <c r="N3437" s="5"/>
      <c r="O3437" s="5"/>
      <c r="P3437" s="5"/>
    </row>
    <row r="3438" spans="12:16" ht="15.75" customHeight="1" x14ac:dyDescent="0.25">
      <c r="L3438" s="5"/>
      <c r="M3438" s="5"/>
      <c r="N3438" s="5"/>
      <c r="O3438" s="5"/>
      <c r="P3438" s="5"/>
    </row>
    <row r="3439" spans="12:16" ht="15.75" customHeight="1" x14ac:dyDescent="0.25">
      <c r="L3439" s="5"/>
      <c r="M3439" s="5"/>
      <c r="N3439" s="5"/>
      <c r="O3439" s="5"/>
      <c r="P3439" s="5"/>
    </row>
    <row r="3440" spans="12:16" ht="15.75" customHeight="1" x14ac:dyDescent="0.25">
      <c r="L3440" s="5"/>
      <c r="M3440" s="5"/>
      <c r="N3440" s="5"/>
      <c r="O3440" s="5"/>
      <c r="P3440" s="5"/>
    </row>
    <row r="3441" spans="12:16" ht="15.75" customHeight="1" x14ac:dyDescent="0.25">
      <c r="L3441" s="5"/>
      <c r="M3441" s="5"/>
      <c r="N3441" s="5"/>
      <c r="O3441" s="5"/>
      <c r="P3441" s="5"/>
    </row>
  </sheetData>
  <mergeCells count="2">
    <mergeCell ref="Y5:Z5"/>
    <mergeCell ref="X2:Z2"/>
  </mergeCells>
  <conditionalFormatting sqref="A2:Q2 R2:V301 E3:N14 Q3:Q63 A3:D301 O3:P301 J15:N16 E15:I17 J17 K17:N301 E18:J301">
    <cfRule type="expression" dxfId="1" priority="10">
      <formula>$G2=#REF!</formula>
    </cfRule>
  </conditionalFormatting>
  <conditionalFormatting sqref="Q64:Q301 U64:U301">
    <cfRule type="expression" dxfId="0" priority="1">
      <formula>$F64=#REF!</formula>
    </cfRule>
  </conditionalFormatting>
  <printOptions horizontalCentered="1"/>
  <pageMargins left="0.70866141732283472" right="0.70866141732283472" top="0.74803149606299213" bottom="0.74803149606299213" header="0.31496062992125984" footer="0.31496062992125984"/>
  <pageSetup paperSize="9" orientation="landscape"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351EA-CB0D-4E1A-9F2F-A3005196A67B}">
  <dimension ref="A1:F20"/>
  <sheetViews>
    <sheetView workbookViewId="0">
      <selection activeCell="B4" sqref="B4"/>
    </sheetView>
  </sheetViews>
  <sheetFormatPr defaultRowHeight="15" x14ac:dyDescent="0.2"/>
  <cols>
    <col min="1" max="1" width="2.875" style="28" bestFit="1" customWidth="1"/>
    <col min="2" max="2" width="45.25" style="28" bestFit="1" customWidth="1"/>
  </cols>
  <sheetData>
    <row r="1" spans="1:6" x14ac:dyDescent="0.2">
      <c r="A1" s="45" t="s">
        <v>796</v>
      </c>
      <c r="B1" s="45"/>
    </row>
    <row r="2" spans="1:6" x14ac:dyDescent="0.2">
      <c r="A2" s="28">
        <v>1</v>
      </c>
      <c r="B2" s="28" t="s">
        <v>797</v>
      </c>
    </row>
    <row r="3" spans="1:6" x14ac:dyDescent="0.2">
      <c r="A3" s="28">
        <v>2</v>
      </c>
      <c r="B3" s="28" t="s">
        <v>798</v>
      </c>
    </row>
    <row r="4" spans="1:6" x14ac:dyDescent="0.2">
      <c r="A4" s="28">
        <v>3</v>
      </c>
      <c r="B4" s="28" t="s">
        <v>799</v>
      </c>
    </row>
    <row r="5" spans="1:6" x14ac:dyDescent="0.2">
      <c r="A5" s="28">
        <v>4</v>
      </c>
      <c r="B5" s="28" t="s">
        <v>800</v>
      </c>
    </row>
    <row r="6" spans="1:6" x14ac:dyDescent="0.2">
      <c r="A6" s="28">
        <v>5</v>
      </c>
      <c r="B6" s="28" t="s">
        <v>801</v>
      </c>
    </row>
    <row r="7" spans="1:6" x14ac:dyDescent="0.2">
      <c r="A7" s="28">
        <v>6</v>
      </c>
      <c r="B7" s="28" t="s">
        <v>802</v>
      </c>
    </row>
    <row r="8" spans="1:6" x14ac:dyDescent="0.2">
      <c r="A8" s="28">
        <v>7</v>
      </c>
      <c r="B8" s="28" t="s">
        <v>805</v>
      </c>
    </row>
    <row r="9" spans="1:6" x14ac:dyDescent="0.2">
      <c r="A9" s="28">
        <v>8</v>
      </c>
      <c r="B9" s="28" t="s">
        <v>803</v>
      </c>
      <c r="E9" t="s">
        <v>2</v>
      </c>
      <c r="F9" t="s">
        <v>1109</v>
      </c>
    </row>
    <row r="10" spans="1:6" x14ac:dyDescent="0.2">
      <c r="A10" s="28">
        <v>9</v>
      </c>
      <c r="B10" s="28" t="s">
        <v>804</v>
      </c>
      <c r="E10" t="s">
        <v>16</v>
      </c>
      <c r="F10">
        <v>99</v>
      </c>
    </row>
    <row r="11" spans="1:6" x14ac:dyDescent="0.2">
      <c r="A11" s="28">
        <v>10</v>
      </c>
      <c r="B11" s="28" t="s">
        <v>806</v>
      </c>
      <c r="E11" t="s">
        <v>18</v>
      </c>
      <c r="F11">
        <v>53</v>
      </c>
    </row>
    <row r="12" spans="1:6" x14ac:dyDescent="0.2">
      <c r="B12" s="28" t="s">
        <v>807</v>
      </c>
      <c r="E12" t="s">
        <v>13</v>
      </c>
      <c r="F12">
        <v>72</v>
      </c>
    </row>
    <row r="13" spans="1:6" x14ac:dyDescent="0.2">
      <c r="E13" t="s">
        <v>795</v>
      </c>
      <c r="F13">
        <v>61</v>
      </c>
    </row>
    <row r="14" spans="1:6" x14ac:dyDescent="0.2">
      <c r="E14" t="s">
        <v>7</v>
      </c>
      <c r="F14">
        <v>15</v>
      </c>
    </row>
    <row r="20" spans="2:2" x14ac:dyDescent="0.2">
      <c r="B20" s="28" t="s">
        <v>1108</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A2A30-9627-44D7-A9DA-ADBC455931CE}">
  <dimension ref="A1:G18"/>
  <sheetViews>
    <sheetView workbookViewId="0">
      <selection activeCell="P29" sqref="P29"/>
    </sheetView>
  </sheetViews>
  <sheetFormatPr defaultRowHeight="14.25" x14ac:dyDescent="0.2"/>
  <cols>
    <col min="5" max="5" width="14.75" bestFit="1" customWidth="1"/>
  </cols>
  <sheetData>
    <row r="1" spans="1:7" x14ac:dyDescent="0.2">
      <c r="A1" t="str">
        <f>Sheet3!L3</f>
        <v>Country</v>
      </c>
      <c r="B1" t="str">
        <f>Sheet3!M3</f>
        <v>Count of Full Name</v>
      </c>
    </row>
    <row r="2" spans="1:7" x14ac:dyDescent="0.2">
      <c r="A2" t="str">
        <f>Sheet3!L4</f>
        <v>Egypt</v>
      </c>
      <c r="B2">
        <f>Sheet3!M4</f>
        <v>99</v>
      </c>
    </row>
    <row r="3" spans="1:7" x14ac:dyDescent="0.2">
      <c r="A3" t="str">
        <f>Sheet3!L5</f>
        <v>Iraq</v>
      </c>
      <c r="B3">
        <f>Sheet3!M5</f>
        <v>53</v>
      </c>
    </row>
    <row r="4" spans="1:7" x14ac:dyDescent="0.2">
      <c r="A4" t="str">
        <f>Sheet3!L6</f>
        <v>Saudi Arabia</v>
      </c>
      <c r="B4">
        <f>Sheet3!M6</f>
        <v>72</v>
      </c>
    </row>
    <row r="5" spans="1:7" x14ac:dyDescent="0.2">
      <c r="A5" t="str">
        <f>Sheet3!L7</f>
        <v>Sudan</v>
      </c>
      <c r="B5">
        <f>Sheet3!M7</f>
        <v>61</v>
      </c>
    </row>
    <row r="6" spans="1:7" x14ac:dyDescent="0.2">
      <c r="A6" t="str">
        <f>Sheet3!L8</f>
        <v>Syria</v>
      </c>
      <c r="B6">
        <f>Sheet3!M8</f>
        <v>15</v>
      </c>
    </row>
    <row r="10" spans="1:7" x14ac:dyDescent="0.2">
      <c r="F10" s="48"/>
      <c r="G10" s="47"/>
    </row>
    <row r="11" spans="1:7" x14ac:dyDescent="0.2">
      <c r="B11" s="38">
        <f>Sheet3!$AD$13</f>
        <v>300</v>
      </c>
      <c r="C11" s="38">
        <f>Sheet3!$AD$13</f>
        <v>300</v>
      </c>
      <c r="E11" s="40">
        <f>Sheet3!$AF$13</f>
        <v>1336352</v>
      </c>
      <c r="F11" s="47"/>
      <c r="G11" s="47"/>
    </row>
    <row r="13" spans="1:7" ht="14.25" customHeight="1" x14ac:dyDescent="0.2"/>
    <row r="14" spans="1:7" x14ac:dyDescent="0.2">
      <c r="F14" s="46"/>
    </row>
    <row r="15" spans="1:7" x14ac:dyDescent="0.2">
      <c r="F15" s="47"/>
    </row>
    <row r="18" spans="4:4" x14ac:dyDescent="0.2">
      <c r="D18" s="38">
        <f>Sheet3!$F$4</f>
        <v>19.116666666666667</v>
      </c>
    </row>
  </sheetData>
  <mergeCells count="2">
    <mergeCell ref="F14:F15"/>
    <mergeCell ref="F10:G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28B06-ED0B-41A3-A6DB-3ECC286A5728}">
  <dimension ref="A3:CA104"/>
  <sheetViews>
    <sheetView tabSelected="1" zoomScale="85" zoomScaleNormal="85" workbookViewId="0">
      <selection activeCell="AB37" sqref="AB37"/>
    </sheetView>
  </sheetViews>
  <sheetFormatPr defaultRowHeight="14.25" x14ac:dyDescent="0.2"/>
  <cols>
    <col min="1" max="1" width="18" bestFit="1" customWidth="1"/>
    <col min="2" max="2" width="8.875" customWidth="1"/>
    <col min="3" max="3" width="9.625" bestFit="1" customWidth="1"/>
    <col min="4" max="4" width="27.25" bestFit="1" customWidth="1"/>
    <col min="5" max="5" width="6" customWidth="1"/>
    <col min="6" max="6" width="26.25" bestFit="1" customWidth="1"/>
    <col min="7" max="7" width="10.25" customWidth="1"/>
    <col min="8" max="8" width="15.875" hidden="1" customWidth="1"/>
    <col min="9" max="9" width="16.5" bestFit="1" customWidth="1"/>
    <col min="10" max="10" width="5.5" bestFit="1" customWidth="1"/>
    <col min="11" max="11" width="16.5" bestFit="1" customWidth="1"/>
    <col min="12" max="12" width="11.25" bestFit="1" customWidth="1"/>
    <col min="13" max="13" width="18" bestFit="1" customWidth="1"/>
    <col min="14" max="14" width="11.25" bestFit="1" customWidth="1"/>
    <col min="15" max="15" width="16.75" bestFit="1" customWidth="1"/>
    <col min="16" max="16" width="4.125" bestFit="1" customWidth="1"/>
    <col min="17" max="17" width="13.75" bestFit="1" customWidth="1"/>
    <col min="18" max="18" width="18.75" bestFit="1" customWidth="1"/>
    <col min="19" max="19" width="18.625" bestFit="1" customWidth="1"/>
    <col min="20" max="20" width="18.75" bestFit="1" customWidth="1"/>
    <col min="21" max="21" width="18.625" bestFit="1" customWidth="1"/>
    <col min="22" max="22" width="18.125" bestFit="1" customWidth="1"/>
    <col min="23" max="23" width="12.875" bestFit="1" customWidth="1"/>
    <col min="24" max="24" width="7.125" bestFit="1" customWidth="1"/>
    <col min="25" max="25" width="3.625" bestFit="1" customWidth="1"/>
    <col min="26" max="26" width="11.25" bestFit="1" customWidth="1"/>
    <col min="27" max="28" width="18" bestFit="1" customWidth="1"/>
    <col min="29" max="29" width="9" bestFit="1" customWidth="1"/>
    <col min="30" max="31" width="18" bestFit="1" customWidth="1"/>
    <col min="32" max="34" width="13" bestFit="1" customWidth="1"/>
    <col min="35" max="35" width="14.875" bestFit="1" customWidth="1"/>
    <col min="36" max="78" width="7.75" bestFit="1" customWidth="1"/>
    <col min="79" max="79" width="12.625" bestFit="1" customWidth="1"/>
    <col min="80" max="80" width="11.5" bestFit="1" customWidth="1"/>
    <col min="81" max="81" width="14.25" bestFit="1" customWidth="1"/>
    <col min="82" max="82" width="16" bestFit="1" customWidth="1"/>
    <col min="83" max="83" width="10.875" bestFit="1" customWidth="1"/>
    <col min="84" max="84" width="12.25" bestFit="1" customWidth="1"/>
    <col min="85" max="85" width="11.5" bestFit="1" customWidth="1"/>
    <col min="86" max="86" width="10" bestFit="1" customWidth="1"/>
    <col min="87" max="87" width="12.25" bestFit="1" customWidth="1"/>
    <col min="88" max="88" width="15.375" bestFit="1" customWidth="1"/>
    <col min="89" max="89" width="12.75" bestFit="1" customWidth="1"/>
    <col min="90" max="90" width="12" bestFit="1" customWidth="1"/>
    <col min="91" max="91" width="13.5" bestFit="1" customWidth="1"/>
    <col min="92" max="92" width="11.125" bestFit="1" customWidth="1"/>
    <col min="93" max="93" width="14.125" bestFit="1" customWidth="1"/>
    <col min="94" max="94" width="8.375" bestFit="1" customWidth="1"/>
    <col min="95" max="95" width="14.375" bestFit="1" customWidth="1"/>
    <col min="96" max="96" width="12.375" bestFit="1" customWidth="1"/>
    <col min="97" max="97" width="15.25" bestFit="1" customWidth="1"/>
    <col min="98" max="98" width="14" bestFit="1" customWidth="1"/>
    <col min="99" max="99" width="13.625" bestFit="1" customWidth="1"/>
    <col min="100" max="100" width="11.125" bestFit="1" customWidth="1"/>
    <col min="101" max="101" width="13.125" bestFit="1" customWidth="1"/>
    <col min="102" max="102" width="13.625" bestFit="1" customWidth="1"/>
    <col min="103" max="103" width="18.5" bestFit="1" customWidth="1"/>
    <col min="104" max="104" width="12" bestFit="1" customWidth="1"/>
    <col min="105" max="105" width="14.375" bestFit="1" customWidth="1"/>
    <col min="106" max="106" width="17.25" bestFit="1" customWidth="1"/>
    <col min="107" max="107" width="10.125" bestFit="1" customWidth="1"/>
    <col min="108" max="108" width="13.625" bestFit="1" customWidth="1"/>
    <col min="109" max="109" width="13.875" bestFit="1" customWidth="1"/>
    <col min="110" max="110" width="10.25" bestFit="1" customWidth="1"/>
    <col min="111" max="111" width="11.25" bestFit="1" customWidth="1"/>
    <col min="112" max="112" width="9.25" bestFit="1" customWidth="1"/>
    <col min="113" max="113" width="12.625" bestFit="1" customWidth="1"/>
    <col min="114" max="114" width="13.25" bestFit="1" customWidth="1"/>
    <col min="115" max="115" width="13.875" bestFit="1" customWidth="1"/>
    <col min="116" max="116" width="15.875" bestFit="1" customWidth="1"/>
    <col min="117" max="117" width="13.75" bestFit="1" customWidth="1"/>
    <col min="118" max="118" width="10.75" bestFit="1" customWidth="1"/>
    <col min="119" max="119" width="11.375" bestFit="1" customWidth="1"/>
    <col min="120" max="120" width="10.625" bestFit="1" customWidth="1"/>
    <col min="121" max="121" width="10.125" bestFit="1" customWidth="1"/>
    <col min="122" max="122" width="12.125" bestFit="1" customWidth="1"/>
    <col min="123" max="123" width="11.5" bestFit="1" customWidth="1"/>
    <col min="124" max="124" width="12.25" bestFit="1" customWidth="1"/>
    <col min="125" max="125" width="9.375" bestFit="1" customWidth="1"/>
    <col min="126" max="126" width="11" bestFit="1" customWidth="1"/>
    <col min="127" max="127" width="11.625" bestFit="1" customWidth="1"/>
    <col min="128" max="128" width="13.375" bestFit="1" customWidth="1"/>
    <col min="129" max="129" width="12.5" bestFit="1" customWidth="1"/>
    <col min="130" max="130" width="10.875" bestFit="1" customWidth="1"/>
    <col min="131" max="131" width="13.375" bestFit="1" customWidth="1"/>
    <col min="132" max="132" width="10.25" bestFit="1" customWidth="1"/>
    <col min="133" max="133" width="12.5" bestFit="1" customWidth="1"/>
    <col min="134" max="134" width="13.125" bestFit="1" customWidth="1"/>
    <col min="135" max="135" width="15.25" bestFit="1" customWidth="1"/>
    <col min="136" max="136" width="11.375" bestFit="1" customWidth="1"/>
    <col min="137" max="137" width="12.125" bestFit="1" customWidth="1"/>
    <col min="138" max="138" width="15.125" bestFit="1" customWidth="1"/>
    <col min="139" max="139" width="11.375" bestFit="1" customWidth="1"/>
    <col min="140" max="140" width="12.625" bestFit="1" customWidth="1"/>
    <col min="141" max="141" width="9.375" bestFit="1" customWidth="1"/>
    <col min="142" max="142" width="11.25" bestFit="1" customWidth="1"/>
    <col min="143" max="143" width="13.125" bestFit="1" customWidth="1"/>
    <col min="144" max="144" width="13.375" bestFit="1" customWidth="1"/>
    <col min="145" max="145" width="11.75" bestFit="1" customWidth="1"/>
    <col min="146" max="146" width="15" bestFit="1" customWidth="1"/>
    <col min="147" max="147" width="13.5" bestFit="1" customWidth="1"/>
    <col min="148" max="148" width="13.875" bestFit="1" customWidth="1"/>
    <col min="149" max="149" width="15" bestFit="1" customWidth="1"/>
    <col min="150" max="150" width="15.375" bestFit="1" customWidth="1"/>
    <col min="151" max="151" width="12.5" bestFit="1" customWidth="1"/>
    <col min="152" max="152" width="16" bestFit="1" customWidth="1"/>
    <col min="153" max="153" width="13.875" bestFit="1" customWidth="1"/>
    <col min="154" max="154" width="12.375" bestFit="1" customWidth="1"/>
    <col min="155" max="155" width="13.625" bestFit="1" customWidth="1"/>
    <col min="156" max="156" width="16.375" bestFit="1" customWidth="1"/>
    <col min="157" max="157" width="17.25" bestFit="1" customWidth="1"/>
    <col min="158" max="158" width="14.625" bestFit="1" customWidth="1"/>
    <col min="159" max="159" width="14" bestFit="1" customWidth="1"/>
    <col min="160" max="160" width="10.375" bestFit="1" customWidth="1"/>
    <col min="161" max="161" width="14.875" bestFit="1" customWidth="1"/>
    <col min="162" max="162" width="15" bestFit="1" customWidth="1"/>
    <col min="163" max="163" width="14.125" bestFit="1" customWidth="1"/>
    <col min="164" max="164" width="10.5" bestFit="1" customWidth="1"/>
    <col min="165" max="165" width="9" bestFit="1" customWidth="1"/>
    <col min="166" max="166" width="14.25" bestFit="1" customWidth="1"/>
    <col min="167" max="167" width="13" bestFit="1" customWidth="1"/>
    <col min="168" max="168" width="10.875" bestFit="1" customWidth="1"/>
    <col min="169" max="170" width="10.75" bestFit="1" customWidth="1"/>
    <col min="171" max="171" width="11.875" bestFit="1" customWidth="1"/>
    <col min="172" max="172" width="9.125" bestFit="1" customWidth="1"/>
    <col min="173" max="173" width="7" bestFit="1" customWidth="1"/>
    <col min="174" max="174" width="15.75" bestFit="1" customWidth="1"/>
    <col min="175" max="175" width="14.125" bestFit="1" customWidth="1"/>
    <col min="176" max="176" width="10.125" bestFit="1" customWidth="1"/>
    <col min="177" max="177" width="12.125" bestFit="1" customWidth="1"/>
    <col min="178" max="178" width="17.125" bestFit="1" customWidth="1"/>
    <col min="179" max="179" width="13" bestFit="1" customWidth="1"/>
    <col min="180" max="180" width="12.5" bestFit="1" customWidth="1"/>
    <col min="181" max="181" width="12.125" bestFit="1" customWidth="1"/>
    <col min="182" max="182" width="10.875" bestFit="1" customWidth="1"/>
    <col min="183" max="183" width="16.875" bestFit="1" customWidth="1"/>
    <col min="184" max="184" width="18.25" bestFit="1" customWidth="1"/>
    <col min="185" max="185" width="16.125" bestFit="1" customWidth="1"/>
    <col min="186" max="186" width="15.75" bestFit="1" customWidth="1"/>
    <col min="187" max="188" width="11.625" bestFit="1" customWidth="1"/>
    <col min="189" max="189" width="13.375" bestFit="1" customWidth="1"/>
    <col min="190" max="190" width="14.875" bestFit="1" customWidth="1"/>
    <col min="191" max="191" width="14.5" bestFit="1" customWidth="1"/>
    <col min="192" max="192" width="12.125" bestFit="1" customWidth="1"/>
    <col min="193" max="193" width="10" bestFit="1" customWidth="1"/>
    <col min="194" max="194" width="13" bestFit="1" customWidth="1"/>
    <col min="195" max="195" width="11.625" bestFit="1" customWidth="1"/>
    <col min="196" max="196" width="11.875" bestFit="1" customWidth="1"/>
    <col min="197" max="197" width="11" bestFit="1" customWidth="1"/>
    <col min="198" max="198" width="10.875" bestFit="1" customWidth="1"/>
    <col min="199" max="199" width="10" bestFit="1" customWidth="1"/>
    <col min="200" max="200" width="11.5" bestFit="1" customWidth="1"/>
    <col min="201" max="201" width="10.625" bestFit="1" customWidth="1"/>
    <col min="202" max="202" width="12.5" bestFit="1" customWidth="1"/>
    <col min="203" max="203" width="10" bestFit="1" customWidth="1"/>
    <col min="204" max="204" width="14.75" bestFit="1" customWidth="1"/>
    <col min="205" max="205" width="10.875" bestFit="1" customWidth="1"/>
    <col min="206" max="206" width="9.375" bestFit="1" customWidth="1"/>
    <col min="207" max="207" width="10.875" bestFit="1" customWidth="1"/>
    <col min="208" max="208" width="14.25" bestFit="1" customWidth="1"/>
    <col min="209" max="209" width="13.25" bestFit="1" customWidth="1"/>
    <col min="210" max="210" width="12.25" bestFit="1" customWidth="1"/>
    <col min="211" max="211" width="13.875" bestFit="1" customWidth="1"/>
    <col min="212" max="212" width="10.5" bestFit="1" customWidth="1"/>
    <col min="213" max="213" width="15.25" bestFit="1" customWidth="1"/>
    <col min="214" max="214" width="16.125" bestFit="1" customWidth="1"/>
    <col min="215" max="216" width="12.625" bestFit="1" customWidth="1"/>
    <col min="217" max="217" width="11.875" bestFit="1" customWidth="1"/>
    <col min="218" max="218" width="13.25" bestFit="1" customWidth="1"/>
    <col min="219" max="219" width="11.5" bestFit="1" customWidth="1"/>
    <col min="220" max="220" width="13.375" bestFit="1" customWidth="1"/>
    <col min="221" max="221" width="14.5" bestFit="1" customWidth="1"/>
    <col min="222" max="222" width="15.75" bestFit="1" customWidth="1"/>
    <col min="223" max="223" width="17.125" bestFit="1" customWidth="1"/>
    <col min="224" max="225" width="16.125" bestFit="1" customWidth="1"/>
    <col min="226" max="226" width="16.75" bestFit="1" customWidth="1"/>
    <col min="227" max="227" width="14.75" bestFit="1" customWidth="1"/>
    <col min="228" max="228" width="12.5" bestFit="1" customWidth="1"/>
    <col min="229" max="229" width="14.375" bestFit="1" customWidth="1"/>
    <col min="230" max="230" width="15" bestFit="1" customWidth="1"/>
    <col min="231" max="231" width="15.125" bestFit="1" customWidth="1"/>
    <col min="232" max="232" width="17.375" bestFit="1" customWidth="1"/>
    <col min="233" max="233" width="13.5" bestFit="1" customWidth="1"/>
    <col min="234" max="234" width="18.375" bestFit="1" customWidth="1"/>
    <col min="235" max="235" width="12.625" bestFit="1" customWidth="1"/>
    <col min="236" max="236" width="13.5" bestFit="1" customWidth="1"/>
    <col min="237" max="237" width="11.5" bestFit="1" customWidth="1"/>
    <col min="238" max="239" width="12.5" bestFit="1" customWidth="1"/>
    <col min="240" max="240" width="11.75" bestFit="1" customWidth="1"/>
    <col min="241" max="241" width="13" bestFit="1" customWidth="1"/>
    <col min="242" max="242" width="11.375" bestFit="1" customWidth="1"/>
    <col min="243" max="243" width="11.875" bestFit="1" customWidth="1"/>
    <col min="244" max="244" width="16.625" bestFit="1" customWidth="1"/>
    <col min="245" max="245" width="15.125" bestFit="1" customWidth="1"/>
    <col min="246" max="246" width="12" bestFit="1" customWidth="1"/>
    <col min="247" max="247" width="15.25" bestFit="1" customWidth="1"/>
    <col min="248" max="248" width="12.375" bestFit="1" customWidth="1"/>
    <col min="249" max="249" width="10.125" bestFit="1" customWidth="1"/>
    <col min="250" max="250" width="12.375" bestFit="1" customWidth="1"/>
    <col min="251" max="251" width="13.125" bestFit="1" customWidth="1"/>
    <col min="252" max="252" width="12.375" bestFit="1" customWidth="1"/>
    <col min="253" max="253" width="14.125" bestFit="1" customWidth="1"/>
    <col min="254" max="254" width="12.375" bestFit="1" customWidth="1"/>
    <col min="255" max="255" width="10.75" bestFit="1" customWidth="1"/>
    <col min="256" max="256" width="11.875" bestFit="1" customWidth="1"/>
    <col min="257" max="257" width="12" bestFit="1" customWidth="1"/>
    <col min="258" max="258" width="7.875" bestFit="1" customWidth="1"/>
    <col min="259" max="259" width="11.75" bestFit="1" customWidth="1"/>
    <col min="260" max="260" width="13" bestFit="1" customWidth="1"/>
    <col min="261" max="261" width="13.375" bestFit="1" customWidth="1"/>
    <col min="262" max="262" width="11.375" bestFit="1" customWidth="1"/>
    <col min="263" max="263" width="15.375" bestFit="1" customWidth="1"/>
    <col min="264" max="264" width="13.625" bestFit="1" customWidth="1"/>
    <col min="265" max="265" width="13" bestFit="1" customWidth="1"/>
    <col min="266" max="266" width="12.625" bestFit="1" customWidth="1"/>
    <col min="267" max="267" width="13.25" bestFit="1" customWidth="1"/>
    <col min="268" max="268" width="12.25" bestF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width="12.5" bestFit="1" customWidth="1"/>
    <col min="275" max="275" width="13.75" bestFit="1" customWidth="1"/>
    <col min="276" max="276" width="15.5" bestFit="1" customWidth="1"/>
    <col min="277" max="277" width="12.125" bestFit="1" customWidth="1"/>
    <col min="278" max="278" width="14.375" bestFit="1" customWidth="1"/>
    <col min="279" max="279" width="16.625" bestFit="1" customWidth="1"/>
    <col min="280" max="280" width="13.75" bestFit="1" customWidth="1"/>
    <col min="281" max="281" width="12.625" bestFit="1" customWidth="1"/>
    <col min="282" max="282" width="16.75" bestFit="1" customWidth="1"/>
    <col min="283" max="283" width="13.375" bestFit="1" customWidth="1"/>
    <col min="284" max="284" width="14.25" bestFit="1" customWidth="1"/>
    <col min="285" max="285" width="13.375" bestFit="1" customWidth="1"/>
    <col min="286" max="286" width="12.75" bestFit="1" customWidth="1"/>
    <col min="287" max="287" width="12.25" bestFit="1" customWidth="1"/>
    <col min="288" max="288" width="14.625" bestFit="1" customWidth="1"/>
    <col min="289" max="289" width="13.75" bestFit="1" customWidth="1"/>
    <col min="290" max="290" width="11.25" bestFit="1" customWidth="1"/>
    <col min="291" max="291" width="16.125" bestFit="1" customWidth="1"/>
    <col min="292" max="292" width="12.625" bestFit="1" customWidth="1"/>
    <col min="293" max="293" width="10.5" bestFit="1" customWidth="1"/>
    <col min="294" max="294" width="13.5" bestFit="1" customWidth="1"/>
    <col min="295" max="295" width="18.5" bestFit="1" customWidth="1"/>
    <col min="296" max="296" width="12.375" bestFit="1" customWidth="1"/>
    <col min="297" max="297" width="12" bestFit="1" customWidth="1"/>
    <col min="298" max="298" width="14.5" bestFit="1" customWidth="1"/>
    <col min="299" max="299" width="12.5" bestFit="1" customWidth="1"/>
    <col min="300" max="300" width="12.375" bestFit="1" customWidth="1"/>
    <col min="301" max="301" width="12.125" bestFit="1" customWidth="1"/>
    <col min="302" max="302" width="10.125" bestFit="1" customWidth="1"/>
    <col min="303" max="303" width="17.625" bestFit="1" customWidth="1"/>
    <col min="304" max="304" width="14.75" bestFit="1" customWidth="1"/>
    <col min="305" max="305" width="13.25" bestFit="1" customWidth="1"/>
    <col min="306" max="306" width="11.75" bestFit="1" customWidth="1"/>
    <col min="307" max="307" width="10.75" bestFit="1" customWidth="1"/>
    <col min="308" max="308" width="11.625" bestFit="1" customWidth="1"/>
    <col min="309" max="309" width="15.5" bestFit="1" customWidth="1"/>
    <col min="310" max="310" width="12.75" bestFit="1" customWidth="1"/>
    <col min="311" max="311" width="11.375" bestFit="1" customWidth="1"/>
    <col min="312" max="312" width="10.125" bestFit="1" customWidth="1"/>
    <col min="313" max="313" width="17.5" bestFit="1" customWidth="1"/>
    <col min="314" max="314" width="12" bestFit="1" customWidth="1"/>
    <col min="315" max="315" width="8.875" bestFit="1" customWidth="1"/>
    <col min="316" max="316" width="11.625" bestFit="1" customWidth="1"/>
    <col min="317" max="317" width="9.625" bestFit="1" customWidth="1"/>
    <col min="318" max="318" width="11.375" bestFit="1" customWidth="1"/>
  </cols>
  <sheetData>
    <row r="3" spans="1:79" x14ac:dyDescent="0.2">
      <c r="A3" t="s">
        <v>1109</v>
      </c>
      <c r="C3" s="35" t="s">
        <v>130</v>
      </c>
      <c r="D3" t="s">
        <v>1411</v>
      </c>
      <c r="F3" t="s">
        <v>1410</v>
      </c>
      <c r="I3" s="35" t="s">
        <v>4</v>
      </c>
      <c r="J3" t="s">
        <v>1425</v>
      </c>
      <c r="L3" s="35" t="s">
        <v>2</v>
      </c>
      <c r="M3" t="s">
        <v>1109</v>
      </c>
      <c r="O3" s="35" t="s">
        <v>792</v>
      </c>
      <c r="P3" t="s">
        <v>1428</v>
      </c>
      <c r="R3" s="35" t="s">
        <v>3</v>
      </c>
      <c r="S3" t="s">
        <v>1412</v>
      </c>
      <c r="U3" s="35" t="s">
        <v>794</v>
      </c>
      <c r="V3" t="s">
        <v>1427</v>
      </c>
      <c r="W3" t="s">
        <v>1426</v>
      </c>
      <c r="Z3" s="35" t="s">
        <v>2</v>
      </c>
      <c r="AA3" t="s">
        <v>1109</v>
      </c>
    </row>
    <row r="4" spans="1:79" x14ac:dyDescent="0.2">
      <c r="A4">
        <v>300</v>
      </c>
      <c r="C4" t="s">
        <v>33</v>
      </c>
      <c r="D4">
        <v>115</v>
      </c>
      <c r="F4" s="38">
        <v>19.116666666666667</v>
      </c>
      <c r="I4" t="s">
        <v>10</v>
      </c>
      <c r="J4" s="38">
        <v>111</v>
      </c>
      <c r="L4" t="s">
        <v>16</v>
      </c>
      <c r="M4" s="38">
        <v>99</v>
      </c>
      <c r="O4" s="39">
        <v>0.02</v>
      </c>
      <c r="P4" s="38">
        <v>52</v>
      </c>
      <c r="R4" t="s">
        <v>15</v>
      </c>
      <c r="S4" s="38">
        <v>39</v>
      </c>
      <c r="U4" s="36" t="s">
        <v>1413</v>
      </c>
      <c r="V4" s="38">
        <v>132228</v>
      </c>
      <c r="W4" s="38">
        <v>31</v>
      </c>
      <c r="Z4" t="s">
        <v>16</v>
      </c>
      <c r="AA4" s="38">
        <v>99</v>
      </c>
    </row>
    <row r="5" spans="1:79" x14ac:dyDescent="0.2">
      <c r="C5" t="s">
        <v>34</v>
      </c>
      <c r="D5">
        <v>185</v>
      </c>
      <c r="I5" t="s">
        <v>12</v>
      </c>
      <c r="J5" s="38">
        <v>92</v>
      </c>
      <c r="L5" t="s">
        <v>18</v>
      </c>
      <c r="M5" s="38">
        <v>53</v>
      </c>
      <c r="O5" s="39">
        <v>0.05</v>
      </c>
      <c r="P5" s="38">
        <v>150</v>
      </c>
      <c r="R5" t="s">
        <v>25</v>
      </c>
      <c r="S5" s="38">
        <v>5</v>
      </c>
      <c r="U5" s="36" t="s">
        <v>1414</v>
      </c>
      <c r="V5" s="38">
        <v>138136</v>
      </c>
      <c r="W5" s="38">
        <v>28</v>
      </c>
      <c r="Z5" t="s">
        <v>18</v>
      </c>
      <c r="AA5" s="38">
        <v>53</v>
      </c>
    </row>
    <row r="6" spans="1:79" x14ac:dyDescent="0.2">
      <c r="I6" t="s">
        <v>19</v>
      </c>
      <c r="J6" s="38">
        <v>44</v>
      </c>
      <c r="L6" t="s">
        <v>13</v>
      </c>
      <c r="M6" s="38">
        <v>72</v>
      </c>
      <c r="O6" s="39">
        <v>0.08</v>
      </c>
      <c r="P6" s="38">
        <v>84</v>
      </c>
      <c r="R6" t="s">
        <v>198</v>
      </c>
      <c r="S6" s="38">
        <v>55</v>
      </c>
      <c r="U6" s="36" t="s">
        <v>1419</v>
      </c>
      <c r="V6" s="38">
        <v>68448</v>
      </c>
      <c r="W6" s="38">
        <v>22</v>
      </c>
      <c r="Z6" t="s">
        <v>13</v>
      </c>
      <c r="AA6" s="38">
        <v>72</v>
      </c>
    </row>
    <row r="7" spans="1:79" x14ac:dyDescent="0.2">
      <c r="I7" t="s">
        <v>21</v>
      </c>
      <c r="J7" s="38">
        <v>53</v>
      </c>
      <c r="L7" t="s">
        <v>795</v>
      </c>
      <c r="M7" s="38">
        <v>61</v>
      </c>
      <c r="O7" s="39">
        <v>0.1</v>
      </c>
      <c r="P7" s="38">
        <v>14</v>
      </c>
      <c r="R7" t="s">
        <v>23</v>
      </c>
      <c r="S7" s="38">
        <v>24</v>
      </c>
      <c r="U7" s="36" t="s">
        <v>1420</v>
      </c>
      <c r="V7" s="38">
        <v>118123</v>
      </c>
      <c r="W7" s="38">
        <v>26</v>
      </c>
      <c r="Z7" t="s">
        <v>795</v>
      </c>
      <c r="AA7" s="38">
        <v>61</v>
      </c>
    </row>
    <row r="8" spans="1:79" x14ac:dyDescent="0.2">
      <c r="L8" t="s">
        <v>7</v>
      </c>
      <c r="M8" s="38">
        <v>15</v>
      </c>
      <c r="R8" t="s">
        <v>9</v>
      </c>
      <c r="S8" s="38">
        <v>71</v>
      </c>
      <c r="U8" s="36" t="s">
        <v>1415</v>
      </c>
      <c r="V8" s="38">
        <v>131899</v>
      </c>
      <c r="W8" s="38">
        <v>25</v>
      </c>
      <c r="Z8" t="s">
        <v>7</v>
      </c>
      <c r="AA8" s="38">
        <v>15</v>
      </c>
    </row>
    <row r="9" spans="1:79" x14ac:dyDescent="0.2">
      <c r="R9" t="s">
        <v>22</v>
      </c>
      <c r="S9" s="38">
        <v>65</v>
      </c>
      <c r="U9" s="36" t="s">
        <v>1421</v>
      </c>
      <c r="V9" s="38">
        <v>102806</v>
      </c>
      <c r="W9" s="38">
        <v>23</v>
      </c>
    </row>
    <row r="10" spans="1:79" x14ac:dyDescent="0.2">
      <c r="R10" t="s">
        <v>24</v>
      </c>
      <c r="S10" s="38">
        <v>10</v>
      </c>
      <c r="U10" s="36" t="s">
        <v>1422</v>
      </c>
      <c r="V10" s="38">
        <v>131906</v>
      </c>
      <c r="W10" s="38">
        <v>29</v>
      </c>
    </row>
    <row r="11" spans="1:79" x14ac:dyDescent="0.2">
      <c r="R11" t="s">
        <v>17</v>
      </c>
      <c r="S11" s="38">
        <v>15</v>
      </c>
      <c r="U11" s="36" t="s">
        <v>1416</v>
      </c>
      <c r="V11" s="38">
        <v>81090</v>
      </c>
      <c r="W11" s="38">
        <v>19</v>
      </c>
    </row>
    <row r="12" spans="1:79" x14ac:dyDescent="0.2">
      <c r="R12" t="s">
        <v>26</v>
      </c>
      <c r="S12" s="38">
        <v>16</v>
      </c>
      <c r="U12" s="36" t="s">
        <v>1423</v>
      </c>
      <c r="V12" s="38">
        <v>148445</v>
      </c>
      <c r="W12" s="38">
        <v>32</v>
      </c>
      <c r="AD12" t="s">
        <v>1109</v>
      </c>
      <c r="AF12" t="s">
        <v>1429</v>
      </c>
      <c r="CA12" s="35"/>
    </row>
    <row r="13" spans="1:79" x14ac:dyDescent="0.2">
      <c r="U13" s="36" t="s">
        <v>1417</v>
      </c>
      <c r="V13" s="38">
        <v>90857</v>
      </c>
      <c r="W13" s="38">
        <v>24</v>
      </c>
      <c r="AD13" s="38">
        <v>300</v>
      </c>
      <c r="AF13" s="38">
        <v>1336352</v>
      </c>
    </row>
    <row r="14" spans="1:79" x14ac:dyDescent="0.2">
      <c r="U14" s="36" t="s">
        <v>1424</v>
      </c>
      <c r="V14" s="38">
        <v>85387</v>
      </c>
      <c r="W14" s="38">
        <v>20</v>
      </c>
    </row>
    <row r="15" spans="1:79" x14ac:dyDescent="0.2">
      <c r="U15" s="36" t="s">
        <v>1418</v>
      </c>
      <c r="V15" s="38">
        <v>107027</v>
      </c>
      <c r="W15" s="38">
        <v>21</v>
      </c>
    </row>
    <row r="99" spans="12:13" x14ac:dyDescent="0.2">
      <c r="L99" t="str">
        <f>L3</f>
        <v>Country</v>
      </c>
      <c r="M99" t="str">
        <f>M3</f>
        <v>Count of Full Name</v>
      </c>
    </row>
    <row r="100" spans="12:13" x14ac:dyDescent="0.2">
      <c r="L100" t="str">
        <f>L4</f>
        <v>Egypt</v>
      </c>
      <c r="M100">
        <f>M4</f>
        <v>99</v>
      </c>
    </row>
    <row r="101" spans="12:13" x14ac:dyDescent="0.2">
      <c r="L101" t="str">
        <f>L5</f>
        <v>Iraq</v>
      </c>
      <c r="M101">
        <f>M5</f>
        <v>53</v>
      </c>
    </row>
    <row r="102" spans="12:13" x14ac:dyDescent="0.2">
      <c r="L102" t="str">
        <f>L6</f>
        <v>Saudi Arabia</v>
      </c>
      <c r="M102">
        <f>M6</f>
        <v>72</v>
      </c>
    </row>
    <row r="103" spans="12:13" x14ac:dyDescent="0.2">
      <c r="L103" t="str">
        <f>L7</f>
        <v>Sudan</v>
      </c>
      <c r="M103">
        <f>M7</f>
        <v>61</v>
      </c>
    </row>
    <row r="104" spans="12:13" x14ac:dyDescent="0.2">
      <c r="L104" t="str">
        <f>L8</f>
        <v>Syria</v>
      </c>
      <c r="M104">
        <f>M8</f>
        <v>15</v>
      </c>
    </row>
  </sheetData>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8FA87-0576-4A92-924F-858B237760A2}">
  <dimension ref="A1"/>
  <sheetViews>
    <sheetView workbookViewId="0"/>
  </sheetViews>
  <sheetFormatPr defaultRowHeight="14.25"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A6C5-1A32-448D-8D85-F9E55E359B50}">
  <dimension ref="AL6"/>
  <sheetViews>
    <sheetView zoomScale="61" zoomScaleNormal="61" workbookViewId="0">
      <selection activeCell="AJ23" sqref="AJ23"/>
    </sheetView>
  </sheetViews>
  <sheetFormatPr defaultRowHeight="14.25" x14ac:dyDescent="0.2"/>
  <cols>
    <col min="1" max="37" width="9" style="42"/>
    <col min="38" max="38" width="15" style="42" bestFit="1" customWidth="1"/>
    <col min="39" max="16384" width="9" style="42"/>
  </cols>
  <sheetData>
    <row r="6" spans="38:38" x14ac:dyDescent="0.2">
      <c r="AL6" s="4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5138E-CC36-4514-878E-80B7AD851D0D}">
  <dimension ref="AL6"/>
  <sheetViews>
    <sheetView zoomScale="61" zoomScaleNormal="61" workbookViewId="0">
      <selection activeCell="AH21" sqref="AH21"/>
    </sheetView>
  </sheetViews>
  <sheetFormatPr defaultRowHeight="14.25" x14ac:dyDescent="0.2"/>
  <cols>
    <col min="1" max="37" width="9" style="42"/>
    <col min="38" max="38" width="15" style="42" bestFit="1" customWidth="1"/>
    <col min="39" max="16384" width="9" style="42"/>
  </cols>
  <sheetData>
    <row r="6" spans="38:38" x14ac:dyDescent="0.2">
      <c r="AL6" s="4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8E178F-FCFE-4FF3-9D80-838AEE22F4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Sheet5</vt:lpstr>
      <vt:lpstr>Basic</vt:lpstr>
      <vt:lpstr>Dashboard Required</vt:lpstr>
      <vt:lpstr>Sheet1</vt:lpstr>
      <vt:lpstr>Sheet3</vt:lpstr>
      <vt:lpstr>Sheet6</vt:lpstr>
      <vt:lpstr>MAIN DASH</vt:lpstr>
      <vt:lpstr>SEC 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Elrahman Ahmed Mounir</dc:creator>
  <cp:lastModifiedBy>Karm, ibrahim 61600532</cp:lastModifiedBy>
  <dcterms:created xsi:type="dcterms:W3CDTF">2024-06-03T16:02:57Z</dcterms:created>
  <dcterms:modified xsi:type="dcterms:W3CDTF">2026-04-25T09:22:05Z</dcterms:modified>
</cp:coreProperties>
</file>